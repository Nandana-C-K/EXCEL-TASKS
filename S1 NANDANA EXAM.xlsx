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72D49BB-4A07-4819-80CC-F6151ABADC7E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Instructions" sheetId="1" r:id="rId1"/>
    <sheet name="QUESTIONS" sheetId="4" r:id="rId2"/>
    <sheet name="Sheet2" sheetId="7" r:id="rId3"/>
    <sheet name="DATASE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0" i="5" l="1"/>
  <c r="X21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" i="5"/>
  <c r="U17" i="5"/>
  <c r="U18" i="5"/>
  <c r="U19" i="5"/>
  <c r="U20" i="5"/>
  <c r="U21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2" i="5"/>
  <c r="T21" i="5"/>
  <c r="T18" i="5"/>
  <c r="T19" i="5"/>
  <c r="T20" i="5"/>
  <c r="T12" i="5"/>
  <c r="T13" i="5"/>
  <c r="T14" i="5"/>
  <c r="T15" i="5"/>
  <c r="T16" i="5"/>
  <c r="T17" i="5"/>
  <c r="T3" i="5"/>
  <c r="T4" i="5"/>
  <c r="T5" i="5"/>
  <c r="T6" i="5"/>
  <c r="T7" i="5"/>
  <c r="T8" i="5"/>
  <c r="T9" i="5"/>
  <c r="T10" i="5"/>
  <c r="T11" i="5"/>
  <c r="T2" i="5"/>
  <c r="S18" i="5"/>
  <c r="S19" i="5"/>
  <c r="S20" i="5"/>
  <c r="S21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" i="5"/>
  <c r="B10" i="7"/>
  <c r="B9" i="7"/>
  <c r="B8" i="7"/>
  <c r="B7" i="7"/>
  <c r="B6" i="7"/>
  <c r="B5" i="7"/>
  <c r="B4" i="7"/>
  <c r="B3" i="7" a="1"/>
  <c r="B3" i="7" s="1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<sst xmlns="http://schemas.openxmlformats.org/spreadsheetml/2006/main" count="262" uniqueCount="172">
  <si>
    <t>HR EXECUTIVE — EXCEL PRACTICAL EXAMINATION</t>
  </si>
  <si>
    <t>Route Upskill Academy</t>
  </si>
  <si>
    <t>CANDIDATE DETAILS</t>
  </si>
  <si>
    <t>Student Name:</t>
  </si>
  <si>
    <t>Roll No. / Employee ID:</t>
  </si>
  <si>
    <t>Batch:</t>
  </si>
  <si>
    <t>Date of Exam:</t>
  </si>
  <si>
    <t>Start Time:</t>
  </si>
  <si>
    <t>End Time:</t>
  </si>
  <si>
    <t>EXAM OVERVIEW</t>
  </si>
  <si>
    <t>Duration:</t>
  </si>
  <si>
    <t>1 Hour (60 minutes)</t>
  </si>
  <si>
    <t>Total Marks:</t>
  </si>
  <si>
    <t>50</t>
  </si>
  <si>
    <t>Mode:</t>
  </si>
  <si>
    <t>Practical (formulas must be typed into Excel, not typed as final numbers)</t>
  </si>
  <si>
    <t>INSTRUCTIONS TO CANDIDATES</t>
  </si>
  <si>
    <t>1.</t>
  </si>
  <si>
    <t>2.</t>
  </si>
  <si>
    <t>Yellow-shaded cells are for your answers. Do not edit any other cell.</t>
  </si>
  <si>
    <t>3.</t>
  </si>
  <si>
    <t>Wherever a calculation is asked for, write a working formula in the cell — do not type the final number by hand.</t>
  </si>
  <si>
    <t>4.</t>
  </si>
  <si>
    <t>Do not delete, rename, or reorder any sheet, row, or column.</t>
  </si>
  <si>
    <t>5.</t>
  </si>
  <si>
    <t>7.</t>
  </si>
  <si>
    <t>Raise your hand if you have a doubt about what a task is asking for — do not discuss with other candidates.</t>
  </si>
  <si>
    <t>Good luck!</t>
  </si>
  <si>
    <t>Department</t>
  </si>
  <si>
    <t>Designation</t>
  </si>
  <si>
    <t>Gender</t>
  </si>
  <si>
    <t>Bonus</t>
  </si>
  <si>
    <t>Sales</t>
  </si>
  <si>
    <t>Sales Executive</t>
  </si>
  <si>
    <t>Male</t>
  </si>
  <si>
    <t>Marketing</t>
  </si>
  <si>
    <t>Finance</t>
  </si>
  <si>
    <t>Operations</t>
  </si>
  <si>
    <t>IT</t>
  </si>
  <si>
    <t>Software Engineer</t>
  </si>
  <si>
    <t>Female</t>
  </si>
  <si>
    <t>HR</t>
  </si>
  <si>
    <t>HR Manager</t>
  </si>
  <si>
    <t>Sales Manager</t>
  </si>
  <si>
    <t>HR Executive</t>
  </si>
  <si>
    <t>This is a practical exam. Read every task carefully before answering.</t>
  </si>
  <si>
    <t>Save the file using your name before submitting (e.g. S1_Exam_YourName.xlsx).</t>
  </si>
  <si>
    <t>Employee_ID</t>
  </si>
  <si>
    <t>Employee_Name</t>
  </si>
  <si>
    <t>Joining_Date</t>
  </si>
  <si>
    <t>DOB</t>
  </si>
  <si>
    <t>Basic_Salary</t>
  </si>
  <si>
    <t>Working_Days</t>
  </si>
  <si>
    <t>Leave_Days</t>
  </si>
  <si>
    <t>Attendance_%</t>
  </si>
  <si>
    <t>Performance_Rating</t>
  </si>
  <si>
    <t>Employment_Status</t>
  </si>
  <si>
    <t>City</t>
  </si>
  <si>
    <t>Manager</t>
  </si>
  <si>
    <t>Training_Hours</t>
  </si>
  <si>
    <t>EMP001</t>
  </si>
  <si>
    <t>Arun Kumar</t>
  </si>
  <si>
    <t>Active</t>
  </si>
  <si>
    <t>Kochi</t>
  </si>
  <si>
    <t>Priya Menon</t>
  </si>
  <si>
    <t>EMP002</t>
  </si>
  <si>
    <t>Meera Nair</t>
  </si>
  <si>
    <t>Accountant</t>
  </si>
  <si>
    <t>Calicut</t>
  </si>
  <si>
    <t>Rahul Das</t>
  </si>
  <si>
    <t>EMP003</t>
  </si>
  <si>
    <t>Rahul Singh</t>
  </si>
  <si>
    <t>Bangalore</t>
  </si>
  <si>
    <t>Anita Roy</t>
  </si>
  <si>
    <t>EMP004</t>
  </si>
  <si>
    <t>Sarah Joseph</t>
  </si>
  <si>
    <t>Chennai</t>
  </si>
  <si>
    <t>Vivek Rao</t>
  </si>
  <si>
    <t>EMP005</t>
  </si>
  <si>
    <t>Nikhil Das</t>
  </si>
  <si>
    <t>Recruiter</t>
  </si>
  <si>
    <t>EMP006</t>
  </si>
  <si>
    <t>chris john</t>
  </si>
  <si>
    <t>hr</t>
  </si>
  <si>
    <t>active</t>
  </si>
  <si>
    <t>kochi</t>
  </si>
  <si>
    <t>EMP007</t>
  </si>
  <si>
    <t>ANU THOMAS</t>
  </si>
  <si>
    <t>Data Analyst</t>
  </si>
  <si>
    <t>Trivandrum</t>
  </si>
  <si>
    <t>EMP008</t>
  </si>
  <si>
    <t>Vivek Sharma</t>
  </si>
  <si>
    <t>Deepa Nair</t>
  </si>
  <si>
    <t>EMP009</t>
  </si>
  <si>
    <t>Sneha Pillai</t>
  </si>
  <si>
    <t>EMP010</t>
  </si>
  <si>
    <t>Joseph Mathew</t>
  </si>
  <si>
    <t>System Admin</t>
  </si>
  <si>
    <t>EMP011</t>
  </si>
  <si>
    <t>Neha Kapoor</t>
  </si>
  <si>
    <t>Marketing Executive</t>
  </si>
  <si>
    <t>Mumbai</t>
  </si>
  <si>
    <t>Kavya Nair</t>
  </si>
  <si>
    <t>EMP012</t>
  </si>
  <si>
    <t>Ravi Verma</t>
  </si>
  <si>
    <t>Operations Executive</t>
  </si>
  <si>
    <t>Hyderabad</t>
  </si>
  <si>
    <t>Suresh Kumar</t>
  </si>
  <si>
    <t>EMP013</t>
  </si>
  <si>
    <t>CEO</t>
  </si>
  <si>
    <t>EMP014</t>
  </si>
  <si>
    <t>Akash Roy</t>
  </si>
  <si>
    <t>Developer</t>
  </si>
  <si>
    <t>EMP015</t>
  </si>
  <si>
    <t>Divya Nair</t>
  </si>
  <si>
    <t>Senior Accountant</t>
  </si>
  <si>
    <t>EMP016</t>
  </si>
  <si>
    <t>EMP017</t>
  </si>
  <si>
    <t>Michael George</t>
  </si>
  <si>
    <t>bangalore</t>
  </si>
  <si>
    <t>EMP018</t>
  </si>
  <si>
    <t>Lakshmi Devi</t>
  </si>
  <si>
    <t>Resigned</t>
  </si>
  <si>
    <t>EMP019</t>
  </si>
  <si>
    <t>Q.No</t>
  </si>
  <si>
    <t>Task</t>
  </si>
  <si>
    <t>Marks</t>
  </si>
  <si>
    <t>Calculate the total monthly payroll of all employees.</t>
  </si>
  <si>
    <t>Determine the total annual bonus paid by the company.</t>
  </si>
  <si>
    <t>Identify the employee receiving the highest basic salary.</t>
  </si>
  <si>
    <t>Identify the employee receiving the lowest basic salary.</t>
  </si>
  <si>
    <t>Find the total number of employee records available in the dataset.</t>
  </si>
  <si>
    <t>Calculate the total basic salary paid to employees in the HR department.</t>
  </si>
  <si>
    <t>Calculate the average performance rating of employees in the IT department.</t>
  </si>
  <si>
    <t>Find the number of employees whose employment status is Active.</t>
  </si>
  <si>
    <t>Determine the number of employees working in the Sales department.</t>
  </si>
  <si>
    <t>Create a new column to identify employees eligible for a performance bonus based on company policy (Attendance ≥95% and Performance Rating ≥4.5).</t>
  </si>
  <si>
    <t>Create a new column to identify employees requiring HR review if either attendance is below 85% or leave days exceed 5.</t>
  </si>
  <si>
    <t>Calculate each employee's total monthly earnings by combining salary and bonus.</t>
  </si>
  <si>
    <t>Calculate the total annual compensation for each employee.</t>
  </si>
  <si>
    <t>Find the total salary expenditure for employees whose performance rating is 4.0 or above.</t>
  </si>
  <si>
    <t>Calculate the age of every employee as of today.</t>
  </si>
  <si>
    <t>Calculate each employee's total years of service in the organization.</t>
  </si>
  <si>
    <t>Display the joining month of every employee in text format.</t>
  </si>
  <si>
    <t>Identify the day of the week on which each employee joined the organization.</t>
  </si>
  <si>
    <t>Calculate the total number of official working days from the joining date until today (excluding weekends).</t>
  </si>
  <si>
    <t>Display the current date and time in separate columns.</t>
  </si>
  <si>
    <t>Determine the required monthly bonus for an employee to achieve a target annual compensation of ₹8,00,000.</t>
  </si>
  <si>
    <t>Analyze the impact of different salary increment percentages (5%, 10%, and 15%) on the total annual payroll.</t>
  </si>
  <si>
    <t>Compare different compensation scenarios based on changes in salary and bonus, and identify the most cost-effective option.</t>
  </si>
  <si>
    <t>Prepare a one-variable sensitivity analysis to evaluate how different bonus percentages affect annual compensation.</t>
  </si>
  <si>
    <t>Prepare a two-variable sensitivity analysis to compare salary increments and bonus percentages simultaneously.</t>
  </si>
  <si>
    <t>Remove all duplicate employee records from the dataset.</t>
  </si>
  <si>
    <t>Standardize department names by correcting inconsistent text values.</t>
  </si>
  <si>
    <t>Remove leading and trailing spaces from all text fields.</t>
  </si>
  <si>
    <t>Eliminate non-printable characters from the dataset wherever applicable.</t>
  </si>
  <si>
    <t>Convert all employee names to proper capitalization for consistent formatting.</t>
  </si>
  <si>
    <t>NANDANA.C.K</t>
  </si>
  <si>
    <t>10AM</t>
  </si>
  <si>
    <t>11AM</t>
  </si>
  <si>
    <t>QUESTION NUMBER</t>
  </si>
  <si>
    <t>RADA0609</t>
  </si>
  <si>
    <t>RADA006</t>
  </si>
  <si>
    <t>Column1</t>
  </si>
  <si>
    <t>ANSWER10</t>
  </si>
  <si>
    <t>DONE</t>
  </si>
  <si>
    <t>ANSWER11</t>
  </si>
  <si>
    <t>ANSWER12</t>
  </si>
  <si>
    <t>ANSWER13</t>
  </si>
  <si>
    <t>ANSWER 14</t>
  </si>
  <si>
    <t>ANSWER 15</t>
  </si>
  <si>
    <t>ANSWER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</si>
</sst>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charset val="1"/>
    </font>
    <font>
      <b/>
      <sz val="20"/>
      <color rgb="FF0B1F5C"/>
      <name val="Arial"/>
      <charset val="1"/>
    </font>
    <font>
      <i/>
      <sz val="11"/>
      <color rgb="FF555555"/>
      <name val="Arial"/>
      <charset val="1"/>
    </font>
    <font>
      <b/>
      <sz val="13"/>
      <color rgb="FFFFFFFF"/>
      <name val="Arial"/>
      <charset val="1"/>
    </font>
    <font>
      <b/>
      <sz val="11"/>
      <color rgb="FF0B1F5C"/>
      <name val="Arial"/>
      <charset val="1"/>
    </font>
    <font>
      <sz val="10.5"/>
      <color rgb="FF333333"/>
      <name val="Arial"/>
      <charset val="1"/>
    </font>
    <font>
      <b/>
      <sz val="10.5"/>
      <color rgb="FF0B1F5C"/>
      <name val="Arial"/>
      <charset val="1"/>
    </font>
    <font>
      <b/>
      <i/>
      <sz val="11"/>
      <color rgb="FF0B1F5C"/>
      <name val="Arial"/>
      <charset val="1"/>
    </font>
    <font>
      <b/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5C"/>
        <bgColor rgb="FF222222"/>
      </patternFill>
    </fill>
    <fill>
      <patternFill patternType="solid">
        <fgColor rgb="FFFFF2A8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0" fillId="3" borderId="1" xfId="0" applyFill="1" applyBorder="1"/>
    <xf numFmtId="0" fontId="5" fillId="0" borderId="0" xfId="0" applyFont="1"/>
    <xf numFmtId="14" fontId="0" fillId="3" borderId="1" xfId="0" applyNumberFormat="1" applyFill="1" applyBorder="1"/>
  </cellXfs>
  <cellStyles count="1">
    <cellStyle name="Normal" xfId="0" builtinId="0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\-mmm\-yy"/>
      <alignment horizontal="center" vertical="center" textRotation="0" wrapText="1" indent="0" justifyLastLine="0" shrinkToFit="0" readingOrder="0"/>
    </dxf>
    <dxf>
      <numFmt numFmtId="164" formatCode="d\-mmm\-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745D8B2-0788-4870-BAC1-B8E0F3AA613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555555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F5C"/>
      <rgbColor rgb="FF339966"/>
      <rgbColor rgb="FF003300"/>
      <rgbColor rgb="FF222222"/>
      <rgbColor rgb="FF993300"/>
      <rgbColor rgb="FF993366"/>
      <rgbColor rgb="FF1F3B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925200</xdr:colOff>
      <xdr:row>4</xdr:row>
      <xdr:rowOff>142200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90440"/>
          <a:ext cx="24760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67104-B185-4369-AC50-7339B3D8A334}" name="Table1" displayName="Table1" ref="A1:C18" totalsRowShown="0">
  <autoFilter ref="A1:C18" xr:uid="{39967104-B185-4369-AC50-7339B3D8A334}"/>
  <tableColumns count="3">
    <tableColumn id="1" xr3:uid="{5FA56610-BC2D-4FAA-AC08-9F704F01B6C6}" name="Q.No" dataDxfId="12"/>
    <tableColumn id="2" xr3:uid="{64BF9289-CEE4-41DD-8986-B2013D2C779D}" name="Task" dataDxfId="11"/>
    <tableColumn id="3" xr3:uid="{68B6DD73-A8B0-4255-AA64-0A03B146C13E}" name="Marks" dataDxfId="10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294150-49D5-47D2-B21C-B8C1FF904853}" name="Table2" displayName="Table2" ref="E1:G14" totalsRowShown="0">
  <autoFilter ref="E1:G14" xr:uid="{39294150-49D5-47D2-B21C-B8C1FF904853}"/>
  <tableColumns count="3">
    <tableColumn id="1" xr3:uid="{5095F9A3-BB43-485A-86F7-9D69ED32B65E}" name="Q.No" dataDxfId="9"/>
    <tableColumn id="2" xr3:uid="{46E93D25-6186-4654-98CC-A3E360A18402}" name="Task" dataDxfId="8"/>
    <tableColumn id="3" xr3:uid="{71F1FFF9-CA96-4C78-8812-511BD53E37D1}" name="Marks" dataDxfId="7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432587-89ED-4FB1-AE61-6FCD0ACE2BC8}" name="Table6" displayName="Table6" ref="A1:B26" totalsRowShown="0">
  <autoFilter ref="A1:B26" xr:uid="{62432587-89ED-4FB1-AE61-6FCD0ACE2BC8}"/>
  <tableColumns count="2">
    <tableColumn id="1" xr3:uid="{6CA88CE5-79DF-466E-B256-7DCFCCF04FF6}" name="QUESTION NUMBER"/>
    <tableColumn id="2" xr3:uid="{FE1463FD-84D3-40D1-A5AA-84CF3BC12A70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8A5AF6-D0DA-4E3B-BB8B-49E4BEFD8B95}" name="Table3" displayName="Table3" ref="A1:X21" totalsRowShown="0" headerRowDxfId="31" dataDxfId="30">
  <autoFilter ref="A1:X21" xr:uid="{4F8A5AF6-D0DA-4E3B-BB8B-49E4BEFD8B95}"/>
  <tableColumns count="24">
    <tableColumn id="1" xr3:uid="{43706B42-E108-41D8-AC04-F604A7D0C852}" name="Employee_ID" dataDxfId="29"/>
    <tableColumn id="2" xr3:uid="{13CE5A55-AC5B-4185-89D0-548C9336D61B}" name="Employee_Name" dataDxfId="28"/>
    <tableColumn id="3" xr3:uid="{AC41A396-2087-4681-BDBE-8E4F291ED397}" name="Department" dataDxfId="27"/>
    <tableColumn id="4" xr3:uid="{10C7F2A3-9141-4975-B833-1A7E1789D0FF}" name="Designation" dataDxfId="26"/>
    <tableColumn id="5" xr3:uid="{6E3674B2-4CB7-4F34-8EA0-31CE5E24E744}" name="Gender" dataDxfId="25"/>
    <tableColumn id="6" xr3:uid="{C2714883-534C-44C2-8CDA-4C90DC4FF32C}" name="Joining_Date" dataDxfId="24"/>
    <tableColumn id="7" xr3:uid="{DA16EF82-950A-4ED1-9120-F76466BB0AE5}" name="DOB" dataDxfId="23"/>
    <tableColumn id="8" xr3:uid="{A75A9533-3896-4F34-BEC9-D573BD0D6A8F}" name="Basic_Salary" dataDxfId="22"/>
    <tableColumn id="9" xr3:uid="{B5BE46B4-E53B-4062-B8BF-900DC091BBA9}" name="Bonus" dataDxfId="21"/>
    <tableColumn id="10" xr3:uid="{73671C95-13A3-44E9-844A-5E3A9A876D18}" name="Working_Days" dataDxfId="20"/>
    <tableColumn id="11" xr3:uid="{B66E30D3-F93A-4079-9D54-B1EAE5B454AC}" name="Leave_Days" dataDxfId="19"/>
    <tableColumn id="12" xr3:uid="{5D53CCAB-FD58-4AA7-AABF-7560D2590029}" name="Attendance_%" dataDxfId="18"/>
    <tableColumn id="13" xr3:uid="{5E700492-CD1B-47E8-9AC9-0E078729ED20}" name="Performance_Rating" dataDxfId="17"/>
    <tableColumn id="14" xr3:uid="{2A774B55-55E2-47BA-9554-F2032BCEB783}" name="Employment_Status" dataDxfId="16"/>
    <tableColumn id="15" xr3:uid="{27D47968-09C2-4104-82DB-867C44DA30F8}" name="City" dataDxfId="15"/>
    <tableColumn id="16" xr3:uid="{36857351-D124-426D-9809-944D73CD6CAA}" name="Manager" dataDxfId="14"/>
    <tableColumn id="17" xr3:uid="{25ED233D-ECDD-493C-B219-52AFEDC4BEA2}" name="Training_Hours" dataDxfId="13"/>
    <tableColumn id="18" xr3:uid="{63F32306-2D95-4E94-AA68-EDF303E04084}" name="ANSWER10" dataDxfId="6">
      <calculatedColumnFormula>IF(AND(Table3[[#This Row],[Attendance_%]]&gt;=95%,Table3[[#This Row],[Performance_Rating]]&gt;=4.5),"ELIGIBLE","NOT ELIGIBLE")</calculatedColumnFormula>
    </tableColumn>
    <tableColumn id="19" xr3:uid="{4CA44D62-A0C0-4E53-886A-1151A83C178B}" name="ANSWER11" dataDxfId="5">
      <calculatedColumnFormula>IF(OR(Table3[[#This Row],[Attendance_%]]&lt;=85,Table3[[#This Row],[Leave_Days]]&gt;=5),"YES","NO")</calculatedColumnFormula>
    </tableColumn>
    <tableColumn id="20" xr3:uid="{770CF488-96E5-4604-B936-BE12D6547600}" name="ANSWER12" dataDxfId="4">
      <calculatedColumnFormula>SUM(Table3[[#This Row],[Basic_Salary]]+Table3[[#This Row],[Bonus]])</calculatedColumnFormula>
    </tableColumn>
    <tableColumn id="21" xr3:uid="{931BAC4A-9509-4DDF-B27E-608881432143}" name="ANSWER13" dataDxfId="3">
      <calculatedColumnFormula>Table3[[#This Row],[Basic_Salary]]+Table3[[#This Row],[Bonus]]*12</calculatedColumnFormula>
    </tableColumn>
    <tableColumn id="22" xr3:uid="{4CF613B4-C2EC-46F7-B7A9-07EB2B733BF5}" name="ANSWER 14" dataDxfId="2"/>
    <tableColumn id="23" xr3:uid="{6B97B6B7-B641-4F49-A454-AE4AEF97E640}" name="ANSWER 15" dataDxfId="1"/>
    <tableColumn id="24" xr3:uid="{9B51A0AA-53AD-469F-845E-EB0FA771E79F}" name="ANSWER 17" dataDxfId="0">
      <calculatedColumnFormula>TEXT(Table3[[#This Row],[Joining_Date]],"MM")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30"/>
  <sheetViews>
    <sheetView showGridLines="0" zoomScaleNormal="100" workbookViewId="0">
      <selection activeCell="C12" sqref="C12:E12"/>
    </sheetView>
  </sheetViews>
  <sheetFormatPr defaultColWidth="8.6640625" defaultRowHeight="14.4" x14ac:dyDescent="0.3"/>
  <cols>
    <col min="1" max="1" width="3" customWidth="1"/>
    <col min="2" max="7" width="22" customWidth="1"/>
    <col min="8" max="8" width="3" customWidth="1"/>
  </cols>
  <sheetData>
    <row r="6" spans="2:7" ht="24.6" x14ac:dyDescent="0.4">
      <c r="B6" s="11" t="s">
        <v>0</v>
      </c>
      <c r="C6" s="11"/>
      <c r="D6" s="11"/>
      <c r="E6" s="11"/>
      <c r="F6" s="11"/>
      <c r="G6" s="11"/>
    </row>
    <row r="7" spans="2:7" x14ac:dyDescent="0.3">
      <c r="B7" s="12" t="s">
        <v>1</v>
      </c>
      <c r="C7" s="12"/>
      <c r="D7" s="12"/>
      <c r="E7" s="12"/>
      <c r="F7" s="12"/>
      <c r="G7" s="12"/>
    </row>
    <row r="9" spans="2:7" ht="21.75" customHeight="1" x14ac:dyDescent="0.3">
      <c r="B9" s="13" t="s">
        <v>2</v>
      </c>
      <c r="C9" s="13"/>
      <c r="D9" s="13"/>
      <c r="E9" s="13"/>
      <c r="F9" s="13"/>
      <c r="G9" s="13"/>
    </row>
    <row r="10" spans="2:7" x14ac:dyDescent="0.3">
      <c r="B10" s="1" t="s">
        <v>3</v>
      </c>
      <c r="C10" s="14" t="s">
        <v>157</v>
      </c>
      <c r="D10" s="14"/>
      <c r="E10" s="14"/>
    </row>
    <row r="11" spans="2:7" x14ac:dyDescent="0.3">
      <c r="B11" s="1" t="s">
        <v>4</v>
      </c>
      <c r="C11" s="14" t="s">
        <v>161</v>
      </c>
      <c r="D11" s="14"/>
      <c r="E11" s="14"/>
    </row>
    <row r="12" spans="2:7" x14ac:dyDescent="0.3">
      <c r="B12" s="1" t="s">
        <v>5</v>
      </c>
      <c r="C12" s="14" t="s">
        <v>162</v>
      </c>
      <c r="D12" s="14"/>
      <c r="E12" s="14"/>
    </row>
    <row r="13" spans="2:7" x14ac:dyDescent="0.3">
      <c r="B13" s="1" t="s">
        <v>6</v>
      </c>
      <c r="C13" s="16">
        <v>46240</v>
      </c>
      <c r="D13" s="14"/>
      <c r="E13" s="14"/>
    </row>
    <row r="14" spans="2:7" x14ac:dyDescent="0.3">
      <c r="B14" s="1" t="s">
        <v>7</v>
      </c>
      <c r="C14" s="14" t="s">
        <v>158</v>
      </c>
      <c r="D14" s="14"/>
      <c r="E14" s="14"/>
    </row>
    <row r="15" spans="2:7" x14ac:dyDescent="0.3">
      <c r="B15" s="1" t="s">
        <v>8</v>
      </c>
      <c r="C15" s="14" t="s">
        <v>159</v>
      </c>
      <c r="D15" s="14"/>
      <c r="E15" s="14"/>
    </row>
    <row r="17" spans="2:7" ht="21.75" customHeight="1" x14ac:dyDescent="0.3">
      <c r="B17" s="13" t="s">
        <v>9</v>
      </c>
      <c r="C17" s="13"/>
      <c r="D17" s="13"/>
      <c r="E17" s="13"/>
      <c r="F17" s="13"/>
      <c r="G17" s="13"/>
    </row>
    <row r="18" spans="2:7" x14ac:dyDescent="0.3">
      <c r="B18" s="1" t="s">
        <v>10</v>
      </c>
      <c r="C18" s="15" t="s">
        <v>11</v>
      </c>
      <c r="D18" s="15"/>
      <c r="E18" s="15"/>
      <c r="F18" s="15"/>
      <c r="G18" s="15"/>
    </row>
    <row r="19" spans="2:7" x14ac:dyDescent="0.3">
      <c r="B19" s="1" t="s">
        <v>12</v>
      </c>
      <c r="C19" s="15" t="s">
        <v>13</v>
      </c>
      <c r="D19" s="15"/>
      <c r="E19" s="15"/>
      <c r="F19" s="15"/>
      <c r="G19" s="15"/>
    </row>
    <row r="20" spans="2:7" x14ac:dyDescent="0.3">
      <c r="B20" s="1" t="s">
        <v>14</v>
      </c>
      <c r="C20" s="15" t="s">
        <v>15</v>
      </c>
      <c r="D20" s="15"/>
      <c r="E20" s="15"/>
      <c r="F20" s="15"/>
      <c r="G20" s="15"/>
    </row>
    <row r="22" spans="2:7" ht="21.75" customHeight="1" x14ac:dyDescent="0.3">
      <c r="B22" s="13" t="s">
        <v>16</v>
      </c>
      <c r="C22" s="13"/>
      <c r="D22" s="13"/>
      <c r="E22" s="13"/>
      <c r="F22" s="13"/>
      <c r="G22" s="13"/>
    </row>
    <row r="23" spans="2:7" ht="15.75" customHeight="1" x14ac:dyDescent="0.3">
      <c r="B23" s="2" t="s">
        <v>17</v>
      </c>
      <c r="C23" s="15" t="s">
        <v>45</v>
      </c>
      <c r="D23" s="15"/>
      <c r="E23" s="15"/>
      <c r="F23" s="15"/>
      <c r="G23" s="15"/>
    </row>
    <row r="24" spans="2:7" ht="15.75" customHeight="1" x14ac:dyDescent="0.3">
      <c r="B24" s="2" t="s">
        <v>18</v>
      </c>
      <c r="C24" s="15" t="s">
        <v>19</v>
      </c>
      <c r="D24" s="15"/>
      <c r="E24" s="15"/>
      <c r="F24" s="15"/>
      <c r="G24" s="15"/>
    </row>
    <row r="25" spans="2:7" ht="15.75" customHeight="1" x14ac:dyDescent="0.3">
      <c r="B25" s="2" t="s">
        <v>20</v>
      </c>
      <c r="C25" s="15" t="s">
        <v>21</v>
      </c>
      <c r="D25" s="15"/>
      <c r="E25" s="15"/>
      <c r="F25" s="15"/>
      <c r="G25" s="15"/>
    </row>
    <row r="26" spans="2:7" ht="15.75" customHeight="1" x14ac:dyDescent="0.3">
      <c r="B26" s="2" t="s">
        <v>22</v>
      </c>
      <c r="C26" s="15" t="s">
        <v>23</v>
      </c>
      <c r="D26" s="15"/>
      <c r="E26" s="15"/>
      <c r="F26" s="15"/>
      <c r="G26" s="15"/>
    </row>
    <row r="27" spans="2:7" ht="15.75" customHeight="1" x14ac:dyDescent="0.3">
      <c r="B27" s="2" t="s">
        <v>24</v>
      </c>
      <c r="C27" s="15" t="s">
        <v>46</v>
      </c>
      <c r="D27" s="15"/>
      <c r="E27" s="15"/>
      <c r="F27" s="15"/>
      <c r="G27" s="15"/>
    </row>
    <row r="28" spans="2:7" ht="15.75" customHeight="1" x14ac:dyDescent="0.3">
      <c r="B28" s="2" t="s">
        <v>25</v>
      </c>
      <c r="C28" s="15" t="s">
        <v>26</v>
      </c>
      <c r="D28" s="15"/>
      <c r="E28" s="15"/>
      <c r="F28" s="15"/>
      <c r="G28" s="15"/>
    </row>
    <row r="30" spans="2:7" x14ac:dyDescent="0.3">
      <c r="B30" s="3" t="s">
        <v>27</v>
      </c>
    </row>
  </sheetData>
  <mergeCells count="20">
    <mergeCell ref="C18:G18"/>
    <mergeCell ref="C19:G19"/>
    <mergeCell ref="C20:G20"/>
    <mergeCell ref="B22:G22"/>
    <mergeCell ref="C28:G28"/>
    <mergeCell ref="C23:G23"/>
    <mergeCell ref="C24:G24"/>
    <mergeCell ref="C25:G25"/>
    <mergeCell ref="C26:G26"/>
    <mergeCell ref="C27:G27"/>
    <mergeCell ref="C12:E12"/>
    <mergeCell ref="C13:E13"/>
    <mergeCell ref="C14:E14"/>
    <mergeCell ref="C15:E15"/>
    <mergeCell ref="B17:G17"/>
    <mergeCell ref="B6:G6"/>
    <mergeCell ref="B7:G7"/>
    <mergeCell ref="B9:G9"/>
    <mergeCell ref="C10:E10"/>
    <mergeCell ref="C11:E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762A-F284-41C2-807B-850EF95929EB}">
  <dimension ref="A1:Q39"/>
  <sheetViews>
    <sheetView showGridLines="0" topLeftCell="A3" workbookViewId="0">
      <selection activeCell="B17" sqref="B17"/>
    </sheetView>
  </sheetViews>
  <sheetFormatPr defaultRowHeight="14.4" x14ac:dyDescent="0.3"/>
  <cols>
    <col min="2" max="2" width="55.88671875" customWidth="1"/>
    <col min="5" max="5" width="10.44140625" customWidth="1"/>
    <col min="6" max="6" width="50.44140625" customWidth="1"/>
    <col min="7" max="7" width="10.44140625" customWidth="1"/>
  </cols>
  <sheetData>
    <row r="1" spans="1:7" x14ac:dyDescent="0.3">
      <c r="A1" s="7" t="s">
        <v>124</v>
      </c>
      <c r="B1" s="7" t="s">
        <v>125</v>
      </c>
      <c r="C1" s="5" t="s">
        <v>126</v>
      </c>
      <c r="E1" s="7" t="s">
        <v>124</v>
      </c>
      <c r="F1" s="7" t="s">
        <v>125</v>
      </c>
      <c r="G1" s="5" t="s">
        <v>126</v>
      </c>
    </row>
    <row r="2" spans="1:7" ht="28.8" x14ac:dyDescent="0.3">
      <c r="A2" s="8">
        <v>1</v>
      </c>
      <c r="B2" s="8" t="s">
        <v>127</v>
      </c>
      <c r="C2" s="4">
        <v>2</v>
      </c>
      <c r="E2" s="8">
        <v>18</v>
      </c>
      <c r="F2" s="8" t="s">
        <v>144</v>
      </c>
      <c r="G2" s="4">
        <v>2</v>
      </c>
    </row>
    <row r="3" spans="1:7" ht="28.8" x14ac:dyDescent="0.3">
      <c r="A3" s="8">
        <v>2</v>
      </c>
      <c r="B3" s="8" t="s">
        <v>128</v>
      </c>
      <c r="C3" s="4">
        <v>2</v>
      </c>
      <c r="E3" s="8">
        <v>19</v>
      </c>
      <c r="F3" s="8" t="s">
        <v>145</v>
      </c>
      <c r="G3" s="4">
        <v>4</v>
      </c>
    </row>
    <row r="4" spans="1:7" x14ac:dyDescent="0.3">
      <c r="A4" s="8">
        <v>3</v>
      </c>
      <c r="B4" s="8" t="s">
        <v>129</v>
      </c>
      <c r="C4" s="4">
        <v>2</v>
      </c>
      <c r="E4" s="8">
        <v>20</v>
      </c>
      <c r="F4" s="8" t="s">
        <v>146</v>
      </c>
      <c r="G4" s="4">
        <v>2</v>
      </c>
    </row>
    <row r="5" spans="1:7" ht="28.8" x14ac:dyDescent="0.3">
      <c r="A5" s="8">
        <v>4</v>
      </c>
      <c r="B5" s="8" t="s">
        <v>130</v>
      </c>
      <c r="C5" s="4">
        <v>2</v>
      </c>
      <c r="E5" s="8">
        <v>21</v>
      </c>
      <c r="F5" s="8" t="s">
        <v>147</v>
      </c>
      <c r="G5" s="4">
        <v>5</v>
      </c>
    </row>
    <row r="6" spans="1:7" ht="43.2" x14ac:dyDescent="0.3">
      <c r="A6" s="8">
        <v>5</v>
      </c>
      <c r="B6" s="8" t="s">
        <v>131</v>
      </c>
      <c r="C6" s="4">
        <v>2</v>
      </c>
      <c r="E6" s="8">
        <v>22</v>
      </c>
      <c r="F6" s="8" t="s">
        <v>148</v>
      </c>
      <c r="G6" s="4">
        <v>5</v>
      </c>
    </row>
    <row r="7" spans="1:7" ht="43.2" x14ac:dyDescent="0.3">
      <c r="A7" s="8">
        <v>6</v>
      </c>
      <c r="B7" s="8" t="s">
        <v>132</v>
      </c>
      <c r="C7" s="4">
        <v>3</v>
      </c>
      <c r="E7" s="8">
        <v>23</v>
      </c>
      <c r="F7" s="8" t="s">
        <v>149</v>
      </c>
      <c r="G7" s="4">
        <v>5</v>
      </c>
    </row>
    <row r="8" spans="1:7" ht="28.8" x14ac:dyDescent="0.3">
      <c r="A8" s="8">
        <v>7</v>
      </c>
      <c r="B8" s="8" t="s">
        <v>133</v>
      </c>
      <c r="C8" s="4">
        <v>3</v>
      </c>
      <c r="E8" s="8">
        <v>24</v>
      </c>
      <c r="F8" s="8" t="s">
        <v>150</v>
      </c>
      <c r="G8" s="4">
        <v>5</v>
      </c>
    </row>
    <row r="9" spans="1:7" ht="28.8" x14ac:dyDescent="0.3">
      <c r="A9" s="8">
        <v>8</v>
      </c>
      <c r="B9" s="8" t="s">
        <v>134</v>
      </c>
      <c r="C9" s="4">
        <v>2</v>
      </c>
      <c r="E9" s="8">
        <v>25</v>
      </c>
      <c r="F9" s="8" t="s">
        <v>151</v>
      </c>
      <c r="G9" s="4">
        <v>6</v>
      </c>
    </row>
    <row r="10" spans="1:7" ht="28.8" x14ac:dyDescent="0.3">
      <c r="A10" s="8">
        <v>9</v>
      </c>
      <c r="B10" s="8" t="s">
        <v>135</v>
      </c>
      <c r="C10" s="4">
        <v>2</v>
      </c>
      <c r="E10" s="8">
        <v>26</v>
      </c>
      <c r="F10" s="8" t="s">
        <v>152</v>
      </c>
      <c r="G10" s="4">
        <v>3</v>
      </c>
    </row>
    <row r="11" spans="1:7" ht="43.2" x14ac:dyDescent="0.3">
      <c r="A11" s="8">
        <v>10</v>
      </c>
      <c r="B11" s="8" t="s">
        <v>136</v>
      </c>
      <c r="C11" s="4">
        <v>4</v>
      </c>
      <c r="E11" s="8">
        <v>27</v>
      </c>
      <c r="F11" s="8" t="s">
        <v>153</v>
      </c>
      <c r="G11" s="4">
        <v>3</v>
      </c>
    </row>
    <row r="12" spans="1:7" ht="28.8" x14ac:dyDescent="0.3">
      <c r="A12" s="8">
        <v>11</v>
      </c>
      <c r="B12" s="8" t="s">
        <v>137</v>
      </c>
      <c r="C12" s="4">
        <v>4</v>
      </c>
      <c r="E12" s="8">
        <v>28</v>
      </c>
      <c r="F12" s="8" t="s">
        <v>154</v>
      </c>
      <c r="G12" s="4">
        <v>2</v>
      </c>
    </row>
    <row r="13" spans="1:7" ht="28.8" x14ac:dyDescent="0.3">
      <c r="A13" s="8">
        <v>12</v>
      </c>
      <c r="B13" s="8" t="s">
        <v>138</v>
      </c>
      <c r="C13" s="4">
        <v>2</v>
      </c>
      <c r="E13" s="8">
        <v>29</v>
      </c>
      <c r="F13" s="8" t="s">
        <v>155</v>
      </c>
      <c r="G13" s="4">
        <v>2</v>
      </c>
    </row>
    <row r="14" spans="1:7" ht="28.8" x14ac:dyDescent="0.3">
      <c r="A14" s="8">
        <v>13</v>
      </c>
      <c r="B14" s="8" t="s">
        <v>139</v>
      </c>
      <c r="C14" s="4">
        <v>3</v>
      </c>
      <c r="E14" s="8">
        <v>30</v>
      </c>
      <c r="F14" s="8" t="s">
        <v>156</v>
      </c>
      <c r="G14" s="4">
        <v>2</v>
      </c>
    </row>
    <row r="15" spans="1:7" ht="28.8" x14ac:dyDescent="0.3">
      <c r="A15" s="8">
        <v>14</v>
      </c>
      <c r="B15" s="8" t="s">
        <v>140</v>
      </c>
      <c r="C15" s="4">
        <v>3</v>
      </c>
    </row>
    <row r="16" spans="1:7" x14ac:dyDescent="0.3">
      <c r="A16" s="8">
        <v>15</v>
      </c>
      <c r="B16" s="8" t="s">
        <v>141</v>
      </c>
      <c r="C16" s="4">
        <v>3</v>
      </c>
    </row>
    <row r="17" spans="1:17" ht="28.8" x14ac:dyDescent="0.3">
      <c r="A17" s="8">
        <v>16</v>
      </c>
      <c r="B17" s="8" t="s">
        <v>142</v>
      </c>
      <c r="C17" s="4">
        <v>3</v>
      </c>
    </row>
    <row r="18" spans="1:17" x14ac:dyDescent="0.3">
      <c r="A18" s="8">
        <v>17</v>
      </c>
      <c r="B18" s="8" t="s">
        <v>143</v>
      </c>
      <c r="C18" s="4">
        <v>2</v>
      </c>
    </row>
    <row r="19" spans="1:17" x14ac:dyDescent="0.3">
      <c r="A19" s="8"/>
      <c r="B19" s="8"/>
      <c r="C19" s="4"/>
      <c r="D19" s="7"/>
      <c r="E19" s="7"/>
      <c r="F19" s="7"/>
      <c r="G19" s="7"/>
      <c r="H19" s="5"/>
      <c r="I19" s="5"/>
      <c r="J19" s="5"/>
      <c r="K19" s="5"/>
      <c r="L19" s="5"/>
      <c r="M19" s="5"/>
      <c r="N19" s="7"/>
      <c r="O19" s="7"/>
      <c r="P19" s="7"/>
      <c r="Q19" s="5"/>
    </row>
    <row r="20" spans="1:17" x14ac:dyDescent="0.3">
      <c r="A20" s="8"/>
      <c r="B20" s="8"/>
      <c r="C20" s="4"/>
      <c r="D20" s="8"/>
      <c r="E20" s="8"/>
      <c r="F20" s="9"/>
      <c r="G20" s="9"/>
      <c r="H20" s="4"/>
      <c r="I20" s="4"/>
      <c r="J20" s="4"/>
      <c r="K20" s="4"/>
      <c r="L20" s="4"/>
      <c r="M20" s="4"/>
      <c r="N20" s="8"/>
      <c r="O20" s="8"/>
      <c r="P20" s="8"/>
      <c r="Q20" s="4"/>
    </row>
    <row r="21" spans="1:17" x14ac:dyDescent="0.3">
      <c r="A21" s="8"/>
      <c r="B21" s="8"/>
      <c r="C21" s="4"/>
      <c r="D21" s="8"/>
      <c r="E21" s="8"/>
      <c r="F21" s="9"/>
      <c r="G21" s="9"/>
      <c r="H21" s="4"/>
      <c r="I21" s="4"/>
      <c r="J21" s="4"/>
      <c r="K21" s="4"/>
      <c r="L21" s="4"/>
      <c r="M21" s="4"/>
      <c r="N21" s="8"/>
      <c r="O21" s="8"/>
      <c r="P21" s="8"/>
      <c r="Q21" s="4"/>
    </row>
    <row r="22" spans="1:17" x14ac:dyDescent="0.3">
      <c r="A22" s="8"/>
      <c r="B22" s="8"/>
      <c r="C22" s="4"/>
      <c r="D22" s="8"/>
      <c r="E22" s="8"/>
      <c r="F22" s="9"/>
      <c r="G22" s="9"/>
      <c r="H22" s="4"/>
      <c r="I22" s="4"/>
      <c r="J22" s="4"/>
      <c r="K22" s="4"/>
      <c r="L22" s="4"/>
      <c r="M22" s="4"/>
      <c r="N22" s="8"/>
      <c r="O22" s="8"/>
      <c r="P22" s="8"/>
      <c r="Q22" s="4"/>
    </row>
    <row r="23" spans="1:17" x14ac:dyDescent="0.3">
      <c r="A23" s="8"/>
      <c r="B23" s="8"/>
      <c r="C23" s="4"/>
      <c r="D23" s="8"/>
      <c r="E23" s="8"/>
      <c r="F23" s="9"/>
      <c r="G23" s="9"/>
      <c r="H23" s="4"/>
      <c r="I23" s="4"/>
      <c r="J23" s="4"/>
      <c r="K23" s="4"/>
      <c r="L23" s="4"/>
      <c r="M23" s="4"/>
      <c r="N23" s="8"/>
      <c r="O23" s="8"/>
      <c r="P23" s="8"/>
      <c r="Q23" s="4"/>
    </row>
    <row r="24" spans="1:17" x14ac:dyDescent="0.3">
      <c r="A24" s="8"/>
      <c r="B24" s="8"/>
      <c r="C24" s="4"/>
      <c r="D24" s="8"/>
      <c r="E24" s="8"/>
      <c r="F24" s="9"/>
      <c r="G24" s="9"/>
      <c r="H24" s="4"/>
      <c r="I24" s="4"/>
      <c r="J24" s="4"/>
      <c r="K24" s="4"/>
      <c r="L24" s="4"/>
      <c r="M24" s="4"/>
      <c r="N24" s="8"/>
      <c r="O24" s="8"/>
      <c r="P24" s="8"/>
      <c r="Q24" s="4"/>
    </row>
    <row r="25" spans="1:17" x14ac:dyDescent="0.3">
      <c r="A25" s="8"/>
      <c r="B25" s="8"/>
      <c r="C25" s="4"/>
      <c r="D25" s="8"/>
      <c r="E25" s="8"/>
      <c r="F25" s="9"/>
      <c r="G25" s="9"/>
      <c r="H25" s="4"/>
      <c r="I25" s="4"/>
      <c r="J25" s="4"/>
      <c r="K25" s="4"/>
      <c r="L25" s="4"/>
      <c r="M25" s="4"/>
      <c r="N25" s="8"/>
      <c r="O25" s="8"/>
      <c r="P25" s="8"/>
      <c r="Q25" s="4"/>
    </row>
    <row r="26" spans="1:17" x14ac:dyDescent="0.3">
      <c r="A26" s="8"/>
      <c r="B26" s="8"/>
      <c r="C26" s="4"/>
      <c r="D26" s="8"/>
      <c r="E26" s="8"/>
      <c r="F26" s="9"/>
      <c r="G26" s="9"/>
      <c r="H26" s="4"/>
      <c r="I26" s="4"/>
      <c r="J26" s="4"/>
      <c r="K26" s="4"/>
      <c r="L26" s="4"/>
      <c r="M26" s="4"/>
      <c r="N26" s="8"/>
      <c r="O26" s="8"/>
      <c r="P26" s="8"/>
      <c r="Q26" s="4"/>
    </row>
    <row r="27" spans="1:17" x14ac:dyDescent="0.3">
      <c r="A27" s="8"/>
      <c r="B27" s="8"/>
      <c r="C27" s="4"/>
      <c r="D27" s="8"/>
      <c r="E27" s="8"/>
      <c r="F27" s="9"/>
      <c r="G27" s="9"/>
      <c r="H27" s="4"/>
      <c r="I27" s="4"/>
      <c r="J27" s="4"/>
      <c r="K27" s="4"/>
      <c r="L27" s="4"/>
      <c r="M27" s="4"/>
      <c r="N27" s="8"/>
      <c r="O27" s="8"/>
      <c r="P27" s="8"/>
      <c r="Q27" s="4"/>
    </row>
    <row r="28" spans="1:17" x14ac:dyDescent="0.3">
      <c r="A28" s="8"/>
      <c r="B28" s="8"/>
      <c r="C28" s="4"/>
      <c r="D28" s="8"/>
      <c r="E28" s="8"/>
      <c r="F28" s="9"/>
      <c r="G28" s="9"/>
      <c r="H28" s="4"/>
      <c r="I28" s="4"/>
      <c r="J28" s="4"/>
      <c r="K28" s="4"/>
      <c r="L28" s="4"/>
      <c r="M28" s="4"/>
      <c r="N28" s="8"/>
      <c r="O28" s="8"/>
      <c r="P28" s="8"/>
      <c r="Q28" s="4"/>
    </row>
    <row r="29" spans="1:17" x14ac:dyDescent="0.3">
      <c r="A29" s="8"/>
      <c r="B29" s="8"/>
      <c r="C29" s="4"/>
      <c r="D29" s="8"/>
      <c r="E29" s="8"/>
      <c r="F29" s="9"/>
      <c r="G29" s="9"/>
      <c r="H29" s="4"/>
      <c r="I29" s="4"/>
      <c r="J29" s="4"/>
      <c r="K29" s="4"/>
      <c r="L29" s="4"/>
      <c r="M29" s="4"/>
      <c r="N29" s="8"/>
      <c r="O29" s="8"/>
      <c r="P29" s="8"/>
      <c r="Q29" s="4"/>
    </row>
    <row r="30" spans="1:17" x14ac:dyDescent="0.3">
      <c r="A30" s="8"/>
      <c r="B30" s="8"/>
      <c r="C30" s="4"/>
      <c r="D30" s="8"/>
      <c r="E30" s="8"/>
      <c r="F30" s="9"/>
      <c r="G30" s="9"/>
      <c r="H30" s="4"/>
      <c r="I30" s="4"/>
      <c r="J30" s="4"/>
      <c r="K30" s="4"/>
      <c r="L30" s="4"/>
      <c r="M30" s="4"/>
      <c r="N30" s="8"/>
      <c r="O30" s="8"/>
      <c r="P30" s="8"/>
      <c r="Q30" s="4"/>
    </row>
    <row r="31" spans="1:17" x14ac:dyDescent="0.3">
      <c r="A31" s="4"/>
      <c r="B31" s="8"/>
      <c r="C31" s="8"/>
      <c r="D31" s="8"/>
      <c r="E31" s="8"/>
      <c r="F31" s="9"/>
      <c r="G31" s="9"/>
      <c r="H31" s="4"/>
      <c r="I31" s="4"/>
      <c r="J31" s="4"/>
      <c r="K31" s="4"/>
      <c r="L31" s="4"/>
      <c r="M31" s="4"/>
      <c r="N31" s="8"/>
      <c r="O31" s="8"/>
      <c r="P31" s="8"/>
      <c r="Q31" s="4"/>
    </row>
    <row r="32" spans="1:17" x14ac:dyDescent="0.3">
      <c r="A32" s="4"/>
      <c r="B32" s="8"/>
      <c r="C32" s="8"/>
      <c r="D32" s="8"/>
      <c r="E32" s="8"/>
      <c r="F32" s="9"/>
      <c r="G32" s="9"/>
      <c r="H32" s="4"/>
      <c r="I32" s="4"/>
      <c r="J32" s="4"/>
      <c r="K32" s="4"/>
      <c r="L32" s="4"/>
      <c r="M32" s="4"/>
      <c r="N32" s="8"/>
      <c r="O32" s="8"/>
      <c r="P32" s="8"/>
      <c r="Q32" s="4"/>
    </row>
    <row r="33" spans="1:17" x14ac:dyDescent="0.3">
      <c r="A33" s="4"/>
      <c r="B33" s="8"/>
      <c r="C33" s="8"/>
      <c r="D33" s="8"/>
      <c r="E33" s="8"/>
      <c r="F33" s="9"/>
      <c r="G33" s="9"/>
      <c r="H33" s="4"/>
      <c r="I33" s="4"/>
      <c r="J33" s="4"/>
      <c r="K33" s="4"/>
      <c r="L33" s="4"/>
      <c r="M33" s="4"/>
      <c r="N33" s="8"/>
      <c r="O33" s="8"/>
      <c r="P33" s="8"/>
      <c r="Q33" s="4"/>
    </row>
    <row r="34" spans="1:17" x14ac:dyDescent="0.3">
      <c r="A34" s="4"/>
      <c r="B34" s="8"/>
      <c r="C34" s="8"/>
      <c r="D34" s="8"/>
      <c r="E34" s="8"/>
      <c r="F34" s="9"/>
      <c r="G34" s="9"/>
      <c r="H34" s="4"/>
      <c r="I34" s="4"/>
      <c r="J34" s="4"/>
      <c r="K34" s="4"/>
      <c r="L34" s="4"/>
      <c r="M34" s="4"/>
      <c r="N34" s="8"/>
      <c r="O34" s="8"/>
      <c r="P34" s="8"/>
      <c r="Q34" s="4"/>
    </row>
    <row r="35" spans="1:17" x14ac:dyDescent="0.3">
      <c r="A35" s="4"/>
      <c r="B35" s="8"/>
      <c r="C35" s="8"/>
      <c r="D35" s="8"/>
      <c r="E35" s="8"/>
      <c r="F35" s="9"/>
      <c r="G35" s="9"/>
      <c r="H35" s="4"/>
      <c r="I35" s="4"/>
      <c r="J35" s="4"/>
      <c r="K35" s="4"/>
      <c r="L35" s="4"/>
      <c r="M35" s="4"/>
      <c r="N35" s="8"/>
      <c r="O35" s="8"/>
      <c r="P35" s="8"/>
      <c r="Q35" s="4"/>
    </row>
    <row r="36" spans="1:17" x14ac:dyDescent="0.3">
      <c r="A36" s="4"/>
      <c r="B36" s="8"/>
      <c r="C36" s="8"/>
      <c r="D36" s="8"/>
      <c r="E36" s="8"/>
      <c r="F36" s="9"/>
      <c r="G36" s="9"/>
      <c r="H36" s="4"/>
      <c r="I36" s="4"/>
      <c r="J36" s="4"/>
      <c r="K36" s="4"/>
      <c r="L36" s="4"/>
      <c r="M36" s="4"/>
      <c r="N36" s="8"/>
      <c r="O36" s="8"/>
      <c r="P36" s="8"/>
      <c r="Q36" s="4"/>
    </row>
    <row r="37" spans="1:17" x14ac:dyDescent="0.3">
      <c r="A37" s="4"/>
      <c r="B37" s="8"/>
      <c r="C37" s="8"/>
      <c r="D37" s="8"/>
      <c r="E37" s="8"/>
      <c r="F37" s="9"/>
      <c r="G37" s="9"/>
      <c r="H37" s="4"/>
      <c r="I37" s="4"/>
      <c r="J37" s="4"/>
      <c r="K37" s="4"/>
      <c r="L37" s="4"/>
      <c r="M37" s="4"/>
      <c r="N37" s="8"/>
      <c r="O37" s="8"/>
      <c r="P37" s="8"/>
      <c r="Q37" s="4"/>
    </row>
    <row r="38" spans="1:17" x14ac:dyDescent="0.3">
      <c r="A38" s="4"/>
      <c r="B38" s="8"/>
      <c r="C38" s="8"/>
      <c r="D38" s="8"/>
      <c r="E38" s="8"/>
      <c r="F38" s="9"/>
      <c r="G38" s="9"/>
      <c r="H38" s="4"/>
      <c r="I38" s="4"/>
      <c r="J38" s="4"/>
      <c r="K38" s="4"/>
      <c r="L38" s="4"/>
      <c r="M38" s="4"/>
      <c r="N38" s="8"/>
      <c r="O38" s="8"/>
      <c r="P38" s="8"/>
      <c r="Q38" s="4"/>
    </row>
    <row r="39" spans="1:17" x14ac:dyDescent="0.3">
      <c r="A39" s="4"/>
      <c r="B39" s="8"/>
      <c r="C39" s="8"/>
      <c r="D39" s="8"/>
      <c r="E39" s="8"/>
      <c r="F39" s="9"/>
      <c r="G39" s="9"/>
      <c r="H39" s="4"/>
      <c r="I39" s="4"/>
      <c r="J39" s="4"/>
      <c r="K39" s="4"/>
      <c r="L39" s="4"/>
      <c r="M39" s="4"/>
      <c r="N39" s="8"/>
      <c r="O39" s="8"/>
      <c r="P39" s="8"/>
      <c r="Q39" s="4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6E92-F02E-4043-9D21-F1EB429785EB}">
  <dimension ref="A1:B18"/>
  <sheetViews>
    <sheetView workbookViewId="0">
      <selection activeCell="A18" sqref="A18"/>
    </sheetView>
  </sheetViews>
  <sheetFormatPr defaultRowHeight="14.4" x14ac:dyDescent="0.3"/>
  <cols>
    <col min="1" max="1" width="19.88671875" customWidth="1"/>
    <col min="2" max="2" width="11.33203125" customWidth="1"/>
  </cols>
  <sheetData>
    <row r="1" spans="1:2" x14ac:dyDescent="0.3">
      <c r="A1" t="s">
        <v>160</v>
      </c>
      <c r="B1" t="s">
        <v>163</v>
      </c>
    </row>
    <row r="2" spans="1:2" x14ac:dyDescent="0.3">
      <c r="A2">
        <v>1</v>
      </c>
      <c r="B2">
        <f>SUM(Table3[Basic_Salary])</f>
        <v>912000</v>
      </c>
    </row>
    <row r="3" spans="1:2" x14ac:dyDescent="0.3">
      <c r="A3">
        <v>2</v>
      </c>
      <c r="B3" cm="1">
        <f t="array" ref="B3">SUM(Table3[Bonus]*12)</f>
        <v>1782000</v>
      </c>
    </row>
    <row r="4" spans="1:2" x14ac:dyDescent="0.3">
      <c r="A4">
        <v>3</v>
      </c>
      <c r="B4">
        <f>MAX(Table3[Basic_Salary])</f>
        <v>72000</v>
      </c>
    </row>
    <row r="5" spans="1:2" x14ac:dyDescent="0.3">
      <c r="A5">
        <v>4</v>
      </c>
      <c r="B5">
        <f>MIN(Table3[Basic_Salary])</f>
        <v>34000</v>
      </c>
    </row>
    <row r="6" spans="1:2" x14ac:dyDescent="0.3">
      <c r="A6">
        <v>5</v>
      </c>
      <c r="B6">
        <f>COUNTA(Table3[Employee_Name])</f>
        <v>20</v>
      </c>
    </row>
    <row r="7" spans="1:2" x14ac:dyDescent="0.3">
      <c r="A7">
        <v>6</v>
      </c>
      <c r="B7">
        <f>SUMIF(Table3[Department],DATASET!C2,Table3[Basic_Salary])</f>
        <v>212000</v>
      </c>
    </row>
    <row r="8" spans="1:2" x14ac:dyDescent="0.3">
      <c r="A8">
        <v>7</v>
      </c>
      <c r="B8">
        <f>AVERAGEIF(Table3[Department],DATASET!C4,Table3[Performance_Rating])</f>
        <v>3.9200000000000004</v>
      </c>
    </row>
    <row r="9" spans="1:2" x14ac:dyDescent="0.3">
      <c r="A9">
        <v>8</v>
      </c>
      <c r="B9">
        <f>COUNTIF(Table3[Employment_Status],DATASET!N2)</f>
        <v>19</v>
      </c>
    </row>
    <row r="10" spans="1:2" x14ac:dyDescent="0.3">
      <c r="A10">
        <v>9</v>
      </c>
      <c r="B10">
        <f>COUNTIF(Table3[Department],DATASET!C5)</f>
        <v>3</v>
      </c>
    </row>
    <row r="11" spans="1:2" x14ac:dyDescent="0.3">
      <c r="A11">
        <v>10</v>
      </c>
      <c r="B11" t="s">
        <v>165</v>
      </c>
    </row>
    <row r="12" spans="1:2" x14ac:dyDescent="0.3">
      <c r="A12">
        <v>11</v>
      </c>
      <c r="B12" t="s">
        <v>165</v>
      </c>
    </row>
    <row r="13" spans="1:2" x14ac:dyDescent="0.3">
      <c r="A13">
        <v>12</v>
      </c>
      <c r="B13" t="s">
        <v>165</v>
      </c>
    </row>
    <row r="14" spans="1:2" x14ac:dyDescent="0.3">
      <c r="A14">
        <v>13</v>
      </c>
      <c r="B14" t="s">
        <v>165</v>
      </c>
    </row>
    <row r="15" spans="1:2" x14ac:dyDescent="0.3">
      <c r="A15">
        <v>14</v>
      </c>
    </row>
    <row r="16" spans="1:2" x14ac:dyDescent="0.3">
      <c r="A16">
        <v>15</v>
      </c>
    </row>
    <row r="17" spans="1:2" x14ac:dyDescent="0.3">
      <c r="A17">
        <v>16</v>
      </c>
    </row>
    <row r="18" spans="1:2" x14ac:dyDescent="0.3">
      <c r="A18">
        <v>17</v>
      </c>
      <c r="B18" t="s">
        <v>165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EF4B-8A2C-46D8-A42B-6710385ADABE}">
  <dimension ref="A1:X21"/>
  <sheetViews>
    <sheetView showGridLines="0" tabSelected="1" topLeftCell="R1" zoomScale="99" workbookViewId="0">
      <selection activeCell="AA12" sqref="AA12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4" max="4" width="12.77734375" customWidth="1"/>
    <col min="5" max="5" width="9" customWidth="1"/>
    <col min="6" max="6" width="13.6640625" customWidth="1"/>
    <col min="7" max="7" width="21.33203125" customWidth="1"/>
    <col min="8" max="8" width="17.6640625" customWidth="1"/>
    <col min="9" max="9" width="11.44140625" customWidth="1"/>
    <col min="10" max="10" width="18.5546875" customWidth="1"/>
    <col min="11" max="11" width="17.21875" customWidth="1"/>
    <col min="12" max="12" width="16.88671875" customWidth="1"/>
    <col min="13" max="13" width="23.77734375" customWidth="1"/>
    <col min="14" max="14" width="25" customWidth="1"/>
    <col min="15" max="15" width="18.21875" customWidth="1"/>
    <col min="16" max="16" width="22.33203125" customWidth="1"/>
    <col min="17" max="17" width="21" customWidth="1"/>
    <col min="18" max="18" width="19.88671875" customWidth="1"/>
    <col min="19" max="19" width="36.77734375" customWidth="1"/>
    <col min="20" max="20" width="42.21875" customWidth="1"/>
    <col min="21" max="21" width="31.21875" customWidth="1"/>
    <col min="22" max="22" width="16.6640625" customWidth="1"/>
    <col min="23" max="23" width="13" customWidth="1"/>
    <col min="24" max="24" width="14.77734375" customWidth="1"/>
    <col min="25" max="25" width="18.109375" customWidth="1"/>
  </cols>
  <sheetData>
    <row r="1" spans="1:24" x14ac:dyDescent="0.3">
      <c r="A1" s="7" t="s">
        <v>47</v>
      </c>
      <c r="B1" s="7" t="s">
        <v>48</v>
      </c>
      <c r="C1" s="7" t="s">
        <v>28</v>
      </c>
      <c r="D1" s="7" t="s">
        <v>29</v>
      </c>
      <c r="E1" s="7" t="s">
        <v>30</v>
      </c>
      <c r="F1" s="7" t="s">
        <v>49</v>
      </c>
      <c r="G1" s="7" t="s">
        <v>50</v>
      </c>
      <c r="H1" s="7" t="s">
        <v>51</v>
      </c>
      <c r="I1" s="7" t="s">
        <v>31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164</v>
      </c>
      <c r="S1" s="7" t="s">
        <v>166</v>
      </c>
      <c r="T1" s="7" t="s">
        <v>167</v>
      </c>
      <c r="U1" s="7" t="s">
        <v>168</v>
      </c>
      <c r="V1" s="7" t="s">
        <v>169</v>
      </c>
      <c r="W1" s="7" t="s">
        <v>170</v>
      </c>
      <c r="X1" s="7" t="s">
        <v>171</v>
      </c>
    </row>
    <row r="2" spans="1:24" x14ac:dyDescent="0.3">
      <c r="A2" s="6" t="s">
        <v>60</v>
      </c>
      <c r="B2" s="6" t="s">
        <v>61</v>
      </c>
      <c r="C2" s="6" t="s">
        <v>41</v>
      </c>
      <c r="D2" s="6" t="s">
        <v>44</v>
      </c>
      <c r="E2" s="6" t="s">
        <v>34</v>
      </c>
      <c r="F2" s="10">
        <v>44576</v>
      </c>
      <c r="G2" s="10">
        <v>35925</v>
      </c>
      <c r="H2" s="6">
        <v>35000</v>
      </c>
      <c r="I2" s="6">
        <v>5000</v>
      </c>
      <c r="J2" s="6">
        <v>22</v>
      </c>
      <c r="K2" s="6">
        <v>2</v>
      </c>
      <c r="L2" s="6">
        <v>91</v>
      </c>
      <c r="M2" s="6">
        <v>4.2</v>
      </c>
      <c r="N2" s="6" t="s">
        <v>62</v>
      </c>
      <c r="O2" s="6" t="s">
        <v>63</v>
      </c>
      <c r="P2" s="6" t="s">
        <v>64</v>
      </c>
      <c r="Q2" s="6">
        <v>18</v>
      </c>
      <c r="R2" s="6" t="str">
        <f>IF(AND(Table3[[#This Row],[Attendance_%]]&gt;=95%,Table3[[#This Row],[Performance_Rating]]&gt;=4.5),"ELIGIBLE","NOT ELIGIBLE")</f>
        <v>NOT ELIGIBLE</v>
      </c>
      <c r="S2" s="6" t="str">
        <f>IF(OR(Table3[[#This Row],[Attendance_%]]&lt;=85,Table3[[#This Row],[Leave_Days]]&gt;=5),"YES","NO")</f>
        <v>NO</v>
      </c>
      <c r="T2" s="6">
        <f>SUM(Table3[[#This Row],[Basic_Salary]]+Table3[[#This Row],[Bonus]])</f>
        <v>40000</v>
      </c>
      <c r="U2" s="6">
        <f>Table3[[#This Row],[Basic_Salary]]+Table3[[#This Row],[Bonus]]*12</f>
        <v>95000</v>
      </c>
      <c r="V2" s="6"/>
      <c r="W2" s="6"/>
      <c r="X2" s="6" t="str">
        <f>TEXT(Table3[[#This Row],[Joining_Date]],"MM")</f>
        <v>01</v>
      </c>
    </row>
    <row r="3" spans="1:24" x14ac:dyDescent="0.3">
      <c r="A3" s="6" t="s">
        <v>65</v>
      </c>
      <c r="B3" s="6" t="s">
        <v>66</v>
      </c>
      <c r="C3" s="6" t="s">
        <v>36</v>
      </c>
      <c r="D3" s="6" t="s">
        <v>67</v>
      </c>
      <c r="E3" s="6" t="s">
        <v>40</v>
      </c>
      <c r="F3" s="10">
        <v>44277</v>
      </c>
      <c r="G3" s="10">
        <v>35295</v>
      </c>
      <c r="H3" s="6">
        <v>42000</v>
      </c>
      <c r="I3" s="6">
        <v>6500</v>
      </c>
      <c r="J3" s="6">
        <v>21</v>
      </c>
      <c r="K3" s="6">
        <v>1</v>
      </c>
      <c r="L3" s="6">
        <v>95</v>
      </c>
      <c r="M3" s="6">
        <v>4.5</v>
      </c>
      <c r="N3" s="6" t="s">
        <v>62</v>
      </c>
      <c r="O3" s="6" t="s">
        <v>68</v>
      </c>
      <c r="P3" s="6" t="s">
        <v>69</v>
      </c>
      <c r="Q3" s="6">
        <v>22</v>
      </c>
      <c r="R3" s="6" t="str">
        <f>IF(AND(Table3[[#This Row],[Attendance_%]]&gt;=95%,Table3[[#This Row],[Performance_Rating]]&gt;=4.5),"ELIGIBLE","NOT ELIGIBLE")</f>
        <v>ELIGIBLE</v>
      </c>
      <c r="S3" s="6" t="str">
        <f>IF(OR(Table3[[#This Row],[Attendance_%]]&lt;=85,Table3[[#This Row],[Leave_Days]]&gt;=5),"YES","NO")</f>
        <v>NO</v>
      </c>
      <c r="T3" s="6">
        <f>SUM(Table3[[#This Row],[Basic_Salary]]+Table3[[#This Row],[Bonus]])</f>
        <v>48500</v>
      </c>
      <c r="U3" s="6">
        <f>Table3[[#This Row],[Basic_Salary]]+Table3[[#This Row],[Bonus]]*12</f>
        <v>120000</v>
      </c>
      <c r="V3" s="6"/>
      <c r="W3" s="6"/>
      <c r="X3" s="6" t="str">
        <f>TEXT(Table3[[#This Row],[Joining_Date]],"MM")</f>
        <v>03</v>
      </c>
    </row>
    <row r="4" spans="1:24" ht="28.8" x14ac:dyDescent="0.3">
      <c r="A4" s="6" t="s">
        <v>70</v>
      </c>
      <c r="B4" s="6" t="s">
        <v>71</v>
      </c>
      <c r="C4" s="6" t="s">
        <v>38</v>
      </c>
      <c r="D4" s="6" t="s">
        <v>39</v>
      </c>
      <c r="E4" s="6" t="s">
        <v>34</v>
      </c>
      <c r="F4" s="10">
        <v>45117</v>
      </c>
      <c r="G4" s="10">
        <v>36581</v>
      </c>
      <c r="H4" s="6">
        <v>52000</v>
      </c>
      <c r="I4" s="6">
        <v>8000</v>
      </c>
      <c r="J4" s="6">
        <v>20</v>
      </c>
      <c r="K4" s="6">
        <v>4</v>
      </c>
      <c r="L4" s="6">
        <v>84</v>
      </c>
      <c r="M4" s="6">
        <v>3.7</v>
      </c>
      <c r="N4" s="6" t="s">
        <v>62</v>
      </c>
      <c r="O4" s="6" t="s">
        <v>72</v>
      </c>
      <c r="P4" s="6" t="s">
        <v>73</v>
      </c>
      <c r="Q4" s="6">
        <v>16</v>
      </c>
      <c r="R4" s="6" t="str">
        <f>IF(AND(Table3[[#This Row],[Attendance_%]]&gt;=95%,Table3[[#This Row],[Performance_Rating]]&gt;=4.5),"ELIGIBLE","NOT ELIGIBLE")</f>
        <v>NOT ELIGIBLE</v>
      </c>
      <c r="S4" s="6" t="str">
        <f>IF(OR(Table3[[#This Row],[Attendance_%]]&lt;=85,Table3[[#This Row],[Leave_Days]]&gt;=5),"YES","NO")</f>
        <v>YES</v>
      </c>
      <c r="T4" s="6">
        <f>SUM(Table3[[#This Row],[Basic_Salary]]+Table3[[#This Row],[Bonus]])</f>
        <v>60000</v>
      </c>
      <c r="U4" s="6">
        <f>Table3[[#This Row],[Basic_Salary]]+Table3[[#This Row],[Bonus]]*12</f>
        <v>148000</v>
      </c>
      <c r="V4" s="6"/>
      <c r="W4" s="6"/>
      <c r="X4" s="6" t="str">
        <f>TEXT(Table3[[#This Row],[Joining_Date]],"MM")</f>
        <v>07</v>
      </c>
    </row>
    <row r="5" spans="1:24" ht="28.8" x14ac:dyDescent="0.3">
      <c r="A5" s="6" t="s">
        <v>74</v>
      </c>
      <c r="B5" s="6" t="s">
        <v>75</v>
      </c>
      <c r="C5" s="6" t="s">
        <v>32</v>
      </c>
      <c r="D5" s="6" t="s">
        <v>33</v>
      </c>
      <c r="E5" s="6" t="s">
        <v>40</v>
      </c>
      <c r="F5" s="10">
        <v>44140</v>
      </c>
      <c r="G5" s="10">
        <v>35776</v>
      </c>
      <c r="H5" s="6">
        <v>38000</v>
      </c>
      <c r="I5" s="6">
        <v>12000</v>
      </c>
      <c r="J5" s="6">
        <v>23</v>
      </c>
      <c r="K5" s="6">
        <v>0</v>
      </c>
      <c r="L5" s="6">
        <v>100</v>
      </c>
      <c r="M5" s="6">
        <v>4.8</v>
      </c>
      <c r="N5" s="6" t="s">
        <v>62</v>
      </c>
      <c r="O5" s="6" t="s">
        <v>76</v>
      </c>
      <c r="P5" s="6" t="s">
        <v>77</v>
      </c>
      <c r="Q5" s="6">
        <v>20</v>
      </c>
      <c r="R5" s="6" t="str">
        <f>IF(AND(Table3[[#This Row],[Attendance_%]]&gt;=95%,Table3[[#This Row],[Performance_Rating]]&gt;=4.5),"ELIGIBLE","NOT ELIGIBLE")</f>
        <v>ELIGIBLE</v>
      </c>
      <c r="S5" s="6" t="str">
        <f>IF(OR(Table3[[#This Row],[Attendance_%]]&lt;=85,Table3[[#This Row],[Leave_Days]]&gt;=5),"YES","NO")</f>
        <v>NO</v>
      </c>
      <c r="T5" s="6">
        <f>SUM(Table3[[#This Row],[Basic_Salary]]+Table3[[#This Row],[Bonus]])</f>
        <v>50000</v>
      </c>
      <c r="U5" s="6">
        <f>Table3[[#This Row],[Basic_Salary]]+Table3[[#This Row],[Bonus]]*12</f>
        <v>182000</v>
      </c>
      <c r="V5" s="6"/>
      <c r="W5" s="6"/>
      <c r="X5" s="6" t="str">
        <f>TEXT(Table3[[#This Row],[Joining_Date]],"MM")</f>
        <v>11</v>
      </c>
    </row>
    <row r="6" spans="1:24" x14ac:dyDescent="0.3">
      <c r="A6" s="6" t="s">
        <v>78</v>
      </c>
      <c r="B6" s="6" t="s">
        <v>79</v>
      </c>
      <c r="C6" s="6" t="s">
        <v>41</v>
      </c>
      <c r="D6" s="6" t="s">
        <v>80</v>
      </c>
      <c r="E6" s="6" t="s">
        <v>34</v>
      </c>
      <c r="F6" s="10">
        <v>44610</v>
      </c>
      <c r="G6" s="10">
        <v>36257</v>
      </c>
      <c r="H6" s="6">
        <v>36000</v>
      </c>
      <c r="I6" s="6">
        <v>4500</v>
      </c>
      <c r="J6" s="6">
        <v>19</v>
      </c>
      <c r="K6" s="6">
        <v>5</v>
      </c>
      <c r="L6" s="6">
        <v>82</v>
      </c>
      <c r="M6" s="6">
        <v>3.5</v>
      </c>
      <c r="N6" s="6" t="s">
        <v>62</v>
      </c>
      <c r="O6" s="6" t="s">
        <v>63</v>
      </c>
      <c r="P6" s="6" t="s">
        <v>64</v>
      </c>
      <c r="Q6" s="6">
        <v>14</v>
      </c>
      <c r="R6" s="6" t="str">
        <f>IF(AND(Table3[[#This Row],[Attendance_%]]&gt;=95%,Table3[[#This Row],[Performance_Rating]]&gt;=4.5),"ELIGIBLE","NOT ELIGIBLE")</f>
        <v>NOT ELIGIBLE</v>
      </c>
      <c r="S6" s="6" t="str">
        <f>IF(OR(Table3[[#This Row],[Attendance_%]]&lt;=85,Table3[[#This Row],[Leave_Days]]&gt;=5),"YES","NO")</f>
        <v>YES</v>
      </c>
      <c r="T6" s="6">
        <f>SUM(Table3[[#This Row],[Basic_Salary]]+Table3[[#This Row],[Bonus]])</f>
        <v>40500</v>
      </c>
      <c r="U6" s="6">
        <f>Table3[[#This Row],[Basic_Salary]]+Table3[[#This Row],[Bonus]]*12</f>
        <v>90000</v>
      </c>
      <c r="V6" s="6"/>
      <c r="W6" s="6"/>
      <c r="X6" s="6" t="str">
        <f>TEXT(Table3[[#This Row],[Joining_Date]],"MM")</f>
        <v>02</v>
      </c>
    </row>
    <row r="7" spans="1:24" x14ac:dyDescent="0.3">
      <c r="A7" s="6" t="s">
        <v>81</v>
      </c>
      <c r="B7" s="6" t="s">
        <v>82</v>
      </c>
      <c r="C7" s="6" t="s">
        <v>83</v>
      </c>
      <c r="D7" s="6" t="s">
        <v>44</v>
      </c>
      <c r="E7" s="6" t="s">
        <v>34</v>
      </c>
      <c r="F7" s="10">
        <v>45302</v>
      </c>
      <c r="G7" s="10">
        <v>36959</v>
      </c>
      <c r="H7" s="6">
        <v>34000</v>
      </c>
      <c r="I7" s="6">
        <v>3000</v>
      </c>
      <c r="J7" s="6">
        <v>22</v>
      </c>
      <c r="K7" s="6">
        <v>2</v>
      </c>
      <c r="L7" s="6">
        <v>91</v>
      </c>
      <c r="M7" s="6">
        <v>4.0999999999999996</v>
      </c>
      <c r="N7" s="6" t="s">
        <v>84</v>
      </c>
      <c r="O7" s="6" t="s">
        <v>85</v>
      </c>
      <c r="P7" s="6" t="s">
        <v>64</v>
      </c>
      <c r="Q7" s="6">
        <v>10</v>
      </c>
      <c r="R7" s="6" t="str">
        <f>IF(AND(Table3[[#This Row],[Attendance_%]]&gt;=95%,Table3[[#This Row],[Performance_Rating]]&gt;=4.5),"ELIGIBLE","NOT ELIGIBLE")</f>
        <v>NOT ELIGIBLE</v>
      </c>
      <c r="S7" s="6" t="str">
        <f>IF(OR(Table3[[#This Row],[Attendance_%]]&lt;=85,Table3[[#This Row],[Leave_Days]]&gt;=5),"YES","NO")</f>
        <v>NO</v>
      </c>
      <c r="T7" s="6">
        <f>SUM(Table3[[#This Row],[Basic_Salary]]+Table3[[#This Row],[Bonus]])</f>
        <v>37000</v>
      </c>
      <c r="U7" s="6">
        <f>Table3[[#This Row],[Basic_Salary]]+Table3[[#This Row],[Bonus]]*12</f>
        <v>70000</v>
      </c>
      <c r="V7" s="6"/>
      <c r="W7" s="6"/>
      <c r="X7" s="6" t="str">
        <f>TEXT(Table3[[#This Row],[Joining_Date]],"MM")</f>
        <v>01</v>
      </c>
    </row>
    <row r="8" spans="1:24" x14ac:dyDescent="0.3">
      <c r="A8" s="6" t="s">
        <v>86</v>
      </c>
      <c r="B8" s="6" t="s">
        <v>87</v>
      </c>
      <c r="C8" s="6" t="s">
        <v>38</v>
      </c>
      <c r="D8" s="6" t="s">
        <v>88</v>
      </c>
      <c r="E8" s="6" t="s">
        <v>40</v>
      </c>
      <c r="F8" s="10">
        <v>44742</v>
      </c>
      <c r="G8" s="10">
        <v>36089</v>
      </c>
      <c r="H8" s="6">
        <v>48000</v>
      </c>
      <c r="I8" s="6">
        <v>7500</v>
      </c>
      <c r="J8" s="6">
        <v>21</v>
      </c>
      <c r="K8" s="6">
        <v>1</v>
      </c>
      <c r="L8" s="6">
        <v>95</v>
      </c>
      <c r="M8" s="6">
        <v>4.5999999999999996</v>
      </c>
      <c r="N8" s="6" t="s">
        <v>62</v>
      </c>
      <c r="O8" s="6" t="s">
        <v>89</v>
      </c>
      <c r="P8" s="6" t="s">
        <v>73</v>
      </c>
      <c r="Q8" s="6">
        <v>25</v>
      </c>
      <c r="R8" s="6" t="str">
        <f>IF(AND(Table3[[#This Row],[Attendance_%]]&gt;=95%,Table3[[#This Row],[Performance_Rating]]&gt;=4.5),"ELIGIBLE","NOT ELIGIBLE")</f>
        <v>ELIGIBLE</v>
      </c>
      <c r="S8" s="6" t="str">
        <f>IF(OR(Table3[[#This Row],[Attendance_%]]&lt;=85,Table3[[#This Row],[Leave_Days]]&gt;=5),"YES","NO")</f>
        <v>NO</v>
      </c>
      <c r="T8" s="6">
        <f>SUM(Table3[[#This Row],[Basic_Salary]]+Table3[[#This Row],[Bonus]])</f>
        <v>55500</v>
      </c>
      <c r="U8" s="6">
        <f>Table3[[#This Row],[Basic_Salary]]+Table3[[#This Row],[Bonus]]*12</f>
        <v>138000</v>
      </c>
      <c r="V8" s="6"/>
      <c r="W8" s="6"/>
      <c r="X8" s="6" t="str">
        <f>TEXT(Table3[[#This Row],[Joining_Date]],"MM")</f>
        <v>06</v>
      </c>
    </row>
    <row r="9" spans="1:24" x14ac:dyDescent="0.3">
      <c r="A9" s="6" t="s">
        <v>90</v>
      </c>
      <c r="B9" s="6" t="s">
        <v>91</v>
      </c>
      <c r="C9" s="6" t="s">
        <v>32</v>
      </c>
      <c r="D9" s="6" t="s">
        <v>43</v>
      </c>
      <c r="E9" s="6" t="s">
        <v>34</v>
      </c>
      <c r="F9" s="10">
        <v>43717</v>
      </c>
      <c r="G9" s="10">
        <v>34502</v>
      </c>
      <c r="H9" s="6">
        <v>65000</v>
      </c>
      <c r="I9" s="6">
        <v>15000</v>
      </c>
      <c r="J9" s="6">
        <v>22</v>
      </c>
      <c r="K9" s="6">
        <v>0</v>
      </c>
      <c r="L9" s="6">
        <v>100</v>
      </c>
      <c r="M9" s="6">
        <v>4.9000000000000004</v>
      </c>
      <c r="N9" s="6" t="s">
        <v>62</v>
      </c>
      <c r="O9" s="6" t="s">
        <v>72</v>
      </c>
      <c r="P9" s="6" t="s">
        <v>92</v>
      </c>
      <c r="Q9" s="6">
        <v>30</v>
      </c>
      <c r="R9" s="6" t="str">
        <f>IF(AND(Table3[[#This Row],[Attendance_%]]&gt;=95%,Table3[[#This Row],[Performance_Rating]]&gt;=4.5),"ELIGIBLE","NOT ELIGIBLE")</f>
        <v>ELIGIBLE</v>
      </c>
      <c r="S9" s="6" t="str">
        <f>IF(OR(Table3[[#This Row],[Attendance_%]]&lt;=85,Table3[[#This Row],[Leave_Days]]&gt;=5),"YES","NO")</f>
        <v>NO</v>
      </c>
      <c r="T9" s="6">
        <f>SUM(Table3[[#This Row],[Basic_Salary]]+Table3[[#This Row],[Bonus]])</f>
        <v>80000</v>
      </c>
      <c r="U9" s="6">
        <f>Table3[[#This Row],[Basic_Salary]]+Table3[[#This Row],[Bonus]]*12</f>
        <v>245000</v>
      </c>
      <c r="V9" s="6"/>
      <c r="W9" s="6"/>
      <c r="X9" s="6" t="str">
        <f>TEXT(Table3[[#This Row],[Joining_Date]],"MM")</f>
        <v>09</v>
      </c>
    </row>
    <row r="10" spans="1:24" x14ac:dyDescent="0.3">
      <c r="A10" s="6" t="s">
        <v>93</v>
      </c>
      <c r="B10" s="6" t="s">
        <v>94</v>
      </c>
      <c r="C10" s="6" t="s">
        <v>36</v>
      </c>
      <c r="D10" s="6" t="s">
        <v>67</v>
      </c>
      <c r="E10" s="6" t="s">
        <v>40</v>
      </c>
      <c r="F10" s="10">
        <v>45030</v>
      </c>
      <c r="G10" s="10">
        <v>36841</v>
      </c>
      <c r="H10" s="6">
        <v>41000</v>
      </c>
      <c r="I10" s="6">
        <v>6000</v>
      </c>
      <c r="J10" s="6">
        <v>18</v>
      </c>
      <c r="K10" s="6">
        <v>6</v>
      </c>
      <c r="L10" s="6">
        <v>75</v>
      </c>
      <c r="M10" s="6">
        <v>3.2</v>
      </c>
      <c r="N10" s="6" t="s">
        <v>62</v>
      </c>
      <c r="O10" s="6" t="s">
        <v>76</v>
      </c>
      <c r="P10" s="6" t="s">
        <v>69</v>
      </c>
      <c r="Q10" s="6">
        <v>12</v>
      </c>
      <c r="R10" s="6" t="str">
        <f>IF(AND(Table3[[#This Row],[Attendance_%]]&gt;=95%,Table3[[#This Row],[Performance_Rating]]&gt;=4.5),"ELIGIBLE","NOT ELIGIBLE")</f>
        <v>NOT ELIGIBLE</v>
      </c>
      <c r="S10" s="6" t="str">
        <f>IF(OR(Table3[[#This Row],[Attendance_%]]&lt;=85,Table3[[#This Row],[Leave_Days]]&gt;=5),"YES","NO")</f>
        <v>YES</v>
      </c>
      <c r="T10" s="6">
        <f>SUM(Table3[[#This Row],[Basic_Salary]]+Table3[[#This Row],[Bonus]])</f>
        <v>47000</v>
      </c>
      <c r="U10" s="6">
        <f>Table3[[#This Row],[Basic_Salary]]+Table3[[#This Row],[Bonus]]*12</f>
        <v>113000</v>
      </c>
      <c r="V10" s="6"/>
      <c r="W10" s="6"/>
      <c r="X10" s="6" t="str">
        <f>TEXT(Table3[[#This Row],[Joining_Date]],"MM")</f>
        <v>04</v>
      </c>
    </row>
    <row r="11" spans="1:24" x14ac:dyDescent="0.3">
      <c r="A11" s="6" t="s">
        <v>95</v>
      </c>
      <c r="B11" s="6" t="s">
        <v>96</v>
      </c>
      <c r="C11" s="6" t="s">
        <v>38</v>
      </c>
      <c r="D11" s="6" t="s">
        <v>97</v>
      </c>
      <c r="E11" s="6" t="s">
        <v>34</v>
      </c>
      <c r="F11" s="10">
        <v>44533</v>
      </c>
      <c r="G11" s="10">
        <v>34700</v>
      </c>
      <c r="H11" s="6">
        <v>50000</v>
      </c>
      <c r="I11" s="6">
        <v>7000</v>
      </c>
      <c r="J11" s="6">
        <v>20</v>
      </c>
      <c r="K11" s="6">
        <v>3</v>
      </c>
      <c r="L11" s="6">
        <v>86</v>
      </c>
      <c r="M11" s="6">
        <v>3.9</v>
      </c>
      <c r="N11" s="6" t="s">
        <v>62</v>
      </c>
      <c r="O11" s="6" t="s">
        <v>63</v>
      </c>
      <c r="P11" s="6" t="s">
        <v>73</v>
      </c>
      <c r="Q11" s="6">
        <v>19</v>
      </c>
      <c r="R11" s="6" t="str">
        <f>IF(AND(Table3[[#This Row],[Attendance_%]]&gt;=95%,Table3[[#This Row],[Performance_Rating]]&gt;=4.5),"ELIGIBLE","NOT ELIGIBLE")</f>
        <v>NOT ELIGIBLE</v>
      </c>
      <c r="S11" s="6" t="str">
        <f>IF(OR(Table3[[#This Row],[Attendance_%]]&lt;=85,Table3[[#This Row],[Leave_Days]]&gt;=5),"YES","NO")</f>
        <v>NO</v>
      </c>
      <c r="T11" s="6">
        <f>SUM(Table3[[#This Row],[Basic_Salary]]+Table3[[#This Row],[Bonus]])</f>
        <v>57000</v>
      </c>
      <c r="U11" s="6">
        <f>Table3[[#This Row],[Basic_Salary]]+Table3[[#This Row],[Bonus]]*12</f>
        <v>134000</v>
      </c>
      <c r="V11" s="6"/>
      <c r="W11" s="6"/>
      <c r="X11" s="6" t="str">
        <f>TEXT(Table3[[#This Row],[Joining_Date]],"MM")</f>
        <v>12</v>
      </c>
    </row>
    <row r="12" spans="1:24" ht="28.8" x14ac:dyDescent="0.3">
      <c r="A12" s="6" t="s">
        <v>98</v>
      </c>
      <c r="B12" s="6" t="s">
        <v>99</v>
      </c>
      <c r="C12" s="6" t="s">
        <v>35</v>
      </c>
      <c r="D12" s="6" t="s">
        <v>100</v>
      </c>
      <c r="E12" s="6" t="s">
        <v>40</v>
      </c>
      <c r="F12" s="10">
        <v>44793</v>
      </c>
      <c r="G12" s="10">
        <v>36309</v>
      </c>
      <c r="H12" s="6">
        <v>39000</v>
      </c>
      <c r="I12" s="6">
        <v>5500</v>
      </c>
      <c r="J12" s="6">
        <v>22</v>
      </c>
      <c r="K12" s="6">
        <v>1</v>
      </c>
      <c r="L12" s="6">
        <v>95</v>
      </c>
      <c r="M12" s="6">
        <v>4.4000000000000004</v>
      </c>
      <c r="N12" s="6" t="s">
        <v>62</v>
      </c>
      <c r="O12" s="6" t="s">
        <v>101</v>
      </c>
      <c r="P12" s="6" t="s">
        <v>102</v>
      </c>
      <c r="Q12" s="6">
        <v>18</v>
      </c>
      <c r="R12" s="6" t="str">
        <f>IF(AND(Table3[[#This Row],[Attendance_%]]&gt;=95%,Table3[[#This Row],[Performance_Rating]]&gt;=4.5),"ELIGIBLE","NOT ELIGIBLE")</f>
        <v>NOT ELIGIBLE</v>
      </c>
      <c r="S12" s="6" t="str">
        <f>IF(OR(Table3[[#This Row],[Attendance_%]]&lt;=85,Table3[[#This Row],[Leave_Days]]&gt;=5),"YES","NO")</f>
        <v>NO</v>
      </c>
      <c r="T12" s="6">
        <f>SUM(Table3[[#This Row],[Basic_Salary]]+Table3[[#This Row],[Bonus]])</f>
        <v>44500</v>
      </c>
      <c r="U12" s="6">
        <f>Table3[[#This Row],[Basic_Salary]]+Table3[[#This Row],[Bonus]]*12</f>
        <v>105000</v>
      </c>
      <c r="V12" s="6"/>
      <c r="W12" s="6"/>
      <c r="X12" s="6" t="str">
        <f>TEXT(Table3[[#This Row],[Joining_Date]],"MM")</f>
        <v>08</v>
      </c>
    </row>
    <row r="13" spans="1:24" ht="28.8" x14ac:dyDescent="0.3">
      <c r="A13" s="6" t="s">
        <v>103</v>
      </c>
      <c r="B13" s="6" t="s">
        <v>104</v>
      </c>
      <c r="C13" s="6" t="s">
        <v>37</v>
      </c>
      <c r="D13" s="6" t="s">
        <v>105</v>
      </c>
      <c r="E13" s="6" t="s">
        <v>34</v>
      </c>
      <c r="F13" s="10">
        <v>43968</v>
      </c>
      <c r="G13" s="10">
        <v>34014</v>
      </c>
      <c r="H13" s="6">
        <v>46000</v>
      </c>
      <c r="I13" s="6">
        <v>6000</v>
      </c>
      <c r="J13" s="6">
        <v>21</v>
      </c>
      <c r="K13" s="6">
        <v>2</v>
      </c>
      <c r="L13" s="6">
        <v>91</v>
      </c>
      <c r="M13" s="6">
        <v>4</v>
      </c>
      <c r="N13" s="6" t="s">
        <v>62</v>
      </c>
      <c r="O13" s="6" t="s">
        <v>106</v>
      </c>
      <c r="P13" s="6" t="s">
        <v>107</v>
      </c>
      <c r="Q13" s="6">
        <v>24</v>
      </c>
      <c r="R13" s="6" t="str">
        <f>IF(AND(Table3[[#This Row],[Attendance_%]]&gt;=95%,Table3[[#This Row],[Performance_Rating]]&gt;=4.5),"ELIGIBLE","NOT ELIGIBLE")</f>
        <v>NOT ELIGIBLE</v>
      </c>
      <c r="S13" s="6" t="str">
        <f>IF(OR(Table3[[#This Row],[Attendance_%]]&lt;=85,Table3[[#This Row],[Leave_Days]]&gt;=5),"YES","NO")</f>
        <v>NO</v>
      </c>
      <c r="T13" s="6">
        <f>SUM(Table3[[#This Row],[Basic_Salary]]+Table3[[#This Row],[Bonus]])</f>
        <v>52000</v>
      </c>
      <c r="U13" s="6">
        <f>Table3[[#This Row],[Basic_Salary]]+Table3[[#This Row],[Bonus]]*12</f>
        <v>118000</v>
      </c>
      <c r="V13" s="6"/>
      <c r="W13" s="6"/>
      <c r="X13" s="6" t="str">
        <f>TEXT(Table3[[#This Row],[Joining_Date]],"MM")</f>
        <v>05</v>
      </c>
    </row>
    <row r="14" spans="1:24" x14ac:dyDescent="0.3">
      <c r="A14" s="6" t="s">
        <v>108</v>
      </c>
      <c r="B14" s="6" t="s">
        <v>64</v>
      </c>
      <c r="C14" s="6" t="s">
        <v>41</v>
      </c>
      <c r="D14" s="6" t="s">
        <v>42</v>
      </c>
      <c r="E14" s="6" t="s">
        <v>40</v>
      </c>
      <c r="F14" s="10">
        <v>43112</v>
      </c>
      <c r="G14" s="10">
        <v>33131</v>
      </c>
      <c r="H14" s="6">
        <v>72000</v>
      </c>
      <c r="I14" s="6">
        <v>18000</v>
      </c>
      <c r="J14" s="6">
        <v>22</v>
      </c>
      <c r="K14" s="6">
        <v>0</v>
      </c>
      <c r="L14" s="6">
        <v>100</v>
      </c>
      <c r="M14" s="6">
        <v>4.9000000000000004</v>
      </c>
      <c r="N14" s="6" t="s">
        <v>62</v>
      </c>
      <c r="O14" s="6" t="s">
        <v>63</v>
      </c>
      <c r="P14" s="6" t="s">
        <v>109</v>
      </c>
      <c r="Q14" s="6">
        <v>35</v>
      </c>
      <c r="R14" s="6" t="str">
        <f>IF(AND(Table3[[#This Row],[Attendance_%]]&gt;=95%,Table3[[#This Row],[Performance_Rating]]&gt;=4.5),"ELIGIBLE","NOT ELIGIBLE")</f>
        <v>ELIGIBLE</v>
      </c>
      <c r="S14" s="6" t="str">
        <f>IF(OR(Table3[[#This Row],[Attendance_%]]&lt;=85,Table3[[#This Row],[Leave_Days]]&gt;=5),"YES","NO")</f>
        <v>NO</v>
      </c>
      <c r="T14" s="6">
        <f>SUM(Table3[[#This Row],[Basic_Salary]]+Table3[[#This Row],[Bonus]])</f>
        <v>90000</v>
      </c>
      <c r="U14" s="6">
        <f>Table3[[#This Row],[Basic_Salary]]+Table3[[#This Row],[Bonus]]*12</f>
        <v>288000</v>
      </c>
      <c r="V14" s="6"/>
      <c r="W14" s="6"/>
      <c r="X14" s="6" t="str">
        <f>TEXT(Table3[[#This Row],[Joining_Date]],"MM")</f>
        <v>01</v>
      </c>
    </row>
    <row r="15" spans="1:24" x14ac:dyDescent="0.3">
      <c r="A15" s="6" t="s">
        <v>110</v>
      </c>
      <c r="B15" s="6" t="s">
        <v>111</v>
      </c>
      <c r="C15" s="6" t="s">
        <v>38</v>
      </c>
      <c r="D15" s="6" t="s">
        <v>112</v>
      </c>
      <c r="E15" s="6" t="s">
        <v>34</v>
      </c>
      <c r="F15" s="10">
        <v>45224</v>
      </c>
      <c r="G15" s="10">
        <v>37091</v>
      </c>
      <c r="H15" s="6">
        <v>47000</v>
      </c>
      <c r="I15" s="6">
        <v>5000</v>
      </c>
      <c r="J15" s="6">
        <v>19</v>
      </c>
      <c r="K15" s="6">
        <v>4</v>
      </c>
      <c r="L15" s="6">
        <v>82</v>
      </c>
      <c r="M15" s="6">
        <v>3.6</v>
      </c>
      <c r="N15" s="6" t="s">
        <v>62</v>
      </c>
      <c r="O15" s="6" t="s">
        <v>72</v>
      </c>
      <c r="P15" s="6" t="s">
        <v>73</v>
      </c>
      <c r="Q15" s="6">
        <v>15</v>
      </c>
      <c r="R15" s="6" t="str">
        <f>IF(AND(Table3[[#This Row],[Attendance_%]]&gt;=95%,Table3[[#This Row],[Performance_Rating]]&gt;=4.5),"ELIGIBLE","NOT ELIGIBLE")</f>
        <v>NOT ELIGIBLE</v>
      </c>
      <c r="S15" s="6" t="str">
        <f>IF(OR(Table3[[#This Row],[Attendance_%]]&lt;=85,Table3[[#This Row],[Leave_Days]]&gt;=5),"YES","NO")</f>
        <v>YES</v>
      </c>
      <c r="T15" s="6">
        <f>SUM(Table3[[#This Row],[Basic_Salary]]+Table3[[#This Row],[Bonus]])</f>
        <v>52000</v>
      </c>
      <c r="U15" s="6">
        <f>Table3[[#This Row],[Basic_Salary]]+Table3[[#This Row],[Bonus]]*12</f>
        <v>107000</v>
      </c>
      <c r="V15" s="6"/>
      <c r="W15" s="6"/>
      <c r="X15" s="6" t="str">
        <f>TEXT(Table3[[#This Row],[Joining_Date]],"MM")</f>
        <v>10</v>
      </c>
    </row>
    <row r="16" spans="1:24" ht="28.8" x14ac:dyDescent="0.3">
      <c r="A16" s="6" t="s">
        <v>113</v>
      </c>
      <c r="B16" s="6" t="s">
        <v>114</v>
      </c>
      <c r="C16" s="6" t="s">
        <v>36</v>
      </c>
      <c r="D16" s="6" t="s">
        <v>115</v>
      </c>
      <c r="E16" s="6" t="s">
        <v>40</v>
      </c>
      <c r="F16" s="10">
        <v>43532</v>
      </c>
      <c r="G16" s="10">
        <v>34364</v>
      </c>
      <c r="H16" s="6">
        <v>58000</v>
      </c>
      <c r="I16" s="6">
        <v>10000</v>
      </c>
      <c r="J16" s="6">
        <v>23</v>
      </c>
      <c r="K16" s="6">
        <v>0</v>
      </c>
      <c r="L16" s="6">
        <v>100</v>
      </c>
      <c r="M16" s="6">
        <v>4.7</v>
      </c>
      <c r="N16" s="6" t="s">
        <v>62</v>
      </c>
      <c r="O16" s="6" t="s">
        <v>68</v>
      </c>
      <c r="P16" s="6" t="s">
        <v>69</v>
      </c>
      <c r="Q16" s="6">
        <v>28</v>
      </c>
      <c r="R16" s="6" t="str">
        <f>IF(AND(Table3[[#This Row],[Attendance_%]]&gt;=95%,Table3[[#This Row],[Performance_Rating]]&gt;=4.5),"ELIGIBLE","NOT ELIGIBLE")</f>
        <v>ELIGIBLE</v>
      </c>
      <c r="S16" s="6" t="str">
        <f>IF(OR(Table3[[#This Row],[Attendance_%]]&lt;=85,Table3[[#This Row],[Leave_Days]]&gt;=5),"YES","NO")</f>
        <v>NO</v>
      </c>
      <c r="T16" s="6">
        <f>SUM(Table3[[#This Row],[Basic_Salary]]+Table3[[#This Row],[Bonus]])</f>
        <v>68000</v>
      </c>
      <c r="U16" s="6">
        <f>Table3[[#This Row],[Basic_Salary]]+Table3[[#This Row],[Bonus]]*12</f>
        <v>178000</v>
      </c>
      <c r="V16" s="6"/>
      <c r="W16" s="6"/>
      <c r="X16" s="6" t="str">
        <f>TEXT(Table3[[#This Row],[Joining_Date]],"MM")</f>
        <v>03</v>
      </c>
    </row>
    <row r="17" spans="1:24" x14ac:dyDescent="0.3">
      <c r="A17" s="6" t="s">
        <v>116</v>
      </c>
      <c r="B17" s="6" t="s">
        <v>61</v>
      </c>
      <c r="C17" s="6" t="s">
        <v>41</v>
      </c>
      <c r="D17" s="6" t="s">
        <v>44</v>
      </c>
      <c r="E17" s="6" t="s">
        <v>34</v>
      </c>
      <c r="F17" s="10">
        <v>44576</v>
      </c>
      <c r="G17" s="10">
        <v>35925</v>
      </c>
      <c r="H17" s="6">
        <v>35000</v>
      </c>
      <c r="I17" s="6">
        <v>5000</v>
      </c>
      <c r="J17" s="6">
        <v>22</v>
      </c>
      <c r="K17" s="6">
        <v>2</v>
      </c>
      <c r="L17" s="6">
        <v>91</v>
      </c>
      <c r="M17" s="6">
        <v>4.2</v>
      </c>
      <c r="N17" s="6" t="s">
        <v>62</v>
      </c>
      <c r="O17" s="6" t="s">
        <v>63</v>
      </c>
      <c r="P17" s="6" t="s">
        <v>64</v>
      </c>
      <c r="Q17" s="6">
        <v>18</v>
      </c>
      <c r="R17" s="6" t="str">
        <f>IF(AND(Table3[[#This Row],[Attendance_%]]&gt;=95%,Table3[[#This Row],[Performance_Rating]]&gt;=4.5),"ELIGIBLE","NOT ELIGIBLE")</f>
        <v>NOT ELIGIBLE</v>
      </c>
      <c r="S17" s="6" t="str">
        <f>IF(OR(Table3[[#This Row],[Attendance_%]]&lt;=85,Table3[[#This Row],[Leave_Days]]&gt;=5),"YES","NO")</f>
        <v>NO</v>
      </c>
      <c r="T17" s="6">
        <f>SUM(Table3[[#This Row],[Basic_Salary]]+Table3[[#This Row],[Bonus]])</f>
        <v>40000</v>
      </c>
      <c r="U17" s="6">
        <f>Table3[[#This Row],[Basic_Salary]]+Table3[[#This Row],[Bonus]]*12</f>
        <v>95000</v>
      </c>
      <c r="V17" s="6"/>
      <c r="W17" s="6"/>
      <c r="X17" s="6" t="str">
        <f>TEXT(Table3[[#This Row],[Joining_Date]],"MM")</f>
        <v>01</v>
      </c>
    </row>
    <row r="18" spans="1:24" ht="28.8" x14ac:dyDescent="0.3">
      <c r="A18" s="6" t="s">
        <v>117</v>
      </c>
      <c r="B18" s="6" t="s">
        <v>118</v>
      </c>
      <c r="C18" s="6" t="s">
        <v>38</v>
      </c>
      <c r="D18" s="6" t="s">
        <v>39</v>
      </c>
      <c r="E18" s="6" t="s">
        <v>34</v>
      </c>
      <c r="F18" s="10">
        <v>45324</v>
      </c>
      <c r="G18" s="10">
        <v>37003</v>
      </c>
      <c r="H18" s="6">
        <v>51000</v>
      </c>
      <c r="I18" s="6">
        <v>6500</v>
      </c>
      <c r="J18" s="6">
        <v>20</v>
      </c>
      <c r="K18" s="6">
        <v>3</v>
      </c>
      <c r="L18" s="6">
        <v>86</v>
      </c>
      <c r="M18" s="6">
        <v>3.8</v>
      </c>
      <c r="N18" s="6" t="s">
        <v>62</v>
      </c>
      <c r="O18" s="6" t="s">
        <v>119</v>
      </c>
      <c r="P18" s="6" t="s">
        <v>73</v>
      </c>
      <c r="Q18" s="6">
        <v>11</v>
      </c>
      <c r="R18" s="6" t="str">
        <f>IF(AND(Table3[[#This Row],[Attendance_%]]&gt;=95%,Table3[[#This Row],[Performance_Rating]]&gt;=4.5),"ELIGIBLE","NOT ELIGIBLE")</f>
        <v>NOT ELIGIBLE</v>
      </c>
      <c r="S18" s="6" t="str">
        <f>IF(OR(Table3[[#This Row],[Attendance_%]]&lt;=85,Table3[[#This Row],[Leave_Days]]&gt;=5),"YES","NO")</f>
        <v>NO</v>
      </c>
      <c r="T18" s="6">
        <f>SUM(Table3[[#This Row],[Basic_Salary]]+Table3[[#This Row],[Bonus]])</f>
        <v>57500</v>
      </c>
      <c r="U18" s="6">
        <f>Table3[[#This Row],[Basic_Salary]]+Table3[[#This Row],[Bonus]]*12</f>
        <v>129000</v>
      </c>
      <c r="V18" s="6"/>
      <c r="W18" s="6"/>
      <c r="X18" s="6" t="str">
        <f>TEXT(Table3[[#This Row],[Joining_Date]],"MM")</f>
        <v>02</v>
      </c>
    </row>
    <row r="19" spans="1:24" ht="28.8" x14ac:dyDescent="0.3">
      <c r="A19" s="6" t="s">
        <v>120</v>
      </c>
      <c r="B19" s="6" t="s">
        <v>121</v>
      </c>
      <c r="C19" s="6" t="s">
        <v>32</v>
      </c>
      <c r="D19" s="6" t="s">
        <v>33</v>
      </c>
      <c r="E19" s="6" t="s">
        <v>40</v>
      </c>
      <c r="F19" s="10">
        <v>44405</v>
      </c>
      <c r="G19" s="10">
        <v>36145</v>
      </c>
      <c r="H19" s="6">
        <v>37000</v>
      </c>
      <c r="I19" s="6">
        <v>9000</v>
      </c>
      <c r="J19" s="6">
        <v>21</v>
      </c>
      <c r="K19" s="6">
        <v>1</v>
      </c>
      <c r="L19" s="6">
        <v>95</v>
      </c>
      <c r="M19" s="6">
        <v>4.5</v>
      </c>
      <c r="N19" s="6" t="s">
        <v>122</v>
      </c>
      <c r="O19" s="6" t="s">
        <v>76</v>
      </c>
      <c r="P19" s="6" t="s">
        <v>77</v>
      </c>
      <c r="Q19" s="6">
        <v>17</v>
      </c>
      <c r="R19" s="6" t="str">
        <f>IF(AND(Table3[[#This Row],[Attendance_%]]&gt;=95%,Table3[[#This Row],[Performance_Rating]]&gt;=4.5),"ELIGIBLE","NOT ELIGIBLE")</f>
        <v>ELIGIBLE</v>
      </c>
      <c r="S19" s="6" t="str">
        <f>IF(OR(Table3[[#This Row],[Attendance_%]]&lt;=85,Table3[[#This Row],[Leave_Days]]&gt;=5),"YES","NO")</f>
        <v>NO</v>
      </c>
      <c r="T19" s="6">
        <f>SUM(Table3[[#This Row],[Basic_Salary]]+Table3[[#This Row],[Bonus]])</f>
        <v>46000</v>
      </c>
      <c r="U19" s="6">
        <f>Table3[[#This Row],[Basic_Salary]]+Table3[[#This Row],[Bonus]]*12</f>
        <v>145000</v>
      </c>
      <c r="V19" s="6"/>
      <c r="W19" s="6"/>
      <c r="X19" s="6" t="str">
        <f>TEXT(Table3[[#This Row],[Joining_Date]],"MM")</f>
        <v>07</v>
      </c>
    </row>
    <row r="20" spans="1:24" ht="28.8" x14ac:dyDescent="0.3">
      <c r="A20" s="6" t="s">
        <v>123</v>
      </c>
      <c r="B20" s="6" t="s">
        <v>123</v>
      </c>
      <c r="C20" s="6" t="s">
        <v>37</v>
      </c>
      <c r="D20" s="6" t="s">
        <v>105</v>
      </c>
      <c r="E20" s="6" t="s">
        <v>34</v>
      </c>
      <c r="F20" s="10">
        <v>44723</v>
      </c>
      <c r="G20" s="10">
        <v>35651</v>
      </c>
      <c r="H20" s="6">
        <v>43000</v>
      </c>
      <c r="I20" s="6">
        <v>4500</v>
      </c>
      <c r="J20" s="6">
        <v>20</v>
      </c>
      <c r="K20" s="6">
        <v>5</v>
      </c>
      <c r="L20" s="6">
        <v>82</v>
      </c>
      <c r="M20" s="6">
        <v>3.4</v>
      </c>
      <c r="N20" s="6" t="s">
        <v>62</v>
      </c>
      <c r="O20" s="6" t="s">
        <v>106</v>
      </c>
      <c r="P20" s="6" t="s">
        <v>107</v>
      </c>
      <c r="Q20" s="6">
        <v>13</v>
      </c>
      <c r="R20" s="6" t="str">
        <f>IF(AND(Table3[[#This Row],[Attendance_%]]&gt;=95%,Table3[[#This Row],[Performance_Rating]]&gt;=4.5),"ELIGIBLE","NOT ELIGIBLE")</f>
        <v>NOT ELIGIBLE</v>
      </c>
      <c r="S20" s="6" t="str">
        <f>IF(OR(Table3[[#This Row],[Attendance_%]]&lt;=85,Table3[[#This Row],[Leave_Days]]&gt;=5),"YES","NO")</f>
        <v>YES</v>
      </c>
      <c r="T20" s="6">
        <f>SUM(Table3[[#This Row],[Basic_Salary]]+Table3[[#This Row],[Bonus]])</f>
        <v>47500</v>
      </c>
      <c r="U20" s="6">
        <f>Table3[[#This Row],[Basic_Salary]]+Table3[[#This Row],[Bonus]]*12</f>
        <v>97000</v>
      </c>
      <c r="V20" s="6"/>
      <c r="W20" s="6"/>
      <c r="X20" s="6" t="str">
        <f>TEXT(Table3[[#This Row],[Joining_Date]],"MM")</f>
        <v>06</v>
      </c>
    </row>
    <row r="21" spans="1:24" ht="28.8" x14ac:dyDescent="0.3">
      <c r="A21" s="6" t="s">
        <v>123</v>
      </c>
      <c r="B21" s="6" t="s">
        <v>123</v>
      </c>
      <c r="C21" s="6" t="s">
        <v>37</v>
      </c>
      <c r="D21" s="6" t="s">
        <v>105</v>
      </c>
      <c r="E21" s="6" t="s">
        <v>34</v>
      </c>
      <c r="F21" s="10">
        <v>44723</v>
      </c>
      <c r="G21" s="10">
        <v>35651</v>
      </c>
      <c r="H21" s="6">
        <v>43000</v>
      </c>
      <c r="I21" s="6">
        <v>4500</v>
      </c>
      <c r="J21" s="6">
        <v>20</v>
      </c>
      <c r="K21" s="6">
        <v>5</v>
      </c>
      <c r="L21" s="6">
        <v>82</v>
      </c>
      <c r="M21" s="6">
        <v>3.4</v>
      </c>
      <c r="N21" s="6" t="s">
        <v>62</v>
      </c>
      <c r="O21" s="6" t="s">
        <v>106</v>
      </c>
      <c r="P21" s="6" t="s">
        <v>107</v>
      </c>
      <c r="Q21" s="6">
        <v>13</v>
      </c>
      <c r="R21" s="6" t="str">
        <f>IF(AND(Table3[[#This Row],[Attendance_%]]&gt;=95%,Table3[[#This Row],[Performance_Rating]]&gt;=4.5),"ELIGIBLE","NOT ELIGIBLE")</f>
        <v>NOT ELIGIBLE</v>
      </c>
      <c r="S21" s="6" t="str">
        <f>IF(OR(Table3[[#This Row],[Attendance_%]]&lt;=85,Table3[[#This Row],[Leave_Days]]&gt;=5),"YES","NO")</f>
        <v>YES</v>
      </c>
      <c r="T21" s="6">
        <f>SUM(Table3[[#This Row],[Basic_Salary]]+Table3[[#This Row],[Bonus]])</f>
        <v>47500</v>
      </c>
      <c r="U21" s="6">
        <f>Table3[[#This Row],[Basic_Salary]]+Table3[[#This Row],[Bonus]]*12</f>
        <v>97000</v>
      </c>
      <c r="V21" s="6"/>
      <c r="W21" s="6"/>
      <c r="X21" s="6" t="str">
        <f>TEXT(Table3[[#This Row],[Joining_Date]],"MM")</f>
        <v>06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QUESTIONS</vt:lpstr>
      <vt:lpstr>Sheet2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NANDANA C K</cp:lastModifiedBy>
  <cp:revision>0</cp:revision>
  <dcterms:created xsi:type="dcterms:W3CDTF">2026-07-29T02:10:46Z</dcterms:created>
  <dcterms:modified xsi:type="dcterms:W3CDTF">2026-08-06T05:57:34Z</dcterms:modified>
  <dc:language>en-US</dc:language>
</cp:coreProperties>
</file>