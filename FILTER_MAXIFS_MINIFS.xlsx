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5E497D7F-0E48-4658-B7FF-8EE0A2EE0095}" xr6:coauthVersionLast="47" xr6:coauthVersionMax="47" xr10:uidLastSave="{00000000-0000-0000-0000-000000000000}"/>
  <bookViews>
    <workbookView xWindow="-108" yWindow="-108" windowWidth="23256" windowHeight="13896" xr2:uid="{0AA99ECD-81DB-43B8-9CED-8280BA8813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A11" i="1" a="1"/>
  <c r="A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<sst xmlns="http://schemas.openxmlformats.org/spreadsheetml/2006/main" count="57" uniqueCount="32">
  <si>
    <t>Employee ID</t>
  </si>
  <si>
    <t>Name</t>
  </si>
  <si>
    <t>Department</t>
  </si>
  <si>
    <t>City</t>
  </si>
  <si>
    <t>Sales</t>
  </si>
  <si>
    <t>Salary</t>
  </si>
  <si>
    <t>Status</t>
  </si>
  <si>
    <t>Arun</t>
  </si>
  <si>
    <t>Kochi</t>
  </si>
  <si>
    <t>Completed</t>
  </si>
  <si>
    <t>Meera</t>
  </si>
  <si>
    <t>HR</t>
  </si>
  <si>
    <t>Chennai</t>
  </si>
  <si>
    <t>Pending</t>
  </si>
  <si>
    <t>Rahul</t>
  </si>
  <si>
    <t>Bangalore</t>
  </si>
  <si>
    <t>Anu</t>
  </si>
  <si>
    <t>IT</t>
  </si>
  <si>
    <t>Vivek</t>
  </si>
  <si>
    <t>Neha</t>
  </si>
  <si>
    <t>Ajay</t>
  </si>
  <si>
    <t>Priya</t>
  </si>
  <si>
    <t>Questions</t>
  </si>
  <si>
    <r>
      <t>1. Filter:</t>
    </r>
    <r>
      <rPr>
        <sz val="11"/>
        <color theme="1"/>
        <rFont val="Aptos Narrow"/>
        <family val="2"/>
        <scheme val="minor"/>
      </rPr>
      <t xml:space="preserve"> Filter employees who belong to the </t>
    </r>
    <r>
      <rPr>
        <b/>
        <sz val="11"/>
        <color theme="1"/>
        <rFont val="Aptos Narrow"/>
        <family val="2"/>
        <scheme val="minor"/>
      </rPr>
      <t>Sales department</t>
    </r>
    <r>
      <rPr>
        <sz val="11"/>
        <color theme="1"/>
        <rFont val="Aptos Narrow"/>
        <family val="2"/>
        <scheme val="minor"/>
      </rPr>
      <t>.</t>
    </r>
  </si>
  <si>
    <r>
      <t>2. SUMIF: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total sales generated by Sales department employees</t>
    </r>
    <r>
      <rPr>
        <sz val="11"/>
        <color theme="1"/>
        <rFont val="Aptos Narrow"/>
        <family val="2"/>
        <scheme val="minor"/>
      </rPr>
      <t>.</t>
    </r>
  </si>
  <si>
    <r>
      <t>3. SUMIFS: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total sales from Sales department employees in Bangalore city</t>
    </r>
    <r>
      <rPr>
        <sz val="11"/>
        <color theme="1"/>
        <rFont val="Aptos Narrow"/>
        <family val="2"/>
        <scheme val="minor"/>
      </rPr>
      <t>.</t>
    </r>
  </si>
  <si>
    <r>
      <t>4. COUNTIF:</t>
    </r>
    <r>
      <rPr>
        <sz val="11"/>
        <color theme="1"/>
        <rFont val="Aptos Narrow"/>
        <family val="2"/>
        <scheme val="minor"/>
      </rPr>
      <t xml:space="preserve"> Count the number of employees with </t>
    </r>
    <r>
      <rPr>
        <b/>
        <sz val="11"/>
        <color theme="1"/>
        <rFont val="Aptos Narrow"/>
        <family val="2"/>
        <scheme val="minor"/>
      </rPr>
      <t>Completed status</t>
    </r>
    <r>
      <rPr>
        <sz val="11"/>
        <color theme="1"/>
        <rFont val="Aptos Narrow"/>
        <family val="2"/>
        <scheme val="minor"/>
      </rPr>
      <t>.</t>
    </r>
  </si>
  <si>
    <r>
      <t>5. COUNTIFS:</t>
    </r>
    <r>
      <rPr>
        <sz val="11"/>
        <color theme="1"/>
        <rFont val="Aptos Narrow"/>
        <family val="2"/>
        <scheme val="minor"/>
      </rPr>
      <t xml:space="preserve"> Count the number of employees who are in </t>
    </r>
    <r>
      <rPr>
        <b/>
        <sz val="11"/>
        <color theme="1"/>
        <rFont val="Aptos Narrow"/>
        <family val="2"/>
        <scheme val="minor"/>
      </rPr>
      <t>Sales department and Bangalore city</t>
    </r>
    <r>
      <rPr>
        <sz val="11"/>
        <color theme="1"/>
        <rFont val="Aptos Narrow"/>
        <family val="2"/>
        <scheme val="minor"/>
      </rPr>
      <t>.</t>
    </r>
  </si>
  <si>
    <r>
      <t>6. MINIFS: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minimum sales value among Sales department employees</t>
    </r>
    <r>
      <rPr>
        <sz val="11"/>
        <color theme="1"/>
        <rFont val="Aptos Narrow"/>
        <family val="2"/>
        <scheme val="minor"/>
      </rPr>
      <t>.</t>
    </r>
  </si>
  <si>
    <r>
      <t>7. MAXIFS: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maximum salary among IT department employees</t>
    </r>
    <r>
      <rPr>
        <sz val="11"/>
        <color theme="1"/>
        <rFont val="Aptos Narrow"/>
        <family val="2"/>
        <scheme val="minor"/>
      </rPr>
      <t>.</t>
    </r>
  </si>
  <si>
    <t>Column1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</si>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</sst>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76E05-A38D-42DA-8BA0-E0EFD7E86329}" name="Table1" displayName="Table1" ref="A1:G10" totalsRowCount="1" headerRowDxfId="17" dataDxfId="16">
  <autoFilter ref="A1:G9" xr:uid="{70176E05-A38D-42DA-8BA0-E0EFD7E86329}"/>
  <tableColumns count="7">
    <tableColumn id="1" xr3:uid="{C5D0A5CB-1F3F-4BB5-B88A-C76CA00B65F2}" name="Employee ID" totalsRowLabel="1" dataDxfId="15" totalsRowDxfId="6"/>
    <tableColumn id="2" xr3:uid="{6287F59E-A0CE-4055-818F-B06BDB27E8B0}" name="Name" dataDxfId="14" totalsRowDxfId="5"/>
    <tableColumn id="3" xr3:uid="{599B1C45-02E9-4EF4-820A-40618205AB57}" name="Department" dataDxfId="13" totalsRowDxfId="4"/>
    <tableColumn id="4" xr3:uid="{CA74868A-02C5-4661-B8E1-D868B9741B6E}" name="City" dataDxfId="12" totalsRowDxfId="3"/>
    <tableColumn id="5" xr3:uid="{B77E1FCE-2578-47F8-A7C9-51A05B90DBE5}" name="Sales" dataDxfId="11" totalsRowDxfId="2"/>
    <tableColumn id="6" xr3:uid="{D4D7F405-035C-4045-9919-D928507E8A40}" name="Salary" dataDxfId="10" totalsRowDxfId="1"/>
    <tableColumn id="7" xr3:uid="{164398E4-F5D0-4E33-9CD4-0E112EA616A6}" name="Status" dataDxfId="9" totalsRow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2FE758-CAA1-4B10-869E-1E0C10CFA7CC}" name="Table25" displayName="Table25" ref="L1:L9" totalsRowShown="0">
  <autoFilter ref="L1:L9" xr:uid="{252FE758-CAA1-4B10-869E-1E0C10CFA7CC}"/>
  <tableColumns count="1">
    <tableColumn id="1" xr3:uid="{2CE42761-1618-4143-BBB5-D2DD8C5DA5D6}" name="Questions" dataDxfId="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A7FB6-5DBB-4D29-B92C-90E26AB110C5}" name="Table2" displayName="Table2" ref="A1:B9" totalsRowShown="0">
  <autoFilter ref="A1:B9" xr:uid="{514A7FB6-5DBB-4D29-B92C-90E26AB110C5}"/>
  <tableColumns count="2">
    <tableColumn id="1" xr3:uid="{43DE9B7B-0C4E-44B1-8251-CA8583ED8031}" name="Questions" dataDxfId="7"/>
    <tableColumn id="2" xr3:uid="{21E60C20-F9C2-462D-BB09-E28F0F771F9B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1C15-5803-4C6A-8B67-4153A74CF7BE}">
  <dimension ref="A1:L22"/>
  <sheetViews>
    <sheetView tabSelected="1" workbookViewId="0">
      <selection activeCell="B17" sqref="B17"/>
    </sheetView>
  </sheetViews>
  <sheetFormatPr defaultRowHeight="14.4" x14ac:dyDescent="0.3"/>
  <cols>
    <col min="1" max="1" width="15.77734375" bestFit="1" customWidth="1"/>
    <col min="2" max="2" width="10.44140625" bestFit="1" customWidth="1"/>
    <col min="3" max="3" width="15.44140625" bestFit="1" customWidth="1"/>
    <col min="4" max="4" width="14.88671875" customWidth="1"/>
    <col min="5" max="5" width="10" bestFit="1" customWidth="1"/>
    <col min="6" max="6" width="10.6640625" bestFit="1" customWidth="1"/>
    <col min="7" max="7" width="10.77734375" bestFit="1" customWidth="1"/>
    <col min="12" max="12" width="80" bestFit="1" customWidth="1"/>
  </cols>
  <sheetData>
    <row r="1" spans="1:12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3" t="s">
        <v>22</v>
      </c>
    </row>
    <row r="2" spans="1:12" x14ac:dyDescent="0.3">
      <c r="A2" s="2">
        <v>101</v>
      </c>
      <c r="B2" s="2" t="s">
        <v>7</v>
      </c>
      <c r="C2" s="2" t="s">
        <v>4</v>
      </c>
      <c r="D2" s="2" t="s">
        <v>8</v>
      </c>
      <c r="E2" s="2">
        <v>45000</v>
      </c>
      <c r="F2" s="2">
        <v>55000</v>
      </c>
      <c r="G2" s="2" t="s">
        <v>9</v>
      </c>
      <c r="L2" s="4"/>
    </row>
    <row r="3" spans="1:12" x14ac:dyDescent="0.3">
      <c r="A3" s="2">
        <v>102</v>
      </c>
      <c r="B3" s="2" t="s">
        <v>10</v>
      </c>
      <c r="C3" s="2" t="s">
        <v>11</v>
      </c>
      <c r="D3" s="2" t="s">
        <v>12</v>
      </c>
      <c r="E3" s="2">
        <v>30000</v>
      </c>
      <c r="F3" s="2">
        <v>45000</v>
      </c>
      <c r="G3" s="2" t="s">
        <v>13</v>
      </c>
      <c r="L3" s="5" t="s">
        <v>23</v>
      </c>
    </row>
    <row r="4" spans="1:12" x14ac:dyDescent="0.3">
      <c r="A4" s="2">
        <v>103</v>
      </c>
      <c r="B4" s="2" t="s">
        <v>14</v>
      </c>
      <c r="C4" s="2" t="s">
        <v>4</v>
      </c>
      <c r="D4" s="2" t="s">
        <v>15</v>
      </c>
      <c r="E4" s="2">
        <v>60000</v>
      </c>
      <c r="F4" s="2">
        <v>65000</v>
      </c>
      <c r="G4" s="2" t="s">
        <v>9</v>
      </c>
      <c r="L4" s="5" t="s">
        <v>24</v>
      </c>
    </row>
    <row r="5" spans="1:12" x14ac:dyDescent="0.3">
      <c r="A5" s="2">
        <v>104</v>
      </c>
      <c r="B5" s="2" t="s">
        <v>16</v>
      </c>
      <c r="C5" s="2" t="s">
        <v>17</v>
      </c>
      <c r="D5" s="2" t="s">
        <v>8</v>
      </c>
      <c r="E5" s="2">
        <v>50000</v>
      </c>
      <c r="F5" s="2">
        <v>70000</v>
      </c>
      <c r="G5" s="2" t="s">
        <v>9</v>
      </c>
      <c r="L5" s="5" t="s">
        <v>25</v>
      </c>
    </row>
    <row r="6" spans="1:12" x14ac:dyDescent="0.3">
      <c r="A6" s="2">
        <v>105</v>
      </c>
      <c r="B6" s="2" t="s">
        <v>18</v>
      </c>
      <c r="C6" s="2" t="s">
        <v>11</v>
      </c>
      <c r="D6" s="2" t="s">
        <v>12</v>
      </c>
      <c r="E6" s="2">
        <v>25000</v>
      </c>
      <c r="F6" s="2">
        <v>40000</v>
      </c>
      <c r="G6" s="2" t="s">
        <v>13</v>
      </c>
      <c r="L6" s="5" t="s">
        <v>26</v>
      </c>
    </row>
    <row r="7" spans="1:12" x14ac:dyDescent="0.3">
      <c r="A7" s="2">
        <v>106</v>
      </c>
      <c r="B7" s="2" t="s">
        <v>19</v>
      </c>
      <c r="C7" s="2" t="s">
        <v>4</v>
      </c>
      <c r="D7" s="2" t="s">
        <v>15</v>
      </c>
      <c r="E7" s="2">
        <v>70000</v>
      </c>
      <c r="F7" s="2">
        <v>75000</v>
      </c>
      <c r="G7" s="2" t="s">
        <v>9</v>
      </c>
      <c r="L7" s="5" t="s">
        <v>27</v>
      </c>
    </row>
    <row r="8" spans="1:12" x14ac:dyDescent="0.3">
      <c r="A8" s="2">
        <v>107</v>
      </c>
      <c r="B8" s="2" t="s">
        <v>20</v>
      </c>
      <c r="C8" s="2" t="s">
        <v>17</v>
      </c>
      <c r="D8" s="2" t="s">
        <v>8</v>
      </c>
      <c r="E8" s="2">
        <v>35000</v>
      </c>
      <c r="F8" s="2">
        <v>60000</v>
      </c>
      <c r="G8" s="2" t="s">
        <v>13</v>
      </c>
      <c r="L8" s="5" t="s">
        <v>28</v>
      </c>
    </row>
    <row r="9" spans="1:12" x14ac:dyDescent="0.3">
      <c r="A9" s="2">
        <v>108</v>
      </c>
      <c r="B9" s="2" t="s">
        <v>21</v>
      </c>
      <c r="C9" s="2" t="s">
        <v>4</v>
      </c>
      <c r="D9" s="2" t="s">
        <v>12</v>
      </c>
      <c r="E9" s="2">
        <v>55000</v>
      </c>
      <c r="F9" s="2">
        <v>58000</v>
      </c>
      <c r="G9" s="2" t="s">
        <v>9</v>
      </c>
      <c r="L9" s="5" t="s">
        <v>29</v>
      </c>
    </row>
    <row r="10" spans="1:12" x14ac:dyDescent="0.3">
      <c r="A10" s="2" t="s">
        <v>31</v>
      </c>
      <c r="B10" s="2"/>
      <c r="C10" s="2"/>
      <c r="D10" s="2"/>
      <c r="E10" s="2"/>
      <c r="F10" s="2"/>
      <c r="G10" s="2"/>
    </row>
    <row r="11" spans="1:12" x14ac:dyDescent="0.3">
      <c r="A11" t="str" cm="1">
        <f t="array" ref="A11:A14">_xlfn._xlws.FILTER(Table1[Name],Table1[Department]="sales")</f>
        <v>Arun</v>
      </c>
      <c r="B11">
        <v>6</v>
      </c>
      <c r="C11">
        <f>_xlfn.MINIFS(Table1[Sales],Table1[Department],C2)</f>
        <v>45000</v>
      </c>
    </row>
    <row r="12" spans="1:12" x14ac:dyDescent="0.3">
      <c r="A12" t="str">
        <v>Rahul</v>
      </c>
      <c r="B12">
        <v>7</v>
      </c>
      <c r="C12">
        <f>_xlfn.MAXIFS(Table1[Salary],Table1[Department],C5)</f>
        <v>70000</v>
      </c>
    </row>
    <row r="13" spans="1:12" x14ac:dyDescent="0.3">
      <c r="A13" t="str">
        <v>Neha</v>
      </c>
      <c r="B13">
        <v>2</v>
      </c>
      <c r="C13">
        <f>SUMIF(Table1[Department],C2,Table1[Sales])</f>
        <v>230000</v>
      </c>
    </row>
    <row r="14" spans="1:12" x14ac:dyDescent="0.3">
      <c r="A14" t="str">
        <v>Priya</v>
      </c>
      <c r="B14">
        <v>3</v>
      </c>
      <c r="C14">
        <f>SUMIFS(Table1[Sales],Table1[Department],C2,Table1[City],D4)</f>
        <v>130000</v>
      </c>
    </row>
    <row r="15" spans="1:12" x14ac:dyDescent="0.3">
      <c r="B15">
        <v>4</v>
      </c>
      <c r="C15">
        <f>COUNTIF(Table1[Status],G2)</f>
        <v>5</v>
      </c>
    </row>
    <row r="16" spans="1:12" x14ac:dyDescent="0.3">
      <c r="B16">
        <v>5</v>
      </c>
      <c r="C16">
        <f>COUNTIFS(Table1[Department],C2,Table1[City],D4)</f>
        <v>2</v>
      </c>
    </row>
    <row r="22" spans="4:4" x14ac:dyDescent="0.3">
      <c r="D22" s="6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890E-6528-413C-A093-9030F9B6F361}">
  <dimension ref="A1:B9"/>
  <sheetViews>
    <sheetView workbookViewId="0">
      <selection sqref="A1:B9"/>
    </sheetView>
  </sheetViews>
  <sheetFormatPr defaultRowHeight="14.4" x14ac:dyDescent="0.3"/>
  <cols>
    <col min="1" max="1" width="83.77734375" customWidth="1"/>
    <col min="2" max="2" width="10.33203125" customWidth="1"/>
  </cols>
  <sheetData>
    <row r="1" spans="1:2" ht="18" x14ac:dyDescent="0.3">
      <c r="A1" s="3" t="s">
        <v>22</v>
      </c>
      <c r="B1" t="s">
        <v>30</v>
      </c>
    </row>
    <row r="2" spans="1:2" x14ac:dyDescent="0.3">
      <c r="A2" s="4"/>
    </row>
    <row r="3" spans="1:2" x14ac:dyDescent="0.3">
      <c r="A3" s="5" t="s">
        <v>23</v>
      </c>
    </row>
    <row r="4" spans="1:2" x14ac:dyDescent="0.3">
      <c r="A4" s="5" t="s">
        <v>24</v>
      </c>
    </row>
    <row r="5" spans="1:2" x14ac:dyDescent="0.3">
      <c r="A5" s="5" t="s">
        <v>25</v>
      </c>
    </row>
    <row r="6" spans="1:2" x14ac:dyDescent="0.3">
      <c r="A6" s="5" t="s">
        <v>26</v>
      </c>
    </row>
    <row r="7" spans="1:2" x14ac:dyDescent="0.3">
      <c r="A7" s="5" t="s">
        <v>27</v>
      </c>
    </row>
    <row r="8" spans="1:2" x14ac:dyDescent="0.3">
      <c r="A8" s="5" t="s">
        <v>28</v>
      </c>
    </row>
    <row r="9" spans="1:2" x14ac:dyDescent="0.3">
      <c r="A9" s="5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NANDANA C K</cp:lastModifiedBy>
  <dcterms:created xsi:type="dcterms:W3CDTF">2026-07-30T06:49:29Z</dcterms:created>
  <dcterms:modified xsi:type="dcterms:W3CDTF">2026-08-05T04:05:29Z</dcterms:modified>
</cp:coreProperties>
</file>