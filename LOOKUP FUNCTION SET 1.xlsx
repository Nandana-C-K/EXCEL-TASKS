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5893150-EE82-4CE1-8686-5D7D50BA719D}" xr6:coauthVersionLast="47" xr6:coauthVersionMax="47" xr10:uidLastSave="{00000000-0000-0000-0000-000000000000}"/>
  <bookViews>
    <workbookView xWindow="-108" yWindow="-108" windowWidth="23256" windowHeight="13896" xr2:uid="{BB60E487-C15C-4304-9FF4-83022D644A0F}"/>
  </bookViews>
  <sheets>
    <sheet name="Employee Master Table" sheetId="1" r:id="rId1"/>
    <sheet name="LOOKUP PRACTISE TABLE" sheetId="2" r:id="rId2"/>
    <sheet name="TASKS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1" l="1"/>
  <c r="E23" i="1"/>
  <c r="E22" i="1"/>
  <c r="E21" i="1"/>
  <c r="E20" i="1"/>
  <c r="E19" i="1"/>
  <c r="E18" i="1"/>
  <c r="E17" i="1"/>
  <c r="A23" i="1" a="1"/>
  <c r="A23" i="1" s="1"/>
  <c r="A21" i="1"/>
  <c r="A20" i="1"/>
  <c r="A18" i="1"/>
  <c r="A17" i="1"/>
  <c r="B17" i="1"/>
  <c r="A16" i="1"/>
  <c r="A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<sst xmlns="http://schemas.openxmlformats.org/spreadsheetml/2006/main" count="129" uniqueCount="100">
  <si>
    <t>Employee ID</t>
  </si>
  <si>
    <t>Employee Name</t>
  </si>
  <si>
    <t>Department</t>
  </si>
  <si>
    <t>City</t>
  </si>
  <si>
    <t>Salary</t>
  </si>
  <si>
    <t>Rating</t>
  </si>
  <si>
    <t>EMP001</t>
  </si>
  <si>
    <t>Arun Kumar</t>
  </si>
  <si>
    <t>HR</t>
  </si>
  <si>
    <t>Kochi</t>
  </si>
  <si>
    <t>EMP002</t>
  </si>
  <si>
    <t>Neha Sharma</t>
  </si>
  <si>
    <t>Finance</t>
  </si>
  <si>
    <t>Delhi</t>
  </si>
  <si>
    <t>EMP003</t>
  </si>
  <si>
    <t>Rahul Nair</t>
  </si>
  <si>
    <t>IT</t>
  </si>
  <si>
    <t>Bengaluru</t>
  </si>
  <si>
    <t>EMP004</t>
  </si>
  <si>
    <t>Priya Menon</t>
  </si>
  <si>
    <t>Sales</t>
  </si>
  <si>
    <t>Chennai</t>
  </si>
  <si>
    <t>EMP005</t>
  </si>
  <si>
    <t>Vishal Gupta</t>
  </si>
  <si>
    <t>Marketing</t>
  </si>
  <si>
    <t>Mumbai</t>
  </si>
  <si>
    <t>EMP006</t>
  </si>
  <si>
    <t>Sneha Das</t>
  </si>
  <si>
    <t>Pune</t>
  </si>
  <si>
    <t>EMP007</t>
  </si>
  <si>
    <t>Akash Singh</t>
  </si>
  <si>
    <t>Hyderabad</t>
  </si>
  <si>
    <t>EMP008</t>
  </si>
  <si>
    <t>Meera Joseph</t>
  </si>
  <si>
    <t>EMP009</t>
  </si>
  <si>
    <t>John Mathew</t>
  </si>
  <si>
    <t>Kolkata</t>
  </si>
  <si>
    <t>EMP010</t>
  </si>
  <si>
    <t>Aisha Khan</t>
  </si>
  <si>
    <t>Jaipur</t>
  </si>
  <si>
    <t>Result</t>
  </si>
  <si>
    <t>No.</t>
  </si>
  <si>
    <t>Task</t>
  </si>
  <si>
    <t>Return "Not Found" if an Employee ID does not exist.</t>
  </si>
  <si>
    <t>Function Name</t>
  </si>
  <si>
    <t>Simple Definition</t>
  </si>
  <si>
    <t>Purpose</t>
  </si>
  <si>
    <t>Syntax</t>
  </si>
  <si>
    <t>VLOOKUP</t>
  </si>
  <si>
    <t>Searches for a value vertically in the first column of a table and returns a related value from another column.</t>
  </si>
  <si>
    <t>Used to find information from a table when the lookup value is available in the first column.</t>
  </si>
  <si>
    <t>=VLOOKUP(lookup_value, table_array, col_index_num, [range_lookup])</t>
  </si>
  <si>
    <t>XLOOKUP</t>
  </si>
  <si>
    <t>Searches for a value in one range and returns the corresponding value from another range.</t>
  </si>
  <si>
    <t>Used for modern lookup operations. It can search left, right, up, or down and allows custom messages when values are not found.</t>
  </si>
  <si>
    <t>=XLOOKUP(lookup_value, lookup_array, return_array, [if_not_found])</t>
  </si>
  <si>
    <t>MATCH</t>
  </si>
  <si>
    <t>Finds the position (row number or column number) of a value in a range.</t>
  </si>
  <si>
    <t>Used to identify the location of a value. Commonly combined with INDEX for advanced lookups.</t>
  </si>
  <si>
    <t>=MATCH(lookup_value, lookup_array, [match_type])</t>
  </si>
  <si>
    <t>INDEX</t>
  </si>
  <si>
    <t>Returns a value from a specific position in a range or table.</t>
  </si>
  <si>
    <t>Used to retrieve data by specifying the row number and column number.</t>
  </si>
  <si>
    <t>=INDEX(array, row_num, [column_num])</t>
  </si>
  <si>
    <t>INDEX + MATCH</t>
  </si>
  <si>
    <t>Combines INDEX and MATCH to search for a value and return the corresponding result.</t>
  </si>
  <si>
    <t>Used as an advanced alternative to VLOOKUP. It can lookup values in any direction and is more flexible.</t>
  </si>
  <si>
    <t>INDEX(return_range, MATCH(lookup_value, lookup_range, 0))</t>
  </si>
  <si>
    <t>Function</t>
  </si>
  <si>
    <t>Introduced</t>
  </si>
  <si>
    <t>Old / New</t>
  </si>
  <si>
    <t>Main Purpose</t>
  </si>
  <si>
    <t>Limitation / Advantage</t>
  </si>
  <si>
    <t>Excel 1985</t>
  </si>
  <si>
    <t>Old Function</t>
  </si>
  <si>
    <t>Searches a value vertically and returns data from another column.</t>
  </si>
  <si>
    <t>Simple for beginners but can only search from left to right and requires column number.</t>
  </si>
  <si>
    <t>Finds the position of a value in a row or column.</t>
  </si>
  <si>
    <t>Does not return data by itself; mainly used with INDEX.</t>
  </si>
  <si>
    <t>Returns a value from a specific row and column position.</t>
  </si>
  <si>
    <t>Flexible but needs a position number.</t>
  </si>
  <si>
    <t>Combination of INDEX and MATCH (commonly used before XLOOKUP)</t>
  </si>
  <si>
    <t>Old Advanced Method</t>
  </si>
  <si>
    <t>Searches for a value and returns related information.</t>
  </si>
  <si>
    <t>More powerful than VLOOKUP but formula is longer.</t>
  </si>
  <si>
    <t>Excel 2021 / Microsoft 365</t>
  </si>
  <si>
    <t>New Function</t>
  </si>
  <si>
    <t>Modern replacement for VLOOKUP and HLOOKUP.</t>
  </si>
  <si>
    <t>Easier syntax, searches in any direction, and handles errors better.</t>
  </si>
  <si>
    <r>
      <t xml:space="preserve">Find the </t>
    </r>
    <r>
      <rPr>
        <b/>
        <sz val="11"/>
        <color theme="1"/>
        <rFont val="Aptos Narrow"/>
        <family val="2"/>
        <scheme val="minor"/>
      </rPr>
      <t>Employee Name</t>
    </r>
    <r>
      <rPr>
        <sz val="11"/>
        <color theme="1"/>
        <rFont val="Aptos Narrow"/>
        <family val="2"/>
        <scheme val="minor"/>
      </rPr>
      <t xml:space="preserve"> for the mentioned Employee ID.(USING VLOOKUP)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</si>
  <si>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for the mentioned  Employee ID.(USING VLOOKUP)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</si>
  <si>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for the mentioned  Employee ID.(USING XLOOKUP)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</si>
  <si>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for the mentioned Employee ID.(USING XLOOKUP)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</si>
  <si>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Performance Rating</t>
    </r>
    <r>
      <rPr>
        <sz val="11"/>
        <color theme="1"/>
        <rFont val="Aptos Narrow"/>
        <family val="2"/>
        <scheme val="minor"/>
      </rPr>
      <t xml:space="preserve"> for the mentioned  Employee ID.(USING XLOOKUP)</t>
    </r>
  </si>
  <si>
    <t>XLOOKUP(H2,$A$2:$A$11,$B$2:$B$11,"Not Found")</t>
  </si>
  <si>
    <t>Retrieve CITY of EMP004 one column at a time.(USING INDEX AND MATCH)</t>
  </si>
  <si>
    <t>Find the salary of EMP008 using a different lookup function.(USING INDEX AND MATCH)</t>
  </si>
  <si>
    <t xml:space="preserve"> </t>
  </si>
  <si>
    <t>ANSWERS</t>
  </si>
  <si>
    <t>Q.NO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</si>
</sst>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3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AF0AD6-F8D0-46EB-ADF1-C2C879EE227F}" name="Table4" displayName="Table4" ref="A1:F11" totalsRowShown="0" headerRowDxfId="25" dataDxfId="24">
  <autoFilter ref="A1:F11" xr:uid="{CEAF0AD6-F8D0-46EB-ADF1-C2C879EE227F}"/>
  <tableColumns count="6">
    <tableColumn id="1" xr3:uid="{05AD79AD-DC42-400C-B4F6-4D9D3F750D8A}" name="Employee ID" dataDxfId="23"/>
    <tableColumn id="2" xr3:uid="{02197869-61F5-443B-BF28-B6C4E111CC95}" name="Employee Name" dataDxfId="22"/>
    <tableColumn id="3" xr3:uid="{27653C59-296C-43CC-A9DF-F3F9B138DCF1}" name="Department" dataDxfId="21"/>
    <tableColumn id="4" xr3:uid="{82112CE5-26D8-4482-BF4B-0889C483C68A}" name="City" dataDxfId="20"/>
    <tableColumn id="5" xr3:uid="{8D199132-164B-425C-AE23-B50B058351AA}" name="Salary" dataDxfId="19"/>
    <tableColumn id="6" xr3:uid="{1689DA0F-A0CA-43EA-B0AE-03AE95A2A4E7}" name="Rating" dataDxfId="1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AFD88A-E1F6-41A5-92EE-8CE7FA910A15}" name="Table39" displayName="Table39" ref="D16:E24" totalsRowShown="0" headerRowDxfId="3" dataDxfId="2">
  <autoFilter ref="D16:E24" xr:uid="{83AFD88A-E1F6-41A5-92EE-8CE7FA910A15}"/>
  <tableColumns count="2">
    <tableColumn id="1" xr3:uid="{1C240CD0-B134-4C70-8A5C-8EED12D36CB4}" name="Employee ID" dataDxfId="1"/>
    <tableColumn id="2" xr3:uid="{EC28F9B2-B859-45B2-A7A8-C46404D40303}" name="Result" dataDxfId="0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1920D6-2BBA-49C7-8D69-471401FCEE7A}" name="Table3" displayName="Table3" ref="A1:B8" totalsRowShown="0" headerRowDxfId="29" dataDxfId="28">
  <autoFilter ref="A1:B8" xr:uid="{CC1920D6-2BBA-49C7-8D69-471401FCEE7A}"/>
  <tableColumns count="2">
    <tableColumn id="1" xr3:uid="{BAD31440-F9E5-41F7-BE9F-0FD1F4BC2E08}" name="Employee ID" dataDxfId="27"/>
    <tableColumn id="2" xr3:uid="{063E1B6C-1717-44B5-9D49-30513C9A01F6}" name="Result" dataDxfId="26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2750F2-4A07-4D31-A94E-C846A79E5C0C}" name="Table2" displayName="Table2" ref="A1:B10" totalsRowShown="0">
  <autoFilter ref="A1:B10" xr:uid="{452750F2-4A07-4D31-A94E-C846A79E5C0C}"/>
  <tableColumns count="2">
    <tableColumn id="1" xr3:uid="{5E0F208B-1E5E-4B4C-9CE2-62FD1D8BF8F3}" name="No." dataDxfId="17"/>
    <tableColumn id="2" xr3:uid="{FE057659-6415-42F7-9D7C-E40A2B4CABF7}" name="Task" dataDxfId="1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63327-B6F9-4A79-B552-9B6BD8EEB3B7}" name="Table1" displayName="Table1" ref="A1:D6" totalsRowShown="0" headerRowDxfId="15">
  <autoFilter ref="A1:D6" xr:uid="{38F63327-B6F9-4A79-B552-9B6BD8EEB3B7}"/>
  <tableColumns count="4">
    <tableColumn id="1" xr3:uid="{9FF2374C-1EE7-4E1B-995C-DAB4A712C9A0}" name="Function Name" dataDxfId="14"/>
    <tableColumn id="2" xr3:uid="{A38AC6B2-C669-485C-8B5F-34802AF7A31D}" name="Simple Definition" dataDxfId="13"/>
    <tableColumn id="3" xr3:uid="{690A3C96-7AA0-42C3-85B3-2886ABB4391B}" name="Purpose" dataDxfId="12"/>
    <tableColumn id="4" xr3:uid="{9DB2B7D9-18FD-4AF9-82C3-D66BB12239FE}" name="Syntax" dataDxfId="1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F05AB6-7FE6-4601-95CB-C5CB1EFBCB68}" name="Table5" displayName="Table5" ref="A10:E15" totalsRowShown="0" headerRowDxfId="10" dataDxfId="9">
  <autoFilter ref="A10:E15" xr:uid="{34F05AB6-7FE6-4601-95CB-C5CB1EFBCB68}"/>
  <tableColumns count="5">
    <tableColumn id="1" xr3:uid="{1492B510-EEE2-4831-8AE8-EDB963D597DD}" name="Function" dataDxfId="8"/>
    <tableColumn id="2" xr3:uid="{B7B21AE2-38CF-430E-9950-45F5F8CF4B64}" name="Introduced" dataDxfId="7"/>
    <tableColumn id="3" xr3:uid="{7BA2AD7D-4C84-4DCE-98C0-C6DFE8C845F9}" name="Old / New" dataDxfId="6"/>
    <tableColumn id="4" xr3:uid="{CA54A38E-1996-4129-86DD-9B912FA409FA}" name="Main Purpose" dataDxfId="5"/>
    <tableColumn id="5" xr3:uid="{F19325F2-76F1-44A8-9BD1-B82A0451D7F8}" name="Limitation / Advantage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D36E-4424-44BF-9C5C-B19806652E07}">
  <dimension ref="A1:H24"/>
  <sheetViews>
    <sheetView tabSelected="1" zoomScale="110" workbookViewId="0">
      <selection activeCell="E25" sqref="E25"/>
    </sheetView>
  </sheetViews>
  <sheetFormatPr defaultRowHeight="14.4"/>
  <cols>
    <col min="1" max="1" width="13.21875" customWidth="1"/>
    <col min="2" max="2" width="16.44140625" customWidth="1"/>
    <col min="3" max="3" width="12.88671875" customWidth="1"/>
    <col min="4" max="4" width="11.33203125" customWidth="1"/>
    <col min="5" max="5" width="25" customWidth="1"/>
    <col min="6" max="6" width="11.44140625" customWidth="1"/>
    <col min="7" max="7" width="10.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8">
      <c r="A2" s="4" t="s">
        <v>6</v>
      </c>
      <c r="B2" s="4" t="s">
        <v>7</v>
      </c>
      <c r="C2" s="4" t="s">
        <v>8</v>
      </c>
      <c r="D2" s="4" t="s">
        <v>9</v>
      </c>
      <c r="E2" s="2">
        <v>35000</v>
      </c>
      <c r="F2" s="2">
        <v>4.2</v>
      </c>
    </row>
    <row r="3" spans="1:8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4.5</v>
      </c>
    </row>
    <row r="4" spans="1:8" ht="28.8">
      <c r="A4" s="4" t="s">
        <v>14</v>
      </c>
      <c r="B4" s="4" t="s">
        <v>15</v>
      </c>
      <c r="C4" s="4" t="s">
        <v>16</v>
      </c>
      <c r="D4" s="4" t="s">
        <v>17</v>
      </c>
      <c r="E4" s="2">
        <v>50000</v>
      </c>
      <c r="F4" s="2">
        <v>4.8</v>
      </c>
    </row>
    <row r="5" spans="1:8">
      <c r="A5" s="4" t="s">
        <v>18</v>
      </c>
      <c r="B5" s="4" t="s">
        <v>19</v>
      </c>
      <c r="C5" s="4" t="s">
        <v>20</v>
      </c>
      <c r="D5" s="4" t="s">
        <v>21</v>
      </c>
      <c r="E5" s="2">
        <v>38000</v>
      </c>
      <c r="F5" s="2">
        <v>4.0999999999999996</v>
      </c>
    </row>
    <row r="6" spans="1:8">
      <c r="A6" s="4" t="s">
        <v>22</v>
      </c>
      <c r="B6" s="4" t="s">
        <v>23</v>
      </c>
      <c r="C6" s="4" t="s">
        <v>24</v>
      </c>
      <c r="D6" s="4" t="s">
        <v>25</v>
      </c>
      <c r="E6" s="2">
        <v>45000</v>
      </c>
      <c r="F6" s="2">
        <v>4.5999999999999996</v>
      </c>
    </row>
    <row r="7" spans="1:8">
      <c r="A7" s="4" t="s">
        <v>26</v>
      </c>
      <c r="B7" s="4" t="s">
        <v>27</v>
      </c>
      <c r="C7" s="4" t="s">
        <v>8</v>
      </c>
      <c r="D7" s="4" t="s">
        <v>28</v>
      </c>
      <c r="E7" s="2">
        <v>36000</v>
      </c>
      <c r="F7" s="2">
        <v>4</v>
      </c>
    </row>
    <row r="8" spans="1:8" ht="28.8">
      <c r="A8" s="4" t="s">
        <v>29</v>
      </c>
      <c r="B8" s="4" t="s">
        <v>30</v>
      </c>
      <c r="C8" s="4" t="s">
        <v>16</v>
      </c>
      <c r="D8" s="4" t="s">
        <v>31</v>
      </c>
      <c r="E8" s="2">
        <v>52000</v>
      </c>
      <c r="F8" s="2">
        <v>4.9000000000000004</v>
      </c>
    </row>
    <row r="9" spans="1:8">
      <c r="A9" s="4" t="s">
        <v>32</v>
      </c>
      <c r="B9" s="4" t="s">
        <v>33</v>
      </c>
      <c r="C9" s="4" t="s">
        <v>12</v>
      </c>
      <c r="D9" s="4" t="s">
        <v>9</v>
      </c>
      <c r="E9" s="2">
        <v>41000</v>
      </c>
      <c r="F9" s="2">
        <v>4.3</v>
      </c>
    </row>
    <row r="10" spans="1:8">
      <c r="A10" s="4" t="s">
        <v>34</v>
      </c>
      <c r="B10" s="4" t="s">
        <v>35</v>
      </c>
      <c r="C10" s="4" t="s">
        <v>20</v>
      </c>
      <c r="D10" s="4" t="s">
        <v>36</v>
      </c>
      <c r="E10" s="2">
        <v>39000</v>
      </c>
      <c r="F10" s="2">
        <v>4.2</v>
      </c>
    </row>
    <row r="11" spans="1:8">
      <c r="A11" s="4" t="s">
        <v>37</v>
      </c>
      <c r="B11" s="4" t="s">
        <v>38</v>
      </c>
      <c r="C11" s="4" t="s">
        <v>24</v>
      </c>
      <c r="D11" s="4" t="s">
        <v>39</v>
      </c>
      <c r="E11" s="2">
        <v>43000</v>
      </c>
      <c r="F11" s="2">
        <v>4.4000000000000004</v>
      </c>
    </row>
    <row r="15" spans="1:8">
      <c r="A15" t="str">
        <f>INDEX(A:A,6)</f>
        <v>EMP005</v>
      </c>
    </row>
    <row r="16" spans="1:8" ht="28.8">
      <c r="A16" t="str">
        <f>INDEX(A:C,4,2)</f>
        <v>Rahul Nair</v>
      </c>
      <c r="D16" s="1" t="s">
        <v>0</v>
      </c>
      <c r="E16" s="1" t="s">
        <v>40</v>
      </c>
      <c r="G16" t="s">
        <v>99</v>
      </c>
      <c r="H16" t="s">
        <v>98</v>
      </c>
    </row>
    <row r="17" spans="1:5">
      <c r="A17">
        <f>MATCH("EMP004",A:A,0)</f>
        <v>5</v>
      </c>
      <c r="B17">
        <f>MATCH("Aisha Khan",B:B,0)</f>
        <v>11</v>
      </c>
      <c r="D17" s="4" t="s">
        <v>14</v>
      </c>
      <c r="E17" s="4" t="str">
        <f>VLOOKUP(A4,Table4[[#All],[Employee ID]:[Department]],2,0)</f>
        <v>Rahul Nair</v>
      </c>
    </row>
    <row r="18" spans="1:5">
      <c r="A18" t="str">
        <f>INDEX(D:D,MATCH("EMP007",A:A,0))</f>
        <v>Hyderabad</v>
      </c>
      <c r="D18" s="4" t="s">
        <v>29</v>
      </c>
      <c r="E18" s="4" t="str">
        <f>VLOOKUP(A8,Table4[[Employee ID]:[City]],3,0)</f>
        <v>IT</v>
      </c>
    </row>
    <row r="19" spans="1:5">
      <c r="A19" t="s">
        <v>97</v>
      </c>
      <c r="D19" s="4" t="s">
        <v>6</v>
      </c>
      <c r="E19" s="4" t="str">
        <f>_xlfn.XLOOKUP('Employee Master Table'!A2,Table4[Employee ID],Table4[City],FALSE)</f>
        <v>Kochi</v>
      </c>
    </row>
    <row r="20" spans="1:5">
      <c r="A20">
        <f>VLOOKUP(C5,Table4[[Department]:[Rating]],4,FALSE)</f>
        <v>4.0999999999999996</v>
      </c>
      <c r="D20" s="4" t="s">
        <v>37</v>
      </c>
      <c r="E20" s="4">
        <f>_xlfn.XLOOKUP(A11,A:A,E:E,FALSE)</f>
        <v>43000</v>
      </c>
    </row>
    <row r="21" spans="1:5">
      <c r="A21">
        <f>VLOOKUP(D3,Table4[[City]:[Rating]],2,FALSE)</f>
        <v>42000</v>
      </c>
      <c r="D21" s="4" t="s">
        <v>18</v>
      </c>
      <c r="E21" s="4">
        <f>_xlfn.XLOOKUP(A5,A:A,F:F,FALSE)</f>
        <v>4.0999999999999996</v>
      </c>
    </row>
    <row r="22" spans="1:5">
      <c r="D22" s="4" t="s">
        <v>18</v>
      </c>
      <c r="E22" s="4" t="str">
        <f>INDEX(D:D,MATCH("EMP004",A:A,0))</f>
        <v>Chennai</v>
      </c>
    </row>
    <row r="23" spans="1:5">
      <c r="A23" t="str" cm="1">
        <f t="array" ref="A23">_xlfn.XLOOKUP(B3,B1:B10,Table4[City])</f>
        <v>Bengaluru</v>
      </c>
      <c r="D23" s="4" t="s">
        <v>32</v>
      </c>
      <c r="E23" s="4">
        <f>INDEX(E:E,MATCH(A9,A:A,0))</f>
        <v>41000</v>
      </c>
    </row>
    <row r="24" spans="1:5">
      <c r="D24" s="4"/>
      <c r="E24" s="4" t="str">
        <f>_xlfn.XLOOKUP("ARYA",B:B,E:E,"NOT FOUND")</f>
        <v>NOT FOUND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0992-4505-4D30-A749-BBAA40F9484A}">
  <dimension ref="A1:B8"/>
  <sheetViews>
    <sheetView workbookViewId="0">
      <selection sqref="A1:B8"/>
    </sheetView>
  </sheetViews>
  <sheetFormatPr defaultRowHeight="14.4"/>
  <cols>
    <col min="1" max="1" width="13.21875" customWidth="1"/>
    <col min="2" max="2" width="36.88671875" customWidth="1"/>
  </cols>
  <sheetData>
    <row r="1" spans="1:2">
      <c r="A1" s="1" t="s">
        <v>0</v>
      </c>
      <c r="B1" s="1" t="s">
        <v>40</v>
      </c>
    </row>
    <row r="2" spans="1:2">
      <c r="A2" s="4" t="s">
        <v>14</v>
      </c>
      <c r="B2" s="4"/>
    </row>
    <row r="3" spans="1:2">
      <c r="A3" s="4" t="s">
        <v>29</v>
      </c>
      <c r="B3" s="4"/>
    </row>
    <row r="4" spans="1:2">
      <c r="A4" s="4" t="s">
        <v>6</v>
      </c>
      <c r="B4" s="4"/>
    </row>
    <row r="5" spans="1:2">
      <c r="A5" s="4" t="s">
        <v>37</v>
      </c>
      <c r="B5" s="4"/>
    </row>
    <row r="6" spans="1:2">
      <c r="A6" s="4"/>
      <c r="B6" s="4"/>
    </row>
    <row r="7" spans="1:2">
      <c r="A7" s="4"/>
      <c r="B7" s="4"/>
    </row>
    <row r="8" spans="1:2">
      <c r="A8" s="4"/>
      <c r="B8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DE17-A2DD-4153-AACD-42950696017B}">
  <dimension ref="A1:D23"/>
  <sheetViews>
    <sheetView workbookViewId="0">
      <selection activeCell="B30" sqref="B30"/>
    </sheetView>
  </sheetViews>
  <sheetFormatPr defaultRowHeight="14.4"/>
  <cols>
    <col min="1" max="1" width="20.109375" customWidth="1"/>
    <col min="2" max="2" width="62.6640625" customWidth="1"/>
    <col min="4" max="4" width="48.77734375" customWidth="1"/>
  </cols>
  <sheetData>
    <row r="1" spans="1:4">
      <c r="A1" s="3" t="s">
        <v>41</v>
      </c>
      <c r="B1" s="1" t="s">
        <v>42</v>
      </c>
    </row>
    <row r="2" spans="1:4">
      <c r="A2" s="2">
        <v>1</v>
      </c>
      <c r="B2" s="4" t="s">
        <v>89</v>
      </c>
    </row>
    <row r="3" spans="1:4">
      <c r="A3" s="2">
        <v>2</v>
      </c>
      <c r="B3" s="4" t="s">
        <v>90</v>
      </c>
    </row>
    <row r="4" spans="1:4">
      <c r="A4" s="2">
        <v>3</v>
      </c>
      <c r="B4" s="4" t="s">
        <v>92</v>
      </c>
    </row>
    <row r="5" spans="1:4">
      <c r="A5" s="2">
        <v>4</v>
      </c>
      <c r="B5" s="4" t="s">
        <v>91</v>
      </c>
    </row>
    <row r="6" spans="1:4" ht="28.8">
      <c r="A6" s="2">
        <v>5</v>
      </c>
      <c r="B6" s="4" t="s">
        <v>93</v>
      </c>
    </row>
    <row r="7" spans="1:4">
      <c r="A7" s="2">
        <v>6</v>
      </c>
      <c r="B7" s="4" t="s">
        <v>95</v>
      </c>
    </row>
    <row r="8" spans="1:4" ht="28.8">
      <c r="A8" s="2">
        <v>7</v>
      </c>
      <c r="B8" s="4" t="s">
        <v>96</v>
      </c>
    </row>
    <row r="9" spans="1:4">
      <c r="A9" s="2">
        <v>8</v>
      </c>
      <c r="B9" s="4" t="s">
        <v>43</v>
      </c>
      <c r="D9" s="7" t="s">
        <v>94</v>
      </c>
    </row>
    <row r="10" spans="1:4">
      <c r="A10" s="2"/>
      <c r="B10" s="4"/>
    </row>
    <row r="16" spans="1:4">
      <c r="B16" s="1"/>
      <c r="C16" s="1"/>
    </row>
    <row r="17" spans="2:3">
      <c r="B17" s="4"/>
      <c r="C17" s="4"/>
    </row>
    <row r="18" spans="2:3">
      <c r="B18" s="4"/>
      <c r="C18" s="4"/>
    </row>
    <row r="19" spans="2:3">
      <c r="B19" s="4"/>
      <c r="C19" s="4"/>
    </row>
    <row r="20" spans="2:3">
      <c r="B20" s="4"/>
      <c r="C20" s="4"/>
    </row>
    <row r="21" spans="2:3">
      <c r="B21" s="4"/>
      <c r="C21" s="4"/>
    </row>
    <row r="22" spans="2:3">
      <c r="B22" s="4"/>
      <c r="C22" s="4"/>
    </row>
    <row r="23" spans="2:3">
      <c r="B23" s="4"/>
      <c r="C23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5606-C6F5-405F-B904-705F7BBEDBAB}">
  <dimension ref="A1:E15"/>
  <sheetViews>
    <sheetView topLeftCell="A2" workbookViewId="0">
      <selection activeCell="E5" sqref="E5"/>
    </sheetView>
  </sheetViews>
  <sheetFormatPr defaultRowHeight="14.4"/>
  <cols>
    <col min="1" max="1" width="17.21875" customWidth="1"/>
    <col min="2" max="2" width="39.77734375" customWidth="1"/>
    <col min="3" max="3" width="30.21875" customWidth="1"/>
    <col min="4" max="4" width="39.21875" customWidth="1"/>
    <col min="5" max="5" width="21.44140625" customWidth="1"/>
  </cols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</row>
    <row r="2" spans="1:5" ht="43.2">
      <c r="A2" s="5" t="s">
        <v>48</v>
      </c>
      <c r="B2" s="4" t="s">
        <v>49</v>
      </c>
      <c r="C2" s="4" t="s">
        <v>50</v>
      </c>
      <c r="D2" s="6" t="s">
        <v>51</v>
      </c>
    </row>
    <row r="3" spans="1:5" ht="57.6">
      <c r="A3" s="5" t="s">
        <v>52</v>
      </c>
      <c r="B3" s="4" t="s">
        <v>53</v>
      </c>
      <c r="C3" s="4" t="s">
        <v>54</v>
      </c>
      <c r="D3" s="6" t="s">
        <v>55</v>
      </c>
    </row>
    <row r="4" spans="1:5" ht="43.2">
      <c r="A4" s="5" t="s">
        <v>56</v>
      </c>
      <c r="B4" s="4" t="s">
        <v>57</v>
      </c>
      <c r="C4" s="4" t="s">
        <v>58</v>
      </c>
      <c r="D4" s="6" t="s">
        <v>59</v>
      </c>
    </row>
    <row r="5" spans="1:5" ht="43.2">
      <c r="A5" s="5" t="s">
        <v>60</v>
      </c>
      <c r="B5" s="4" t="s">
        <v>61</v>
      </c>
      <c r="C5" s="4" t="s">
        <v>62</v>
      </c>
      <c r="D5" s="6" t="s">
        <v>63</v>
      </c>
    </row>
    <row r="6" spans="1:5" ht="43.2">
      <c r="A6" s="5" t="s">
        <v>64</v>
      </c>
      <c r="B6" s="4" t="s">
        <v>65</v>
      </c>
      <c r="C6" s="4" t="s">
        <v>66</v>
      </c>
      <c r="D6" s="6" t="s">
        <v>67</v>
      </c>
    </row>
    <row r="10" spans="1:5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</row>
    <row r="11" spans="1:5" ht="57.6">
      <c r="A11" s="5" t="s">
        <v>48</v>
      </c>
      <c r="B11" s="4" t="s">
        <v>73</v>
      </c>
      <c r="C11" s="5" t="s">
        <v>74</v>
      </c>
      <c r="D11" s="4" t="s">
        <v>75</v>
      </c>
      <c r="E11" s="4" t="s">
        <v>76</v>
      </c>
    </row>
    <row r="12" spans="1:5" ht="43.2">
      <c r="A12" s="5" t="s">
        <v>56</v>
      </c>
      <c r="B12" s="4" t="s">
        <v>73</v>
      </c>
      <c r="C12" s="5" t="s">
        <v>74</v>
      </c>
      <c r="D12" s="4" t="s">
        <v>77</v>
      </c>
      <c r="E12" s="4" t="s">
        <v>78</v>
      </c>
    </row>
    <row r="13" spans="1:5" ht="28.8">
      <c r="A13" s="5" t="s">
        <v>60</v>
      </c>
      <c r="B13" s="4" t="s">
        <v>73</v>
      </c>
      <c r="C13" s="5" t="s">
        <v>74</v>
      </c>
      <c r="D13" s="4" t="s">
        <v>79</v>
      </c>
      <c r="E13" s="4" t="s">
        <v>80</v>
      </c>
    </row>
    <row r="14" spans="1:5" ht="43.2">
      <c r="A14" s="5" t="s">
        <v>64</v>
      </c>
      <c r="B14" s="4" t="s">
        <v>81</v>
      </c>
      <c r="C14" s="5" t="s">
        <v>82</v>
      </c>
      <c r="D14" s="4" t="s">
        <v>83</v>
      </c>
      <c r="E14" s="4" t="s">
        <v>84</v>
      </c>
    </row>
    <row r="15" spans="1:5" ht="43.2">
      <c r="A15" s="5" t="s">
        <v>52</v>
      </c>
      <c r="B15" s="4" t="s">
        <v>85</v>
      </c>
      <c r="C15" s="5" t="s">
        <v>86</v>
      </c>
      <c r="D15" s="4" t="s">
        <v>87</v>
      </c>
      <c r="E15" s="4" t="s">
        <v>88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Master Table</vt:lpstr>
      <vt:lpstr>LOOKUP PRACTISE TABLE</vt:lpstr>
      <vt:lpstr>TASKS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NANDANA C K</cp:lastModifiedBy>
  <dcterms:created xsi:type="dcterms:W3CDTF">2026-08-06T07:01:08Z</dcterms:created>
  <dcterms:modified xsi:type="dcterms:W3CDTF">2026-08-07T05:28:02Z</dcterms:modified>
</cp:coreProperties>
</file>