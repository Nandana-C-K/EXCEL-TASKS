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02fb6d185419e/Documents/"/>
    </mc:Choice>
  </mc:AlternateContent>
  <xr:revisionPtr revIDLastSave="0" documentId="14_{FB0EB8B4-05BC-481E-8AC6-1FD8A3598813}" xr6:coauthVersionLast="47" xr6:coauthVersionMax="47" xr10:uidLastSave="{00000000-0000-0000-0000-000000000000}"/>
  <bookViews>
    <workbookView xWindow="-108" yWindow="-108" windowWidth="23256" windowHeight="13896" activeTab="2" xr2:uid="{6E8D716A-CC3D-47EE-B9C5-99AF7377E2B0}"/>
  </bookViews>
  <sheets>
    <sheet name="DASHBOARD" sheetId="1" r:id="rId1"/>
    <sheet name="CONTENTS" sheetId="2" r:id="rId2"/>
    <sheet name="Sheet3" sheetId="6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</calcChain>
</file>

<file path=xl/sharedStrings.xml><?xml version="1.0" encoding="utf-8"?>
<sst xmlns="http://schemas.openxmlformats.org/spreadsheetml/2006/main" count="453" uniqueCount="122">
  <si>
    <t>Ride_ID</t>
  </si>
  <si>
    <t>Date</t>
  </si>
  <si>
    <t>City</t>
  </si>
  <si>
    <t>Vehicle_Type</t>
  </si>
  <si>
    <t>Trip_Type</t>
  </si>
  <si>
    <t>Customer_Type</t>
  </si>
  <si>
    <t>Payment_Mode</t>
  </si>
  <si>
    <t>Distance_KM</t>
  </si>
  <si>
    <t>Fare_INR</t>
  </si>
  <si>
    <t>Discount_INR</t>
  </si>
  <si>
    <t>Driver_Rating</t>
  </si>
  <si>
    <t>Customer_Rating</t>
  </si>
  <si>
    <t>Trip_Duration_Min</t>
  </si>
  <si>
    <t>Status</t>
  </si>
  <si>
    <t>UBR001</t>
  </si>
  <si>
    <t>Bengaluru</t>
  </si>
  <si>
    <t>UberGo</t>
  </si>
  <si>
    <t>Regular</t>
  </si>
  <si>
    <t>UPI</t>
  </si>
  <si>
    <t>Completed</t>
  </si>
  <si>
    <t>UBR002</t>
  </si>
  <si>
    <t>Mumbai</t>
  </si>
  <si>
    <t>New</t>
  </si>
  <si>
    <t>Card</t>
  </si>
  <si>
    <t>UBR003</t>
  </si>
  <si>
    <t>Delhi</t>
  </si>
  <si>
    <t>UberXL</t>
  </si>
  <si>
    <t>Airport</t>
  </si>
  <si>
    <t>UBR004</t>
  </si>
  <si>
    <t>Hyderabad</t>
  </si>
  <si>
    <t>Cash</t>
  </si>
  <si>
    <t>UBR005</t>
  </si>
  <si>
    <t>Chennai</t>
  </si>
  <si>
    <t>Premier</t>
  </si>
  <si>
    <t>Premium</t>
  </si>
  <si>
    <t>UBR006</t>
  </si>
  <si>
    <t>Pune</t>
  </si>
  <si>
    <t>UBR007</t>
  </si>
  <si>
    <t>Auto</t>
  </si>
  <si>
    <t>UBR008</t>
  </si>
  <si>
    <t>UBR009</t>
  </si>
  <si>
    <t>UBR010</t>
  </si>
  <si>
    <t>Kochi</t>
  </si>
  <si>
    <t>UBR011</t>
  </si>
  <si>
    <t>UBR012</t>
  </si>
  <si>
    <t>UBR013</t>
  </si>
  <si>
    <t>UBR014</t>
  </si>
  <si>
    <t>UBR015</t>
  </si>
  <si>
    <t>UBR016</t>
  </si>
  <si>
    <t>UBR017</t>
  </si>
  <si>
    <t>Cancelled</t>
  </si>
  <si>
    <t>UBR018</t>
  </si>
  <si>
    <t>UBR019</t>
  </si>
  <si>
    <t>UBR020</t>
  </si>
  <si>
    <t>UBR021</t>
  </si>
  <si>
    <t>UBR022</t>
  </si>
  <si>
    <t>UBR023</t>
  </si>
  <si>
    <t>UBR024</t>
  </si>
  <si>
    <t>UBR025</t>
  </si>
  <si>
    <t>UBR026</t>
  </si>
  <si>
    <t>UBR027</t>
  </si>
  <si>
    <t>UBR028</t>
  </si>
  <si>
    <t>UBR029</t>
  </si>
  <si>
    <t>UBR030</t>
  </si>
  <si>
    <t>UBR031</t>
  </si>
  <si>
    <t>UBR032</t>
  </si>
  <si>
    <t>UBR033</t>
  </si>
  <si>
    <t>UBR034</t>
  </si>
  <si>
    <t>UBR035</t>
  </si>
  <si>
    <t>UBR036</t>
  </si>
  <si>
    <t>UBR037</t>
  </si>
  <si>
    <t>UBR038</t>
  </si>
  <si>
    <t>UBR039</t>
  </si>
  <si>
    <t>UBR040</t>
  </si>
  <si>
    <t>UBR041</t>
  </si>
  <si>
    <t>UBR042</t>
  </si>
  <si>
    <t>UBR043</t>
  </si>
  <si>
    <t>UBR044</t>
  </si>
  <si>
    <t>UBR045</t>
  </si>
  <si>
    <t>UBR046</t>
  </si>
  <si>
    <t>UBR047</t>
  </si>
  <si>
    <t>UBR048</t>
  </si>
  <si>
    <t>UBR049</t>
  </si>
  <si>
    <t>UBR050</t>
  </si>
  <si>
    <t>KPI</t>
  </si>
  <si>
    <t>Calculation</t>
  </si>
  <si>
    <t>Total Rides</t>
  </si>
  <si>
    <t>Count of Ride_ID</t>
  </si>
  <si>
    <t>Completed Rides</t>
  </si>
  <si>
    <t>Count where Status = Completed</t>
  </si>
  <si>
    <t>Total Revenue</t>
  </si>
  <si>
    <t>Sum of Fare_INR</t>
  </si>
  <si>
    <t>Average Fare</t>
  </si>
  <si>
    <t>Average of Fare_INR</t>
  </si>
  <si>
    <t>Average Customer Rating</t>
  </si>
  <si>
    <t>Average of Customer_Rating</t>
  </si>
  <si>
    <t>Chart</t>
  </si>
  <si>
    <t>Fields</t>
  </si>
  <si>
    <t>Revenue by City</t>
  </si>
  <si>
    <t>City + Fare</t>
  </si>
  <si>
    <t>Rides by Vehicle Type</t>
  </si>
  <si>
    <t>Vehicle_Type + Count of Ride_ID</t>
  </si>
  <si>
    <t>Daily Revenue Trend</t>
  </si>
  <si>
    <t>Date + Fare</t>
  </si>
  <si>
    <t>Payment Mode Distribution</t>
  </si>
  <si>
    <t>Payment_Mode + Count of Ride_ID</t>
  </si>
  <si>
    <t>Revenue by Trip Type</t>
  </si>
  <si>
    <t>Trip_Type + Fare</t>
  </si>
  <si>
    <t>Customer Type Distribution</t>
  </si>
  <si>
    <t>Customer_Type + Count of Ride_ID</t>
  </si>
  <si>
    <t>Average Rating by Vehicle</t>
  </si>
  <si>
    <t>Vehicle_Type + Customer_Rating</t>
  </si>
  <si>
    <t>Completed vs Cancelled</t>
  </si>
  <si>
    <t>Status + Count of Ride_ID</t>
  </si>
  <si>
    <t>Recommended Slicers</t>
  </si>
  <si>
    <t>Vehicle Type</t>
  </si>
  <si>
    <t>Trip Type</t>
  </si>
  <si>
    <t>Customer Type</t>
  </si>
  <si>
    <t>Payment Mode</t>
  </si>
  <si>
    <t>Row Labels</t>
  </si>
  <si>
    <t>Grand Total</t>
  </si>
  <si>
    <t>Sum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</si>
</sst>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[UBER_DASHBOARD.xlsx]DASHBOARD!PivotTable3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DASHBOARD!$P$2:$P$9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DASHBOARD!$Q$2:$Q$9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D12-81F0-B5052B7D7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57130959"/>
        <c:axId val="1427889871"/>
        <c:axId val="0"/>
      </c:bar3DChart>
      <c:catAx>
        <c:axId val="155713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89871"/>
        <c:crosses val="autoZero"/>
        <c:auto val="1"/>
        <c:lblAlgn val="ctr"/>
        <c:lblOffset val="100"/>
        <c:noMultiLvlLbl val="0"/>
      </c:catAx>
      <c:valAx>
        <c:axId val="1427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3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22-4F23-A8F9-FB36DB92CD31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22-4F23-A8F9-FB36DB92CD31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22-4F23-A8F9-FB36DB92CD31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22-4F23-A8F9-FB36DB92C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DASHBOARD!$S$2:$S$6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DASHBOARD!$T$2:$T$6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E-495B-8C6A-3189AD109B8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DASHBOARD!$W$1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DASHBOARD!$V$2:$V$11</c:f>
              <c:strCache>
                <c:ptCount val="9"/>
                <c:pt idx="0">
                  <c:v>01-Aug-26</c:v>
                </c:pt>
                <c:pt idx="1">
                  <c:v>02-Aug-26</c:v>
                </c:pt>
                <c:pt idx="2">
                  <c:v>03-Aug-26</c:v>
                </c:pt>
                <c:pt idx="3">
                  <c:v>04-Aug-26</c:v>
                </c:pt>
                <c:pt idx="4">
                  <c:v>05-Aug-26</c:v>
                </c:pt>
                <c:pt idx="5">
                  <c:v>06-Aug-26</c:v>
                </c:pt>
                <c:pt idx="6">
                  <c:v>07-Aug-26</c:v>
                </c:pt>
                <c:pt idx="7">
                  <c:v>08-Aug-26</c:v>
                </c:pt>
                <c:pt idx="8">
                  <c:v>09-Aug-26</c:v>
                </c:pt>
              </c:strCache>
            </c:strRef>
          </c:cat>
          <c:val>
            <c:numRef>
              <c:f>DASHBOARD!$W$2:$W$11</c:f>
              <c:numCache>
                <c:formatCode>General</c:formatCode>
                <c:ptCount val="9"/>
                <c:pt idx="0">
                  <c:v>1950</c:v>
                </c:pt>
                <c:pt idx="1">
                  <c:v>2040</c:v>
                </c:pt>
                <c:pt idx="2">
                  <c:v>2215</c:v>
                </c:pt>
                <c:pt idx="3">
                  <c:v>2385</c:v>
                </c:pt>
                <c:pt idx="4">
                  <c:v>1570</c:v>
                </c:pt>
                <c:pt idx="5">
                  <c:v>1965</c:v>
                </c:pt>
                <c:pt idx="6">
                  <c:v>2505</c:v>
                </c:pt>
                <c:pt idx="7">
                  <c:v>2167</c:v>
                </c:pt>
                <c:pt idx="8">
                  <c:v>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4-411B-90CD-C146D0AF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244479"/>
        <c:axId val="1427897551"/>
      </c:lineChart>
      <c:catAx>
        <c:axId val="17462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97551"/>
        <c:crosses val="autoZero"/>
        <c:auto val="1"/>
        <c:lblAlgn val="ctr"/>
        <c:lblOffset val="100"/>
        <c:noMultiLvlLbl val="0"/>
      </c:catAx>
      <c:valAx>
        <c:axId val="14278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sng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DASHBOARD!$Z$1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44-4BC6-87F3-1AFB9D2EF14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44-4BC6-87F3-1AFB9D2EF147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44-4BC6-87F3-1AFB9D2EF1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sng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DASHBOARD!$Y$2:$Y$5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DASHBOARD!$Z$2:$Z$5</c:f>
              <c:numCache>
                <c:formatCode>General</c:formatCode>
                <c:ptCount val="3"/>
                <c:pt idx="0">
                  <c:v>17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6-4F1F-A351-9F3AB102E7A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u="sng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3C-4E35-8059-EAC3417B18B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83C-4E35-8059-EAC3417B18B0}"/>
              </c:ext>
            </c:extLst>
          </c:dPt>
          <c:cat>
            <c:strRef>
              <c:f>DASHBOARD!$AB$2:$AB$4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DASHBOARD!$AC$2:$AC$4</c:f>
              <c:numCache>
                <c:formatCode>General</c:formatCode>
                <c:ptCount val="2"/>
                <c:pt idx="0">
                  <c:v>8400</c:v>
                </c:pt>
                <c:pt idx="1">
                  <c:v>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4-457D-9BB5-D99C699DB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778079"/>
        <c:axId val="1427850511"/>
      </c:barChart>
      <c:catAx>
        <c:axId val="161477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50511"/>
        <c:crosses val="autoZero"/>
        <c:auto val="1"/>
        <c:lblAlgn val="ctr"/>
        <c:lblOffset val="100"/>
        <c:noMultiLvlLbl val="0"/>
      </c:catAx>
      <c:valAx>
        <c:axId val="142785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78079"/>
        <c:crosses val="autoZero"/>
        <c:crossBetween val="between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CUSTOMER TYPE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DISTRIBUTION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DEA7163D-113E-427B-81C9-2A4558BF8459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416B505C-9887-4695-9EEC-47331B0290AE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77777777777767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7D5717EF-1804-48F0-88A6-419368D9236A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AEC71E32-2077-45F6-B1C7-6BF3F1A0089D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6B3CE3F-5D7D-4DA7-9DD5-514DC3B5CAC6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F3171416-9A63-4C62-B3E5-83EF089837C7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DASHBOARD!$AG$1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54-4682-A368-CC84B5F018B3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454-4682-A368-CC84B5F018B3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454-4682-A368-CC84B5F018B3}"/>
              </c:ext>
            </c:extLst>
          </c:dPt>
          <c:dLbls>
            <c:dLbl>
              <c:idx val="0"/>
              <c:layout>
                <c:manualLayout>
                  <c:x val="2.777777777777676E-3"/>
                  <c:y val="0"/>
                </c:manualLayout>
              </c:layout>
              <c:tx>
                <c:rich>
                  <a:bodyPr/>
                  <a:lstStyle/>
                  <a:p>
                    <a:fld id="{7D5717EF-1804-48F0-88A6-419368D9236A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AEC71E32-2077-45F6-B1C7-6BF3F1A0089D}" type="PERCENTAG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454-4682-A368-CC84B5F018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6B3CE3F-5D7D-4DA7-9DD5-514DC3B5CAC6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
</a:t>
                    </a:r>
                    <a:fld id="{F3171416-9A63-4C62-B3E5-83EF089837C7}" type="PERCENTAG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454-4682-A368-CC84B5F018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A7163D-113E-427B-81C9-2A4558BF8459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
</a:t>
                    </a:r>
                    <a:fld id="{416B505C-9887-4695-9EEC-47331B0290AE}" type="PERCENTAG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454-4682-A368-CC84B5F018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DASHBOARD!$AF$2:$AF$5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DASHBOARD!$AG$2:$AG$5</c:f>
              <c:numCache>
                <c:formatCode>General</c:formatCode>
                <c:ptCount val="3"/>
                <c:pt idx="0">
                  <c:v>13</c:v>
                </c:pt>
                <c:pt idx="1">
                  <c:v>11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4-4682-A368-CC84B5F018B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[UBER_DASHBOARD.xlsx]DASHBOARD!PivotTable3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REVENUE BY CITY</a:t>
            </a:r>
          </a:p>
        </c:rich>
      </c:tx>
      <c:layout>
        <c:manualLayout>
          <c:xMode val="edge"/>
          <c:yMode val="edge"/>
          <c:x val="0.27991050131538098"/>
          <c:y val="0.1067715543189429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62139424347244"/>
          <c:y val="0.28097221022721525"/>
          <c:w val="0.72789916287815304"/>
          <c:h val="0.385561020091701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DASHBOARD!$Q$1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DASHBOARD!$P$2:$P$9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DASHBOARD!$Q$2:$Q$9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0-4063-AC24-5C63EB8697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57130959"/>
        <c:axId val="1427889871"/>
        <c:axId val="0"/>
      </c:bar3DChart>
      <c:catAx>
        <c:axId val="155713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89871"/>
        <c:crosses val="autoZero"/>
        <c:auto val="1"/>
        <c:lblAlgn val="ctr"/>
        <c:lblOffset val="100"/>
        <c:noMultiLvlLbl val="0"/>
      </c:catAx>
      <c:valAx>
        <c:axId val="14278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3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rides by vehicle type</a:t>
            </a:r>
          </a:p>
        </c:rich>
      </c:tx>
      <c:layout>
        <c:manualLayout>
          <c:xMode val="edge"/>
          <c:yMode val="edge"/>
          <c:x val="0.24721926045543882"/>
          <c:y val="6.750768979948068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A8-4369-B44A-7E917F839930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A8-4369-B44A-7E917F839930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A8-4369-B44A-7E917F839930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A8-4369-B44A-7E917F8399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DASHBOARD!$S$2:$S$6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DASHBOARD!$T$2:$T$6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A8-4369-B44A-7E917F83993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DAILY</a:t>
            </a:r>
            <a:r>
              <a:rPr lang="en-US" sz="2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REVENUE TREND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966689376219181E-2"/>
          <c:y val="0.1930234540802841"/>
          <c:w val="0.80618773035320046"/>
          <c:h val="0.66137518484062352"/>
        </c:manualLayout>
      </c:layout>
      <c:lineChart>
        <c:grouping val="standard"/>
        <c:varyColors val="0"/>
        <c:ser>
          <c:idx val="0"/>
          <c:order val="0"/>
          <c:tx>
            <c:strRef>
              <c:f>DASHBOARD!$W$1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DASHBOARD!$V$2:$V$11</c:f>
              <c:strCache>
                <c:ptCount val="9"/>
                <c:pt idx="0">
                  <c:v>01-Aug-26</c:v>
                </c:pt>
                <c:pt idx="1">
                  <c:v>02-Aug-26</c:v>
                </c:pt>
                <c:pt idx="2">
                  <c:v>03-Aug-26</c:v>
                </c:pt>
                <c:pt idx="3">
                  <c:v>04-Aug-26</c:v>
                </c:pt>
                <c:pt idx="4">
                  <c:v>05-Aug-26</c:v>
                </c:pt>
                <c:pt idx="5">
                  <c:v>06-Aug-26</c:v>
                </c:pt>
                <c:pt idx="6">
                  <c:v>07-Aug-26</c:v>
                </c:pt>
                <c:pt idx="7">
                  <c:v>08-Aug-26</c:v>
                </c:pt>
                <c:pt idx="8">
                  <c:v>09-Aug-26</c:v>
                </c:pt>
              </c:strCache>
            </c:strRef>
          </c:cat>
          <c:val>
            <c:numRef>
              <c:f>DASHBOARD!$W$2:$W$11</c:f>
              <c:numCache>
                <c:formatCode>General</c:formatCode>
                <c:ptCount val="9"/>
                <c:pt idx="0">
                  <c:v>1950</c:v>
                </c:pt>
                <c:pt idx="1">
                  <c:v>2040</c:v>
                </c:pt>
                <c:pt idx="2">
                  <c:v>2215</c:v>
                </c:pt>
                <c:pt idx="3">
                  <c:v>2385</c:v>
                </c:pt>
                <c:pt idx="4">
                  <c:v>1570</c:v>
                </c:pt>
                <c:pt idx="5">
                  <c:v>1965</c:v>
                </c:pt>
                <c:pt idx="6">
                  <c:v>2505</c:v>
                </c:pt>
                <c:pt idx="7">
                  <c:v>2167</c:v>
                </c:pt>
                <c:pt idx="8">
                  <c:v>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B-43E9-94F5-1BC0C033C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244479"/>
        <c:axId val="1427897551"/>
      </c:lineChart>
      <c:catAx>
        <c:axId val="17462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97551"/>
        <c:crosses val="autoZero"/>
        <c:auto val="1"/>
        <c:lblAlgn val="ctr"/>
        <c:lblOffset val="100"/>
        <c:noMultiLvlLbl val="0"/>
      </c:catAx>
      <c:valAx>
        <c:axId val="14278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sng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u="none">
                <a:solidFill>
                  <a:schemeClr val="tx1">
                    <a:lumMod val="95000"/>
                    <a:lumOff val="5000"/>
                  </a:schemeClr>
                </a:solidFill>
              </a:rPr>
              <a:t>PAYMENT</a:t>
            </a:r>
            <a:r>
              <a:rPr lang="en-US" sz="2400" u="non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MODE DISTRIBUTION</a:t>
            </a:r>
            <a:endParaRPr lang="en-US" sz="2400" u="none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5306020187671918"/>
          <c:y val="0.114794807795135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sng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sng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sng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sng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bg2"/>
          </a:solidFill>
          <a:ln>
            <a:solidFill>
              <a:schemeClr val="bg1">
                <a:lumMod val="65000"/>
              </a:schemeClr>
            </a:solidFill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DASHBOARD!$Z$1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DE-4398-8428-2C705DCE6154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DE-4398-8428-2C705DCE6154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DE-4398-8428-2C705DCE61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sng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DASHBOARD!$Y$2:$Y$5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DASHBOARD!$Z$2:$Z$5</c:f>
              <c:numCache>
                <c:formatCode>General</c:formatCode>
                <c:ptCount val="3"/>
                <c:pt idx="0">
                  <c:v>17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DE-4398-8428-2C705DCE61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u="sng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 BY TRIP</a:t>
            </a:r>
            <a:r>
              <a:rPr lang="en-US" sz="2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TYPE</a:t>
            </a:r>
            <a:endParaRPr lang="en-US" sz="24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8835983782645142"/>
          <c:y val="5.984876750135684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D9-43BE-B560-E2F9572AD57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D9-43BE-B560-E2F9572AD573}"/>
              </c:ext>
            </c:extLst>
          </c:dPt>
          <c:cat>
            <c:strRef>
              <c:f>DASHBOARD!$AB$2:$AB$4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DASHBOARD!$AC$2:$AC$4</c:f>
              <c:numCache>
                <c:formatCode>General</c:formatCode>
                <c:ptCount val="2"/>
                <c:pt idx="0">
                  <c:v>8400</c:v>
                </c:pt>
                <c:pt idx="1">
                  <c:v>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D9-43BE-B560-E2F9572A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778079"/>
        <c:axId val="1427850511"/>
      </c:barChart>
      <c:catAx>
        <c:axId val="161477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50511"/>
        <c:crosses val="autoZero"/>
        <c:auto val="1"/>
        <c:lblAlgn val="ctr"/>
        <c:lblOffset val="100"/>
        <c:noMultiLvlLbl val="0"/>
      </c:catAx>
      <c:valAx>
        <c:axId val="142785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78079"/>
        <c:crosses val="autoZero"/>
        <c:crossBetween val="between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[UBER_DASHBOARD.xlsx]DASHBOARD!PivotTable8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CUSTOMER TYPE</a:t>
            </a:r>
            <a:r>
              <a:rPr lang="en-US" sz="2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DISTRIBUTION</a:t>
            </a:r>
            <a:endParaRPr lang="en-US" sz="24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4642639607804664"/>
          <c:y val="8.4812320287669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DEA7163D-113E-427B-81C9-2A4558BF8459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416B505C-9887-4695-9EEC-47331B0290AE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77777777777767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7D5717EF-1804-48F0-88A6-419368D9236A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AEC71E32-2077-45F6-B1C7-6BF3F1A0089D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6B3CE3F-5D7D-4DA7-9DD5-514DC3B5CAC6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F3171416-9A63-4C62-B3E5-83EF089837C7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77777777777767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7D5717EF-1804-48F0-88A6-419368D9236A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AEC71E32-2077-45F6-B1C7-6BF3F1A0089D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6B3CE3F-5D7D-4DA7-9DD5-514DC3B5CAC6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F3171416-9A63-4C62-B3E5-83EF089837C7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DEA7163D-113E-427B-81C9-2A4558BF8459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416B505C-9887-4695-9EEC-47331B0290AE}" type="PERCENTAG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777777777777676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7D5717EF-1804-48F0-88A6-419368D9236A}" type="CATEGORYNAME">
                  <a:rPr lang="en-US" sz="16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/>
                  </a:pPr>
                  <a:t>[CATEGORY NAME]</a:t>
                </a:fld>
                <a:r>
                  <a:rPr lang="en-US" sz="1600" baseline="0"/>
                  <a:t>
</a:t>
                </a:r>
                <a:fld id="{AEC71E32-2077-45F6-B1C7-6BF3F1A0089D}" type="PERCENTAGE">
                  <a:rPr lang="en-US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/>
                  </a:pPr>
                  <a:t>[PERCENTAGE]</a:t>
                </a:fld>
                <a:endParaRPr lang="en-US" sz="16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6B3CE3F-5D7D-4DA7-9DD5-514DC3B5CAC6}" type="CATEGORYNAME">
                  <a:rPr lang="en-US" sz="16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>
                      <a:solidFill>
                        <a:schemeClr val="accent1"/>
                      </a:solidFill>
                    </a:defRPr>
                  </a:pPr>
                  <a:t>[CATEGORY NAME]</a:t>
                </a:fld>
                <a:r>
                  <a:rPr lang="en-US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F3171416-9A63-4C62-B3E5-83EF089837C7}" type="PERCENTAGE">
                  <a:rPr lang="en-US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>
                      <a:solidFill>
                        <a:schemeClr val="accent1"/>
                      </a:solidFill>
                    </a:defRPr>
                  </a:pPr>
                  <a:t>[PERCENTAGE]</a:t>
                </a:fld>
                <a:endParaRPr lang="en-US" sz="1600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DEA7163D-113E-427B-81C9-2A4558BF8459}" type="CATEGORYNAME">
                  <a:rPr lang="en-US" sz="16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>
                      <a:solidFill>
                        <a:schemeClr val="accent1"/>
                      </a:solidFill>
                    </a:defRPr>
                  </a:pPr>
                  <a:t>[CATEGORY NAME]</a:t>
                </a:fld>
                <a:r>
                  <a:rPr lang="en-US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
</a:t>
                </a:r>
                <a:fld id="{416B505C-9887-4695-9EEC-47331B0290AE}" type="PERCENTAGE">
                  <a:rPr lang="en-US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600">
                      <a:solidFill>
                        <a:schemeClr val="accent1"/>
                      </a:solidFill>
                    </a:defRPr>
                  </a:pPr>
                  <a:t>[PERCENTAGE]</a:t>
                </a:fld>
                <a:endParaRPr lang="en-US" sz="1600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DASHBOARD!$AG$1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9C-4877-82B0-036DA5AB697A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9C-4877-82B0-036DA5AB697A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9C-4877-82B0-036DA5AB697A}"/>
              </c:ext>
            </c:extLst>
          </c:dPt>
          <c:dLbls>
            <c:dLbl>
              <c:idx val="0"/>
              <c:layout>
                <c:manualLayout>
                  <c:x val="2.777777777777676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D5717EF-1804-48F0-88A6-419368D9236A}" type="CATEGORYNAME">
                      <a:rPr lang="en-US" sz="160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/>
                      </a:pPr>
                      <a:t>[CATEGORY NAME]</a:t>
                    </a:fld>
                    <a:r>
                      <a:rPr lang="en-US" sz="1600" baseline="0"/>
                      <a:t>
</a:t>
                    </a:r>
                    <a:fld id="{AEC71E32-2077-45F6-B1C7-6BF3F1A0089D}" type="PERCENTAGE">
                      <a:rPr lang="en-US" sz="16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/>
                      </a:pPr>
                      <a:t>[PERCENTAGE]</a:t>
                    </a:fld>
                    <a:endParaRPr lang="en-US" sz="16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F9C-4877-82B0-036DA5AB697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6B3CE3F-5D7D-4DA7-9DD5-514DC3B5CAC6}" type="CATEGORYNAME">
                      <a:rPr lang="en-US" sz="160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sz="16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
</a:t>
                    </a:r>
                    <a:fld id="{F3171416-9A63-4C62-B3E5-83EF089837C7}" type="PERCENTAGE">
                      <a:rPr lang="en-US" sz="16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sz="16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F9C-4877-82B0-036DA5AB697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A7163D-113E-427B-81C9-2A4558BF8459}" type="CATEGORYNAME">
                      <a:rPr lang="en-US" sz="160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sz="16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
</a:t>
                    </a:r>
                    <a:fld id="{416B505C-9887-4695-9EEC-47331B0290AE}" type="PERCENTAGE">
                      <a:rPr lang="en-US" sz="16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 sz="160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sz="16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F9C-4877-82B0-036DA5AB6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DASHBOARD!$AF$2:$AF$5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DASHBOARD!$AG$2:$AG$5</c:f>
              <c:numCache>
                <c:formatCode>General</c:formatCode>
                <c:ptCount val="3"/>
                <c:pt idx="0">
                  <c:v>13</c:v>
                </c:pt>
                <c:pt idx="1">
                  <c:v>11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9C-4877-82B0-036DA5AB697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13" Type="http://schemas.openxmlformats.org/officeDocument/2006/relationships/image" Target="../media/image16.png"/><Relationship Id="rId3" Type="http://schemas.openxmlformats.org/officeDocument/2006/relationships/chart" Target="../charts/chart8.xml"/><Relationship Id="rId7" Type="http://schemas.openxmlformats.org/officeDocument/2006/relationships/image" Target="../media/image12.png"/><Relationship Id="rId12" Type="http://schemas.openxmlformats.org/officeDocument/2006/relationships/image" Target="../media/image15.svg"/><Relationship Id="rId17" Type="http://schemas.openxmlformats.org/officeDocument/2006/relationships/image" Target="../media/image19.svg"/><Relationship Id="rId2" Type="http://schemas.openxmlformats.org/officeDocument/2006/relationships/chart" Target="../charts/chart7.xml"/><Relationship Id="rId16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image" Target="../media/image14.png"/><Relationship Id="rId5" Type="http://schemas.openxmlformats.org/officeDocument/2006/relationships/chart" Target="../charts/chart10.xml"/><Relationship Id="rId15" Type="http://schemas.openxmlformats.org/officeDocument/2006/relationships/chart" Target="../charts/chart12.xml"/><Relationship Id="rId10" Type="http://schemas.openxmlformats.org/officeDocument/2006/relationships/image" Target="../media/image5.svg"/><Relationship Id="rId4" Type="http://schemas.openxmlformats.org/officeDocument/2006/relationships/chart" Target="../charts/chart9.xml"/><Relationship Id="rId9" Type="http://schemas.openxmlformats.org/officeDocument/2006/relationships/image" Target="../media/image4.png"/><Relationship Id="rId14" Type="http://schemas.openxmlformats.org/officeDocument/2006/relationships/image" Target="../media/image17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559325</xdr:colOff>
      <xdr:row>12</xdr:row>
      <xdr:rowOff>319729</xdr:rowOff>
    </xdr:from>
    <xdr:to>
      <xdr:col>19</xdr:col>
      <xdr:colOff>862290</xdr:colOff>
      <xdr:row>20</xdr:row>
      <xdr:rowOff>282087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AA717-68C6-D3B0-81DC-4BBFA16CE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958388</xdr:colOff>
      <xdr:row>12</xdr:row>
      <xdr:rowOff>190620</xdr:rowOff>
    </xdr:from>
    <xdr:to>
      <xdr:col>25</xdr:col>
      <xdr:colOff>444267</xdr:colOff>
      <xdr:row>19</xdr:row>
      <xdr:rowOff>360423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08693D-DAE2-D341-4428-1C11C0780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9180</xdr:colOff>
      <xdr:row>11</xdr:row>
      <xdr:rowOff>239617</xdr:rowOff>
    </xdr:from>
    <xdr:to>
      <xdr:col>31</xdr:col>
      <xdr:colOff>844626</xdr:colOff>
      <xdr:row>19</xdr:row>
      <xdr:rowOff>44986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A94E5-9A74-5C54-3A57-CCA2C4360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275421</xdr:colOff>
      <xdr:row>11</xdr:row>
      <xdr:rowOff>101906</xdr:rowOff>
    </xdr:from>
    <xdr:to>
      <xdr:col>36</xdr:col>
      <xdr:colOff>348867</xdr:colOff>
      <xdr:row>18</xdr:row>
      <xdr:rowOff>274504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A012F-275B-9BA6-257B-A24EBA907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137711</xdr:colOff>
      <xdr:row>11</xdr:row>
      <xdr:rowOff>92725</xdr:rowOff>
    </xdr:from>
    <xdr:to>
      <xdr:col>43</xdr:col>
      <xdr:colOff>330506</xdr:colOff>
      <xdr:row>18</xdr:row>
      <xdr:rowOff>265323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573038-4F8C-4157-0CE0-F7D92F74F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431131</xdr:colOff>
      <xdr:row>11</xdr:row>
      <xdr:rowOff>312821</xdr:rowOff>
    </xdr:from>
    <xdr:to>
      <xdr:col>52</xdr:col>
      <xdr:colOff>110289</xdr:colOff>
      <xdr:row>19</xdr:row>
      <xdr:rowOff>168442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916EEC-8C91-4E1F-8B3E-044069712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247246" cy="178632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92AF2D-7BC8-6CBD-B6C2-F66C3F6202D2}"/>
            </a:ext>
          </a:extLst>
        </xdr:cNvPr>
        <xdr:cNvSpPr txBox="1"/>
      </xdr:nvSpPr>
      <xdr:spPr>
        <a:xfrm>
          <a:off x="0" y="0"/>
          <a:ext cx="23247246" cy="1786328"/>
        </a:xfrm>
        <a:prstGeom prst="rect">
          <a:avLst/>
        </a:prstGeom>
        <a:solidFill>
          <a:schemeClr val="bg1"/>
        </a:solidFill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3600" b="1" i="0" u="none">
              <a:solidFill>
                <a:schemeClr val="tx1"/>
              </a:solidFill>
              <a:latin typeface="Bahnschrift Condensed" panose="020B0502040204020203" pitchFamily="34" charset="0"/>
            </a:rPr>
            <a:t>          </a:t>
          </a:r>
          <a:r>
            <a:rPr lang="en-IN" sz="6000" b="1" i="0" u="none">
              <a:solidFill>
                <a:schemeClr val="tx1"/>
              </a:solidFill>
              <a:latin typeface="Bahnschrift Condensed" panose="020B0502040204020203" pitchFamily="34" charset="0"/>
            </a:rPr>
            <a:t>UBER DASHBOARD</a:t>
          </a:r>
        </a:p>
      </xdr:txBody>
    </xdr:sp>
    <xdr:clientData/>
  </xdr:oneCellAnchor>
  <xdr:twoCellAnchor editAs="oneCell">
    <xdr:from>
      <xdr:col>1</xdr:col>
      <xdr:colOff>35839</xdr:colOff>
      <xdr:row>0</xdr:row>
      <xdr:rowOff>0</xdr:rowOff>
    </xdr:from>
    <xdr:to>
      <xdr:col>7</xdr:col>
      <xdr:colOff>587113</xdr:colOff>
      <xdr:row>11</xdr:row>
      <xdr:rowOff>12491</xdr:rowOff>
    </xdr:to>
    <xdr:pic>
      <xdr:nvPicPr>
        <xdr:cNvPr id="5" name="Picture 4" descr="Car with solid fill">
          <a:extLst>
            <a:ext uri="{FF2B5EF4-FFF2-40B4-BE49-F238E27FC236}">
              <a16:creationId xmlns:a16="http://schemas.microsoft.com/office/drawing/2014/main" id="{77951906-0B43-7E30-695D-CB6A2F82D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937" y="0"/>
          <a:ext cx="4223865" cy="207363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212362</xdr:colOff>
      <xdr:row>19</xdr:row>
      <xdr:rowOff>37475</xdr:rowOff>
    </xdr:from>
    <xdr:to>
      <xdr:col>11</xdr:col>
      <xdr:colOff>224854</xdr:colOff>
      <xdr:row>40</xdr:row>
      <xdr:rowOff>162393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42C54A-8CDC-41A0-906A-E4CB64AF6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174438</xdr:colOff>
      <xdr:row>19</xdr:row>
      <xdr:rowOff>37476</xdr:rowOff>
    </xdr:from>
    <xdr:to>
      <xdr:col>24</xdr:col>
      <xdr:colOff>349770</xdr:colOff>
      <xdr:row>41</xdr:row>
      <xdr:rowOff>12492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FEB57-28E5-4390-A7BE-FDE8C66D0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187377</xdr:colOff>
      <xdr:row>19</xdr:row>
      <xdr:rowOff>55772</xdr:rowOff>
    </xdr:from>
    <xdr:to>
      <xdr:col>37</xdr:col>
      <xdr:colOff>424722</xdr:colOff>
      <xdr:row>40</xdr:row>
      <xdr:rowOff>162394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B483E-A807-425C-A9F9-C72C44BED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237344</xdr:colOff>
      <xdr:row>42</xdr:row>
      <xdr:rowOff>74952</xdr:rowOff>
    </xdr:from>
    <xdr:to>
      <xdr:col>11</xdr:col>
      <xdr:colOff>149902</xdr:colOff>
      <xdr:row>65</xdr:row>
      <xdr:rowOff>12493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0F23B-C657-4AF2-9B63-43F7CB7A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199870</xdr:colOff>
      <xdr:row>42</xdr:row>
      <xdr:rowOff>87442</xdr:rowOff>
    </xdr:from>
    <xdr:to>
      <xdr:col>24</xdr:col>
      <xdr:colOff>312294</xdr:colOff>
      <xdr:row>64</xdr:row>
      <xdr:rowOff>162393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C94076-4905-48D1-8851-3C443C1E6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87442</xdr:colOff>
      <xdr:row>9</xdr:row>
      <xdr:rowOff>172356</xdr:rowOff>
    </xdr:from>
    <xdr:ext cx="3572655" cy="130167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2C8213A-8255-768F-F58C-FB195D29C2D8}"/>
            </a:ext>
          </a:extLst>
        </xdr:cNvPr>
        <xdr:cNvSpPr txBox="1"/>
      </xdr:nvSpPr>
      <xdr:spPr>
        <a:xfrm>
          <a:off x="87442" y="1858749"/>
          <a:ext cx="3572655" cy="1301677"/>
        </a:xfrm>
        <a:prstGeom prst="rect">
          <a:avLst/>
        </a:prstGeom>
        <a:solidFill>
          <a:schemeClr val="bg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</a:rPr>
            <a:t>TOTAL</a:t>
          </a:r>
          <a:r>
            <a:rPr lang="en-IN" sz="2800" b="1" baseline="0">
              <a:solidFill>
                <a:schemeClr val="tx1">
                  <a:lumMod val="95000"/>
                  <a:lumOff val="5000"/>
                </a:schemeClr>
              </a:solidFill>
            </a:rPr>
            <a:t> REVENUE </a:t>
          </a:r>
        </a:p>
        <a:p>
          <a:pPr algn="ctr"/>
          <a:r>
            <a:rPr lang="en-IN" sz="2800" b="1" baseline="0">
              <a:solidFill>
                <a:schemeClr val="tx1">
                  <a:lumMod val="95000"/>
                  <a:lumOff val="5000"/>
                </a:schemeClr>
              </a:solidFill>
            </a:rPr>
            <a:t>18042</a:t>
          </a:r>
        </a:p>
        <a:p>
          <a:endParaRPr lang="en-IN" sz="11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0</xdr:col>
      <xdr:colOff>126555</xdr:colOff>
      <xdr:row>10</xdr:row>
      <xdr:rowOff>38368</xdr:rowOff>
    </xdr:from>
    <xdr:to>
      <xdr:col>0</xdr:col>
      <xdr:colOff>593510</xdr:colOff>
      <xdr:row>12</xdr:row>
      <xdr:rowOff>171316</xdr:rowOff>
    </xdr:to>
    <xdr:pic>
      <xdr:nvPicPr>
        <xdr:cNvPr id="32" name="Graphic 31" descr="Bar graph with upward trend with solid fill">
          <a:extLst>
            <a:ext uri="{FF2B5EF4-FFF2-40B4-BE49-F238E27FC236}">
              <a16:creationId xmlns:a16="http://schemas.microsoft.com/office/drawing/2014/main" id="{B21EF72F-E3E2-A9AB-86CF-9827F68EC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6555" y="1912138"/>
          <a:ext cx="466955" cy="507703"/>
        </a:xfrm>
        <a:prstGeom prst="rect">
          <a:avLst/>
        </a:prstGeom>
      </xdr:spPr>
    </xdr:pic>
    <xdr:clientData/>
  </xdr:twoCellAnchor>
  <xdr:oneCellAnchor>
    <xdr:from>
      <xdr:col>6</xdr:col>
      <xdr:colOff>262328</xdr:colOff>
      <xdr:row>10</xdr:row>
      <xdr:rowOff>0</xdr:rowOff>
    </xdr:from>
    <xdr:ext cx="3972393" cy="1299148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F86E29F-D798-CDB1-C823-D75586FAC585}"/>
            </a:ext>
          </a:extLst>
        </xdr:cNvPr>
        <xdr:cNvSpPr txBox="1"/>
      </xdr:nvSpPr>
      <xdr:spPr>
        <a:xfrm>
          <a:off x="3934918" y="1873770"/>
          <a:ext cx="3972393" cy="1299148"/>
        </a:xfrm>
        <a:prstGeom prst="rect">
          <a:avLst/>
        </a:prstGeom>
        <a:solidFill>
          <a:schemeClr val="bg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000" b="1">
              <a:solidFill>
                <a:schemeClr val="tx1">
                  <a:lumMod val="95000"/>
                  <a:lumOff val="5000"/>
                </a:schemeClr>
              </a:solidFill>
            </a:rPr>
            <a:t>     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</a:rPr>
            <a:t>TOTAL RIDES </a:t>
          </a:r>
        </a:p>
        <a:p>
          <a:pPr algn="ctr"/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</a:rPr>
            <a:t>50</a:t>
          </a:r>
        </a:p>
      </xdr:txBody>
    </xdr:sp>
    <xdr:clientData/>
  </xdr:oneCellAnchor>
  <xdr:twoCellAnchor editAs="oneCell">
    <xdr:from>
      <xdr:col>6</xdr:col>
      <xdr:colOff>545477</xdr:colOff>
      <xdr:row>9</xdr:row>
      <xdr:rowOff>143061</xdr:rowOff>
    </xdr:from>
    <xdr:to>
      <xdr:col>7</xdr:col>
      <xdr:colOff>463833</xdr:colOff>
      <xdr:row>14</xdr:row>
      <xdr:rowOff>10111</xdr:rowOff>
    </xdr:to>
    <xdr:pic>
      <xdr:nvPicPr>
        <xdr:cNvPr id="36" name="Graphic 35" descr="Car with solid fill">
          <a:extLst>
            <a:ext uri="{FF2B5EF4-FFF2-40B4-BE49-F238E27FC236}">
              <a16:creationId xmlns:a16="http://schemas.microsoft.com/office/drawing/2014/main" id="{EACB5703-9DF0-D2AC-CE05-9FB10062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8067" y="1829454"/>
          <a:ext cx="530455" cy="803936"/>
        </a:xfrm>
        <a:prstGeom prst="rect">
          <a:avLst/>
        </a:prstGeom>
      </xdr:spPr>
    </xdr:pic>
    <xdr:clientData/>
  </xdr:twoCellAnchor>
  <xdr:oneCellAnchor>
    <xdr:from>
      <xdr:col>13</xdr:col>
      <xdr:colOff>299802</xdr:colOff>
      <xdr:row>10</xdr:row>
      <xdr:rowOff>18144</xdr:rowOff>
    </xdr:from>
    <xdr:ext cx="4621967" cy="130598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762653-C5DC-4302-3142-022728D4AF2D}"/>
            </a:ext>
          </a:extLst>
        </xdr:cNvPr>
        <xdr:cNvSpPr txBox="1"/>
      </xdr:nvSpPr>
      <xdr:spPr>
        <a:xfrm>
          <a:off x="8257081" y="1891914"/>
          <a:ext cx="4621967" cy="1305988"/>
        </a:xfrm>
        <a:prstGeom prst="rect">
          <a:avLst/>
        </a:prstGeom>
        <a:solidFill>
          <a:schemeClr val="bg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/>
            <a:t> COMPLETED</a:t>
          </a:r>
          <a:r>
            <a:rPr lang="en-IN" sz="2800" b="1" baseline="0"/>
            <a:t> RIDES </a:t>
          </a:r>
        </a:p>
        <a:p>
          <a:pPr algn="ctr"/>
          <a:r>
            <a:rPr lang="en-IN" sz="2800" b="1" baseline="0"/>
            <a:t>47</a:t>
          </a:r>
        </a:p>
        <a:p>
          <a:endParaRPr lang="en-IN" sz="1100" b="1"/>
        </a:p>
      </xdr:txBody>
    </xdr:sp>
    <xdr:clientData/>
  </xdr:oneCellAnchor>
  <xdr:oneCellAnchor>
    <xdr:from>
      <xdr:col>21</xdr:col>
      <xdr:colOff>462196</xdr:colOff>
      <xdr:row>10</xdr:row>
      <xdr:rowOff>27213</xdr:rowOff>
    </xdr:from>
    <xdr:ext cx="4846820" cy="132190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A34A7B-FD97-13D1-AA73-6010B49C3CC8}"/>
            </a:ext>
          </a:extLst>
        </xdr:cNvPr>
        <xdr:cNvSpPr txBox="1"/>
      </xdr:nvSpPr>
      <xdr:spPr>
        <a:xfrm>
          <a:off x="13316262" y="1900983"/>
          <a:ext cx="4846820" cy="1321901"/>
        </a:xfrm>
        <a:prstGeom prst="rect">
          <a:avLst/>
        </a:prstGeom>
        <a:solidFill>
          <a:schemeClr val="bg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/>
            <a:t>AVERAGE FAIR</a:t>
          </a:r>
        </a:p>
        <a:p>
          <a:pPr algn="ctr"/>
          <a:r>
            <a:rPr lang="en-IN" sz="2800" b="1"/>
            <a:t> 360.84</a:t>
          </a:r>
        </a:p>
        <a:p>
          <a:endParaRPr lang="en-IN" sz="1100"/>
        </a:p>
      </xdr:txBody>
    </xdr:sp>
    <xdr:clientData/>
  </xdr:oneCellAnchor>
  <xdr:oneCellAnchor>
    <xdr:from>
      <xdr:col>30</xdr:col>
      <xdr:colOff>149901</xdr:colOff>
      <xdr:row>10</xdr:row>
      <xdr:rowOff>18143</xdr:rowOff>
    </xdr:from>
    <xdr:ext cx="4634459" cy="134346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B1FE02-8DAF-D781-82B1-CA741FD945C9}"/>
            </a:ext>
          </a:extLst>
        </xdr:cNvPr>
        <xdr:cNvSpPr txBox="1"/>
      </xdr:nvSpPr>
      <xdr:spPr>
        <a:xfrm>
          <a:off x="18512852" y="1891913"/>
          <a:ext cx="4634459" cy="1343464"/>
        </a:xfrm>
        <a:prstGeom prst="rect">
          <a:avLst/>
        </a:prstGeom>
        <a:solidFill>
          <a:schemeClr val="bg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/>
            <a:t>AVERAGE CUSTOMER  RATING 5.56</a:t>
          </a:r>
        </a:p>
        <a:p>
          <a:endParaRPr lang="en-IN" sz="2800" b="1"/>
        </a:p>
        <a:p>
          <a:r>
            <a:rPr lang="en-IN" sz="2800" b="1"/>
            <a:t> </a:t>
          </a:r>
        </a:p>
      </xdr:txBody>
    </xdr:sp>
    <xdr:clientData/>
  </xdr:oneCellAnchor>
  <xdr:twoCellAnchor editAs="oneCell">
    <xdr:from>
      <xdr:col>22</xdr:col>
      <xdr:colOff>297424</xdr:colOff>
      <xdr:row>10</xdr:row>
      <xdr:rowOff>87444</xdr:rowOff>
    </xdr:from>
    <xdr:to>
      <xdr:col>23</xdr:col>
      <xdr:colOff>397209</xdr:colOff>
      <xdr:row>13</xdr:row>
      <xdr:rowOff>36137</xdr:rowOff>
    </xdr:to>
    <xdr:pic>
      <xdr:nvPicPr>
        <xdr:cNvPr id="14" name="Graphic 13" descr="Pie chart with solid fill">
          <a:extLst>
            <a:ext uri="{FF2B5EF4-FFF2-40B4-BE49-F238E27FC236}">
              <a16:creationId xmlns:a16="http://schemas.microsoft.com/office/drawing/2014/main" id="{5FF0FE2B-25AE-8DC0-858E-C5F33DA42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763588" y="1961214"/>
          <a:ext cx="711883" cy="510825"/>
        </a:xfrm>
        <a:prstGeom prst="rect">
          <a:avLst/>
        </a:prstGeom>
      </xdr:spPr>
    </xdr:pic>
    <xdr:clientData/>
  </xdr:twoCellAnchor>
  <xdr:twoCellAnchor editAs="oneCell">
    <xdr:from>
      <xdr:col>32</xdr:col>
      <xdr:colOff>54185</xdr:colOff>
      <xdr:row>15</xdr:row>
      <xdr:rowOff>6327</xdr:rowOff>
    </xdr:from>
    <xdr:to>
      <xdr:col>32</xdr:col>
      <xdr:colOff>390654</xdr:colOff>
      <xdr:row>16</xdr:row>
      <xdr:rowOff>144223</xdr:rowOff>
    </xdr:to>
    <xdr:pic>
      <xdr:nvPicPr>
        <xdr:cNvPr id="16" name="Graphic 15" descr="Star with solid fill">
          <a:extLst>
            <a:ext uri="{FF2B5EF4-FFF2-40B4-BE49-F238E27FC236}">
              <a16:creationId xmlns:a16="http://schemas.microsoft.com/office/drawing/2014/main" id="{7F320095-6FEC-B654-DFEC-C4873419F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641333" y="2816983"/>
          <a:ext cx="336469" cy="325273"/>
        </a:xfrm>
        <a:prstGeom prst="rect">
          <a:avLst/>
        </a:prstGeom>
      </xdr:spPr>
    </xdr:pic>
    <xdr:clientData/>
  </xdr:twoCellAnchor>
  <xdr:twoCellAnchor editAs="oneCell">
    <xdr:from>
      <xdr:col>33</xdr:col>
      <xdr:colOff>18495</xdr:colOff>
      <xdr:row>14</xdr:row>
      <xdr:rowOff>183808</xdr:rowOff>
    </xdr:from>
    <xdr:to>
      <xdr:col>33</xdr:col>
      <xdr:colOff>353501</xdr:colOff>
      <xdr:row>16</xdr:row>
      <xdr:rowOff>144223</xdr:rowOff>
    </xdr:to>
    <xdr:pic>
      <xdr:nvPicPr>
        <xdr:cNvPr id="18" name="Graphic 17" descr="Star with solid fill">
          <a:extLst>
            <a:ext uri="{FF2B5EF4-FFF2-40B4-BE49-F238E27FC236}">
              <a16:creationId xmlns:a16="http://schemas.microsoft.com/office/drawing/2014/main" id="{EEBC1D3A-09DD-9590-EDE4-ACF84DF0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0217741" y="2807087"/>
          <a:ext cx="335006" cy="335169"/>
        </a:xfrm>
        <a:prstGeom prst="rect">
          <a:avLst/>
        </a:prstGeom>
      </xdr:spPr>
    </xdr:pic>
    <xdr:clientData/>
  </xdr:twoCellAnchor>
  <xdr:twoCellAnchor editAs="oneCell">
    <xdr:from>
      <xdr:col>34</xdr:col>
      <xdr:colOff>33908</xdr:colOff>
      <xdr:row>14</xdr:row>
      <xdr:rowOff>181211</xdr:rowOff>
    </xdr:from>
    <xdr:to>
      <xdr:col>34</xdr:col>
      <xdr:colOff>380271</xdr:colOff>
      <xdr:row>16</xdr:row>
      <xdr:rowOff>141626</xdr:rowOff>
    </xdr:to>
    <xdr:pic>
      <xdr:nvPicPr>
        <xdr:cNvPr id="20" name="Graphic 19" descr="Star with solid fill">
          <a:extLst>
            <a:ext uri="{FF2B5EF4-FFF2-40B4-BE49-F238E27FC236}">
              <a16:creationId xmlns:a16="http://schemas.microsoft.com/office/drawing/2014/main" id="{3EB88A56-2F39-6A65-667B-DB4787F5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0845252" y="2804490"/>
          <a:ext cx="346363" cy="335169"/>
        </a:xfrm>
        <a:prstGeom prst="rect">
          <a:avLst/>
        </a:prstGeom>
      </xdr:spPr>
    </xdr:pic>
    <xdr:clientData/>
  </xdr:twoCellAnchor>
  <xdr:twoCellAnchor editAs="oneCell">
    <xdr:from>
      <xdr:col>35</xdr:col>
      <xdr:colOff>33096</xdr:colOff>
      <xdr:row>14</xdr:row>
      <xdr:rowOff>146334</xdr:rowOff>
    </xdr:from>
    <xdr:to>
      <xdr:col>35</xdr:col>
      <xdr:colOff>368103</xdr:colOff>
      <xdr:row>16</xdr:row>
      <xdr:rowOff>126542</xdr:rowOff>
    </xdr:to>
    <xdr:pic>
      <xdr:nvPicPr>
        <xdr:cNvPr id="22" name="Graphic 21" descr="Star with solid fill">
          <a:extLst>
            <a:ext uri="{FF2B5EF4-FFF2-40B4-BE49-F238E27FC236}">
              <a16:creationId xmlns:a16="http://schemas.microsoft.com/office/drawing/2014/main" id="{708C006D-CF91-4386-BB0D-67D9D18C0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1456539" y="2769613"/>
          <a:ext cx="335007" cy="354962"/>
        </a:xfrm>
        <a:prstGeom prst="rect">
          <a:avLst/>
        </a:prstGeom>
      </xdr:spPr>
    </xdr:pic>
    <xdr:clientData/>
  </xdr:twoCellAnchor>
  <xdr:twoCellAnchor editAs="oneCell">
    <xdr:from>
      <xdr:col>35</xdr:col>
      <xdr:colOff>598146</xdr:colOff>
      <xdr:row>14</xdr:row>
      <xdr:rowOff>126539</xdr:rowOff>
    </xdr:from>
    <xdr:to>
      <xdr:col>36</xdr:col>
      <xdr:colOff>322515</xdr:colOff>
      <xdr:row>16</xdr:row>
      <xdr:rowOff>136436</xdr:rowOff>
    </xdr:to>
    <xdr:pic>
      <xdr:nvPicPr>
        <xdr:cNvPr id="24" name="Graphic 23" descr="Star with solid fill">
          <a:extLst>
            <a:ext uri="{FF2B5EF4-FFF2-40B4-BE49-F238E27FC236}">
              <a16:creationId xmlns:a16="http://schemas.microsoft.com/office/drawing/2014/main" id="{5600C7CE-C9EF-B98C-4E32-9C62587B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2021589" y="2749818"/>
          <a:ext cx="336467" cy="384651"/>
        </a:xfrm>
        <a:prstGeom prst="rect">
          <a:avLst/>
        </a:prstGeom>
      </xdr:spPr>
    </xdr:pic>
    <xdr:clientData/>
  </xdr:twoCellAnchor>
  <xdr:twoCellAnchor>
    <xdr:from>
      <xdr:col>26</xdr:col>
      <xdr:colOff>181632</xdr:colOff>
      <xdr:row>42</xdr:row>
      <xdr:rowOff>62459</xdr:rowOff>
    </xdr:from>
    <xdr:to>
      <xdr:col>37</xdr:col>
      <xdr:colOff>462198</xdr:colOff>
      <xdr:row>64</xdr:row>
      <xdr:rowOff>99937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E35B212-60F8-4F70-970A-E83DFCB83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13</xdr:col>
      <xdr:colOff>374754</xdr:colOff>
      <xdr:row>10</xdr:row>
      <xdr:rowOff>24985</xdr:rowOff>
    </xdr:from>
    <xdr:to>
      <xdr:col>14</xdr:col>
      <xdr:colOff>487180</xdr:colOff>
      <xdr:row>13</xdr:row>
      <xdr:rowOff>74952</xdr:rowOff>
    </xdr:to>
    <xdr:pic>
      <xdr:nvPicPr>
        <xdr:cNvPr id="13" name="Graphic 12" descr="Checkmark with solid fill">
          <a:extLst>
            <a:ext uri="{FF2B5EF4-FFF2-40B4-BE49-F238E27FC236}">
              <a16:creationId xmlns:a16="http://schemas.microsoft.com/office/drawing/2014/main" id="{27944C6B-B8BA-DC5B-69C7-1EB1625D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332033" y="1898755"/>
          <a:ext cx="724524" cy="612099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0.62576</cdr:x>
      <cdr:y>0</cdr:y>
    </cdr:from>
    <cdr:to>
      <cdr:x>0.72629</cdr:x>
      <cdr:y>0.24799</cdr:y>
    </cdr:to>
    <cdr:pic>
      <cdr:nvPicPr>
        <cdr:cNvPr id="3" name="Graphic 2" descr="City with solid fill">
          <a:extLst xmlns:a="http://schemas.openxmlformats.org/drawingml/2006/main">
            <a:ext uri="{FF2B5EF4-FFF2-40B4-BE49-F238E27FC236}">
              <a16:creationId xmlns:a16="http://schemas.microsoft.com/office/drawing/2014/main" id="{9A1BBECC-BDFA-E32B-E059-8687564E0D5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221086" y="0"/>
          <a:ext cx="678132" cy="1006798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0.7277</cdr:x>
      <cdr:y>0.03022</cdr:y>
    </cdr:from>
    <cdr:to>
      <cdr:x>0.88039</cdr:x>
      <cdr:y>0.21808</cdr:y>
    </cdr:to>
    <cdr:pic>
      <cdr:nvPicPr>
        <cdr:cNvPr id="3" name="Graphic 2" descr="Car with solid fill">
          <a:extLst xmlns:a="http://schemas.openxmlformats.org/drawingml/2006/main">
            <a:ext uri="{FF2B5EF4-FFF2-40B4-BE49-F238E27FC236}">
              <a16:creationId xmlns:a16="http://schemas.microsoft.com/office/drawing/2014/main" id="{AE1DC62D-7620-9CED-08A9-F0B2B085D3E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27244" y="123839"/>
          <a:ext cx="1054846" cy="76972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0.69482</cdr:x>
      <cdr:y>0.004</cdr:y>
    </cdr:from>
    <cdr:to>
      <cdr:x>0.8391</cdr:x>
      <cdr:y>0.20119</cdr:y>
    </cdr:to>
    <cdr:pic>
      <cdr:nvPicPr>
        <cdr:cNvPr id="5" name="Graphic 4" descr="Dollar with solid fill">
          <a:extLst xmlns:a="http://schemas.openxmlformats.org/drawingml/2006/main">
            <a:ext uri="{FF2B5EF4-FFF2-40B4-BE49-F238E27FC236}">
              <a16:creationId xmlns:a16="http://schemas.microsoft.com/office/drawing/2014/main" id="{64F37798-C3C1-D8BE-A11D-E1E41724027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43200" y="16178"/>
          <a:ext cx="1005693" cy="796951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0.77401</cdr:x>
      <cdr:y>0.01681</cdr:y>
    </cdr:from>
    <cdr:to>
      <cdr:x>0.90745</cdr:x>
      <cdr:y>0.2315</cdr:y>
    </cdr:to>
    <cdr:pic>
      <cdr:nvPicPr>
        <cdr:cNvPr id="3" name="Graphic 2" descr="Money with solid fill">
          <a:extLst xmlns:a="http://schemas.openxmlformats.org/drawingml/2006/main">
            <a:ext uri="{FF2B5EF4-FFF2-40B4-BE49-F238E27FC236}">
              <a16:creationId xmlns:a16="http://schemas.microsoft.com/office/drawing/2014/main" id="{79BDBD14-98D5-E39C-E1E0-B4F4EAC90A3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143816" y="71390"/>
          <a:ext cx="886794" cy="91183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0.04732</cdr:x>
      <cdr:y>0.29031</cdr:y>
    </cdr:from>
    <cdr:to>
      <cdr:x>0.13628</cdr:x>
      <cdr:y>0.45715</cdr:y>
    </cdr:to>
    <cdr:pic>
      <cdr:nvPicPr>
        <cdr:cNvPr id="3" name="Graphic 2" descr="City with solid fill">
          <a:extLst xmlns:a="http://schemas.openxmlformats.org/drawingml/2006/main">
            <a:ext uri="{FF2B5EF4-FFF2-40B4-BE49-F238E27FC236}">
              <a16:creationId xmlns:a16="http://schemas.microsoft.com/office/drawing/2014/main" id="{22FC953E-95A8-42A8-9C7D-7BABCB17D1B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23916" y="1218489"/>
          <a:ext cx="608976" cy="7002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0.02847</cdr:x>
      <cdr:y>0.66866</cdr:y>
    </cdr:from>
    <cdr:to>
      <cdr:x>0.12617</cdr:x>
      <cdr:y>0.79228</cdr:y>
    </cdr:to>
    <cdr:pic>
      <cdr:nvPicPr>
        <cdr:cNvPr id="5" name="Graphic 4" descr="Airplane with solid fill">
          <a:extLst xmlns:a="http://schemas.openxmlformats.org/drawingml/2006/main">
            <a:ext uri="{FF2B5EF4-FFF2-40B4-BE49-F238E27FC236}">
              <a16:creationId xmlns:a16="http://schemas.microsoft.com/office/drawing/2014/main" id="{85372D66-46B8-51A5-1283-389E2F03B97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94906" y="2806524"/>
          <a:ext cx="668806" cy="518864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5.412265624997" createdVersion="8" refreshedVersion="8" minRefreshableVersion="3" recordCount="50" xr:uid="{6FA44583-011C-4F52-A36E-AA47905877EA}">
  <cacheSource type="worksheet">
    <worksheetSource name="Table1"/>
  </cacheSource>
  <cacheFields count="14">
    <cacheField name="Ride_ID" numFmtId="0">
      <sharedItems count="50">
        <s v="UBR001"/>
        <s v="UBR002"/>
        <s v="UBR003"/>
        <s v="UBR004"/>
        <s v="UBR005"/>
        <s v="UBR006"/>
        <s v="UBR007"/>
        <s v="UBR008"/>
        <s v="UBR009"/>
        <s v="UBR010"/>
        <s v="UBR011"/>
        <s v="UBR012"/>
        <s v="UBR013"/>
        <s v="UBR014"/>
        <s v="UBR015"/>
        <s v="UBR016"/>
        <s v="UBR017"/>
        <s v="UBR018"/>
        <s v="UBR019"/>
        <s v="UBR020"/>
        <s v="UBR021"/>
        <s v="UBR022"/>
        <s v="UBR023"/>
        <s v="UBR024"/>
        <s v="UBR025"/>
        <s v="UBR026"/>
        <s v="UBR027"/>
        <s v="UBR028"/>
        <s v="UBR029"/>
        <s v="UBR030"/>
        <s v="UBR031"/>
        <s v="UBR032"/>
        <s v="UBR033"/>
        <s v="UBR034"/>
        <s v="UBR035"/>
        <s v="UBR036"/>
        <s v="UBR037"/>
        <s v="UBR038"/>
        <s v="UBR039"/>
        <s v="UBR040"/>
        <s v="UBR041"/>
        <s v="UBR042"/>
        <s v="UBR043"/>
        <s v="UBR044"/>
        <s v="UBR045"/>
        <s v="UBR046"/>
        <s v="UBR047"/>
        <s v="UBR048"/>
        <s v="UBR049"/>
        <s v="UBR050"/>
      </sharedItems>
    </cacheField>
    <cacheField name="Date" numFmtId="15">
      <sharedItems containsSemiMixedTypes="0" containsNonDate="0" containsDate="1" containsString="0" minDate="2026-08-01T00:00:00" maxDate="2026-08-10T00:00:00" count="9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</sharedItems>
    </cacheField>
    <cacheField name="City" numFmtId="0">
      <sharedItems count="7">
        <s v="Bengaluru"/>
        <s v="Mumbai"/>
        <s v="Delhi"/>
        <s v="Hyderabad"/>
        <s v="Chennai"/>
        <s v="Pune"/>
        <s v="Kochi"/>
      </sharedItems>
    </cacheField>
    <cacheField name="Vehicle_Type" numFmtId="0">
      <sharedItems count="4">
        <s v="UberGo"/>
        <s v="UberXL"/>
        <s v="Premier"/>
        <s v="Auto"/>
      </sharedItems>
    </cacheField>
    <cacheField name="Trip_Type" numFmtId="0">
      <sharedItems count="2">
        <s v="City"/>
        <s v="Airport"/>
      </sharedItems>
    </cacheField>
    <cacheField name="Customer_Type" numFmtId="0">
      <sharedItems count="3">
        <s v="Regular"/>
        <s v="New"/>
        <s v="Premium"/>
      </sharedItems>
    </cacheField>
    <cacheField name="Payment_Mode" numFmtId="0">
      <sharedItems count="3">
        <s v="UPI"/>
        <s v="Card"/>
        <s v="Cash"/>
      </sharedItems>
    </cacheField>
    <cacheField name="Distance_KM" numFmtId="0">
      <sharedItems containsSemiMixedTypes="0" containsString="0" containsNumber="1" minValue="3.2" maxValue="28.7"/>
    </cacheField>
    <cacheField name="Fare_INR" numFmtId="0">
      <sharedItems containsSemiMixedTypes="0" containsString="0" containsNumber="1" containsInteger="1" minValue="80" maxValue="890"/>
    </cacheField>
    <cacheField name="Discount_INR" numFmtId="0">
      <sharedItems containsSemiMixedTypes="0" containsString="0" containsNumber="1" containsInteger="1" minValue="0" maxValue="100"/>
    </cacheField>
    <cacheField name="Driver_Rating" numFmtId="0">
      <sharedItems containsSemiMixedTypes="0" containsString="0" containsNumber="1" minValue="4.2" maxValue="4.9000000000000004"/>
    </cacheField>
    <cacheField name="Customer_Rating" numFmtId="0">
      <sharedItems containsSemiMixedTypes="0" containsString="0" containsNumber="1" minValue="4" maxValue="4.9000000000000004"/>
    </cacheField>
    <cacheField name="Trip_Duration_Min" numFmtId="0">
      <sharedItems containsSemiMixedTypes="0" containsString="0" containsNumber="1" containsInteger="1" minValue="14" maxValue="67"/>
    </cacheField>
    <cacheField name="Status" numFmtId="0">
      <sharedItems count="2">
        <s v="Complet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  <x v="0"/>
    <n v="8.5"/>
    <n v="245"/>
    <n v="20"/>
    <n v="4.8"/>
    <n v="4.7"/>
    <n v="28"/>
    <x v="0"/>
  </r>
  <r>
    <x v="1"/>
    <x v="0"/>
    <x v="1"/>
    <x v="0"/>
    <x v="0"/>
    <x v="1"/>
    <x v="1"/>
    <n v="12.2"/>
    <n v="385"/>
    <n v="50"/>
    <n v="4.5999999999999996"/>
    <n v="4.5"/>
    <n v="41"/>
    <x v="0"/>
  </r>
  <r>
    <x v="2"/>
    <x v="0"/>
    <x v="2"/>
    <x v="1"/>
    <x v="1"/>
    <x v="0"/>
    <x v="0"/>
    <n v="24.5"/>
    <n v="720"/>
    <n v="80"/>
    <n v="4.9000000000000004"/>
    <n v="4.8"/>
    <n v="55"/>
    <x v="0"/>
  </r>
  <r>
    <x v="3"/>
    <x v="0"/>
    <x v="3"/>
    <x v="0"/>
    <x v="0"/>
    <x v="0"/>
    <x v="2"/>
    <n v="6.8"/>
    <n v="190"/>
    <n v="0"/>
    <n v="4.5"/>
    <n v="4.5999999999999996"/>
    <n v="22"/>
    <x v="0"/>
  </r>
  <r>
    <x v="4"/>
    <x v="0"/>
    <x v="4"/>
    <x v="2"/>
    <x v="0"/>
    <x v="2"/>
    <x v="1"/>
    <n v="10.4"/>
    <n v="410"/>
    <n v="30"/>
    <n v="4.9000000000000004"/>
    <n v="4.9000000000000004"/>
    <n v="35"/>
    <x v="0"/>
  </r>
  <r>
    <x v="5"/>
    <x v="1"/>
    <x v="5"/>
    <x v="0"/>
    <x v="0"/>
    <x v="1"/>
    <x v="0"/>
    <n v="7.2"/>
    <n v="215"/>
    <n v="25"/>
    <n v="4.7"/>
    <n v="4.4000000000000004"/>
    <n v="25"/>
    <x v="0"/>
  </r>
  <r>
    <x v="6"/>
    <x v="1"/>
    <x v="0"/>
    <x v="3"/>
    <x v="0"/>
    <x v="0"/>
    <x v="0"/>
    <n v="4.5"/>
    <n v="105"/>
    <n v="10"/>
    <n v="4.5999999999999996"/>
    <n v="4.5"/>
    <n v="18"/>
    <x v="0"/>
  </r>
  <r>
    <x v="7"/>
    <x v="1"/>
    <x v="1"/>
    <x v="1"/>
    <x v="1"/>
    <x v="2"/>
    <x v="1"/>
    <n v="28.7"/>
    <n v="890"/>
    <n v="100"/>
    <n v="4.8"/>
    <n v="4.9000000000000004"/>
    <n v="67"/>
    <x v="0"/>
  </r>
  <r>
    <x v="8"/>
    <x v="1"/>
    <x v="2"/>
    <x v="0"/>
    <x v="0"/>
    <x v="0"/>
    <x v="2"/>
    <n v="9.8000000000000007"/>
    <n v="290"/>
    <n v="0"/>
    <n v="4.4000000000000004"/>
    <n v="4.2"/>
    <n v="31"/>
    <x v="0"/>
  </r>
  <r>
    <x v="9"/>
    <x v="1"/>
    <x v="6"/>
    <x v="0"/>
    <x v="1"/>
    <x v="1"/>
    <x v="0"/>
    <n v="18.5"/>
    <n v="540"/>
    <n v="60"/>
    <n v="4.7"/>
    <n v="4.5999999999999996"/>
    <n v="44"/>
    <x v="0"/>
  </r>
  <r>
    <x v="10"/>
    <x v="2"/>
    <x v="0"/>
    <x v="2"/>
    <x v="0"/>
    <x v="2"/>
    <x v="1"/>
    <n v="14.2"/>
    <n v="560"/>
    <n v="40"/>
    <n v="4.9000000000000004"/>
    <n v="4.8"/>
    <n v="43"/>
    <x v="0"/>
  </r>
  <r>
    <x v="11"/>
    <x v="2"/>
    <x v="1"/>
    <x v="0"/>
    <x v="0"/>
    <x v="0"/>
    <x v="0"/>
    <n v="5.7"/>
    <n v="175"/>
    <n v="15"/>
    <n v="4.5999999999999996"/>
    <n v="4.7"/>
    <n v="20"/>
    <x v="0"/>
  </r>
  <r>
    <x v="12"/>
    <x v="2"/>
    <x v="2"/>
    <x v="3"/>
    <x v="0"/>
    <x v="1"/>
    <x v="2"/>
    <n v="3.8"/>
    <n v="90"/>
    <n v="0"/>
    <n v="4.3"/>
    <n v="4.0999999999999996"/>
    <n v="16"/>
    <x v="0"/>
  </r>
  <r>
    <x v="13"/>
    <x v="2"/>
    <x v="3"/>
    <x v="1"/>
    <x v="1"/>
    <x v="0"/>
    <x v="1"/>
    <n v="22.4"/>
    <n v="680"/>
    <n v="70"/>
    <n v="4.8"/>
    <n v="4.7"/>
    <n v="52"/>
    <x v="0"/>
  </r>
  <r>
    <x v="14"/>
    <x v="2"/>
    <x v="4"/>
    <x v="0"/>
    <x v="0"/>
    <x v="0"/>
    <x v="0"/>
    <n v="8.9"/>
    <n v="260"/>
    <n v="20"/>
    <n v="4.7"/>
    <n v="4.5999999999999996"/>
    <n v="29"/>
    <x v="0"/>
  </r>
  <r>
    <x v="15"/>
    <x v="2"/>
    <x v="5"/>
    <x v="2"/>
    <x v="0"/>
    <x v="2"/>
    <x v="1"/>
    <n v="11.5"/>
    <n v="450"/>
    <n v="35"/>
    <n v="4.9000000000000004"/>
    <n v="4.9000000000000004"/>
    <n v="37"/>
    <x v="0"/>
  </r>
  <r>
    <x v="16"/>
    <x v="3"/>
    <x v="0"/>
    <x v="0"/>
    <x v="0"/>
    <x v="1"/>
    <x v="0"/>
    <n v="6.4"/>
    <n v="185"/>
    <n v="20"/>
    <n v="4.5"/>
    <n v="4.3"/>
    <n v="23"/>
    <x v="1"/>
  </r>
  <r>
    <x v="17"/>
    <x v="3"/>
    <x v="1"/>
    <x v="0"/>
    <x v="0"/>
    <x v="0"/>
    <x v="2"/>
    <n v="10.6"/>
    <n v="320"/>
    <n v="0"/>
    <n v="4.7"/>
    <n v="4.5"/>
    <n v="34"/>
    <x v="0"/>
  </r>
  <r>
    <x v="18"/>
    <x v="3"/>
    <x v="2"/>
    <x v="2"/>
    <x v="1"/>
    <x v="2"/>
    <x v="1"/>
    <n v="26.3"/>
    <n v="840"/>
    <n v="90"/>
    <n v="4.9000000000000004"/>
    <n v="4.8"/>
    <n v="61"/>
    <x v="0"/>
  </r>
  <r>
    <x v="19"/>
    <x v="3"/>
    <x v="6"/>
    <x v="3"/>
    <x v="0"/>
    <x v="0"/>
    <x v="0"/>
    <n v="5.0999999999999996"/>
    <n v="115"/>
    <n v="10"/>
    <n v="4.5"/>
    <n v="4.4000000000000004"/>
    <n v="19"/>
    <x v="0"/>
  </r>
  <r>
    <x v="20"/>
    <x v="3"/>
    <x v="3"/>
    <x v="0"/>
    <x v="0"/>
    <x v="0"/>
    <x v="0"/>
    <n v="9.3000000000000007"/>
    <n v="275"/>
    <n v="25"/>
    <n v="4.5999999999999996"/>
    <n v="4.7"/>
    <n v="30"/>
    <x v="0"/>
  </r>
  <r>
    <x v="21"/>
    <x v="3"/>
    <x v="4"/>
    <x v="1"/>
    <x v="1"/>
    <x v="1"/>
    <x v="1"/>
    <n v="21.8"/>
    <n v="650"/>
    <n v="75"/>
    <n v="4.7"/>
    <n v="4.5"/>
    <n v="50"/>
    <x v="0"/>
  </r>
  <r>
    <x v="22"/>
    <x v="4"/>
    <x v="5"/>
    <x v="0"/>
    <x v="0"/>
    <x v="0"/>
    <x v="2"/>
    <n v="7.6"/>
    <n v="225"/>
    <n v="0"/>
    <n v="4.4000000000000004"/>
    <n v="4.3"/>
    <n v="26"/>
    <x v="0"/>
  </r>
  <r>
    <x v="23"/>
    <x v="4"/>
    <x v="0"/>
    <x v="3"/>
    <x v="0"/>
    <x v="1"/>
    <x v="0"/>
    <n v="3.2"/>
    <n v="80"/>
    <n v="5"/>
    <n v="4.5"/>
    <n v="4.2"/>
    <n v="14"/>
    <x v="0"/>
  </r>
  <r>
    <x v="24"/>
    <x v="4"/>
    <x v="1"/>
    <x v="2"/>
    <x v="0"/>
    <x v="2"/>
    <x v="1"/>
    <n v="13.7"/>
    <n v="525"/>
    <n v="45"/>
    <n v="4.9000000000000004"/>
    <n v="4.9000000000000004"/>
    <n v="42"/>
    <x v="0"/>
  </r>
  <r>
    <x v="25"/>
    <x v="4"/>
    <x v="2"/>
    <x v="0"/>
    <x v="0"/>
    <x v="0"/>
    <x v="0"/>
    <n v="11.4"/>
    <n v="335"/>
    <n v="30"/>
    <n v="4.8"/>
    <n v="4.7"/>
    <n v="36"/>
    <x v="0"/>
  </r>
  <r>
    <x v="26"/>
    <x v="4"/>
    <x v="3"/>
    <x v="0"/>
    <x v="0"/>
    <x v="1"/>
    <x v="2"/>
    <n v="5.9"/>
    <n v="165"/>
    <n v="0"/>
    <n v="4.3"/>
    <n v="4.0999999999999996"/>
    <n v="21"/>
    <x v="1"/>
  </r>
  <r>
    <x v="27"/>
    <x v="4"/>
    <x v="4"/>
    <x v="0"/>
    <x v="0"/>
    <x v="0"/>
    <x v="0"/>
    <n v="8.1999999999999993"/>
    <n v="240"/>
    <n v="20"/>
    <n v="4.5999999999999996"/>
    <n v="4.5"/>
    <n v="27"/>
    <x v="0"/>
  </r>
  <r>
    <x v="28"/>
    <x v="5"/>
    <x v="6"/>
    <x v="2"/>
    <x v="1"/>
    <x v="2"/>
    <x v="1"/>
    <n v="19.600000000000001"/>
    <n v="610"/>
    <n v="60"/>
    <n v="4.8"/>
    <n v="4.8"/>
    <n v="47"/>
    <x v="0"/>
  </r>
  <r>
    <x v="29"/>
    <x v="5"/>
    <x v="5"/>
    <x v="3"/>
    <x v="0"/>
    <x v="0"/>
    <x v="0"/>
    <n v="4.2"/>
    <n v="95"/>
    <n v="5"/>
    <n v="4.5"/>
    <n v="4.4000000000000004"/>
    <n v="17"/>
    <x v="0"/>
  </r>
  <r>
    <x v="30"/>
    <x v="5"/>
    <x v="0"/>
    <x v="1"/>
    <x v="1"/>
    <x v="0"/>
    <x v="1"/>
    <n v="25.8"/>
    <n v="795"/>
    <n v="85"/>
    <n v="4.9000000000000004"/>
    <n v="4.8"/>
    <n v="59"/>
    <x v="0"/>
  </r>
  <r>
    <x v="31"/>
    <x v="5"/>
    <x v="1"/>
    <x v="0"/>
    <x v="0"/>
    <x v="1"/>
    <x v="0"/>
    <n v="9.1"/>
    <n v="270"/>
    <n v="30"/>
    <n v="4.5999999999999996"/>
    <n v="4.5"/>
    <n v="30"/>
    <x v="0"/>
  </r>
  <r>
    <x v="32"/>
    <x v="5"/>
    <x v="2"/>
    <x v="0"/>
    <x v="0"/>
    <x v="0"/>
    <x v="2"/>
    <n v="6.7"/>
    <n v="195"/>
    <n v="0"/>
    <n v="4.4000000000000004"/>
    <n v="4.3"/>
    <n v="23"/>
    <x v="0"/>
  </r>
  <r>
    <x v="33"/>
    <x v="6"/>
    <x v="3"/>
    <x v="2"/>
    <x v="0"/>
    <x v="2"/>
    <x v="1"/>
    <n v="12.8"/>
    <n v="490"/>
    <n v="40"/>
    <n v="4.9000000000000004"/>
    <n v="4.9000000000000004"/>
    <n v="39"/>
    <x v="0"/>
  </r>
  <r>
    <x v="34"/>
    <x v="6"/>
    <x v="4"/>
    <x v="0"/>
    <x v="0"/>
    <x v="0"/>
    <x v="0"/>
    <n v="7.5"/>
    <n v="220"/>
    <n v="15"/>
    <n v="4.7"/>
    <n v="4.5999999999999996"/>
    <n v="25"/>
    <x v="0"/>
  </r>
  <r>
    <x v="35"/>
    <x v="6"/>
    <x v="5"/>
    <x v="1"/>
    <x v="1"/>
    <x v="0"/>
    <x v="1"/>
    <n v="23.6"/>
    <n v="705"/>
    <n v="70"/>
    <n v="4.8"/>
    <n v="4.7"/>
    <n v="54"/>
    <x v="0"/>
  </r>
  <r>
    <x v="36"/>
    <x v="6"/>
    <x v="0"/>
    <x v="0"/>
    <x v="0"/>
    <x v="1"/>
    <x v="0"/>
    <n v="5.3"/>
    <n v="155"/>
    <n v="20"/>
    <n v="4.5"/>
    <n v="4.4000000000000004"/>
    <n v="19"/>
    <x v="0"/>
  </r>
  <r>
    <x v="37"/>
    <x v="6"/>
    <x v="1"/>
    <x v="3"/>
    <x v="0"/>
    <x v="0"/>
    <x v="2"/>
    <n v="4.7"/>
    <n v="110"/>
    <n v="0"/>
    <n v="4.4000000000000004"/>
    <n v="4.2"/>
    <n v="18"/>
    <x v="1"/>
  </r>
  <r>
    <x v="38"/>
    <x v="6"/>
    <x v="2"/>
    <x v="0"/>
    <x v="0"/>
    <x v="2"/>
    <x v="1"/>
    <n v="10.9"/>
    <n v="330"/>
    <n v="25"/>
    <n v="4.8"/>
    <n v="4.7"/>
    <n v="35"/>
    <x v="0"/>
  </r>
  <r>
    <x v="39"/>
    <x v="6"/>
    <x v="6"/>
    <x v="0"/>
    <x v="1"/>
    <x v="0"/>
    <x v="0"/>
    <n v="16.8"/>
    <n v="495"/>
    <n v="50"/>
    <n v="4.7"/>
    <n v="4.5999999999999996"/>
    <n v="40"/>
    <x v="0"/>
  </r>
  <r>
    <x v="40"/>
    <x v="7"/>
    <x v="3"/>
    <x v="3"/>
    <x v="0"/>
    <x v="1"/>
    <x v="0"/>
    <n v="3.9"/>
    <n v="92"/>
    <n v="5"/>
    <n v="4.5"/>
    <n v="4.3"/>
    <n v="15"/>
    <x v="0"/>
  </r>
  <r>
    <x v="41"/>
    <x v="7"/>
    <x v="4"/>
    <x v="2"/>
    <x v="0"/>
    <x v="2"/>
    <x v="1"/>
    <n v="15.2"/>
    <n v="575"/>
    <n v="50"/>
    <n v="4.9000000000000004"/>
    <n v="4.8"/>
    <n v="45"/>
    <x v="0"/>
  </r>
  <r>
    <x v="42"/>
    <x v="7"/>
    <x v="5"/>
    <x v="0"/>
    <x v="0"/>
    <x v="0"/>
    <x v="2"/>
    <n v="8.8000000000000007"/>
    <n v="255"/>
    <n v="0"/>
    <n v="4.5999999999999996"/>
    <n v="4.5"/>
    <n v="28"/>
    <x v="0"/>
  </r>
  <r>
    <x v="43"/>
    <x v="7"/>
    <x v="0"/>
    <x v="0"/>
    <x v="0"/>
    <x v="0"/>
    <x v="0"/>
    <n v="10.1"/>
    <n v="300"/>
    <n v="25"/>
    <n v="4.8"/>
    <n v="4.7"/>
    <n v="33"/>
    <x v="0"/>
  </r>
  <r>
    <x v="44"/>
    <x v="7"/>
    <x v="1"/>
    <x v="1"/>
    <x v="1"/>
    <x v="2"/>
    <x v="1"/>
    <n v="27.4"/>
    <n v="850"/>
    <n v="100"/>
    <n v="4.9000000000000004"/>
    <n v="4.9000000000000004"/>
    <n v="64"/>
    <x v="0"/>
  </r>
  <r>
    <x v="45"/>
    <x v="7"/>
    <x v="2"/>
    <x v="3"/>
    <x v="0"/>
    <x v="1"/>
    <x v="2"/>
    <n v="4.0999999999999996"/>
    <n v="95"/>
    <n v="0"/>
    <n v="4.2"/>
    <n v="4"/>
    <n v="17"/>
    <x v="0"/>
  </r>
  <r>
    <x v="46"/>
    <x v="8"/>
    <x v="3"/>
    <x v="0"/>
    <x v="0"/>
    <x v="0"/>
    <x v="0"/>
    <n v="7.9"/>
    <n v="230"/>
    <n v="20"/>
    <n v="4.7"/>
    <n v="4.5999999999999996"/>
    <n v="26"/>
    <x v="0"/>
  </r>
  <r>
    <x v="47"/>
    <x v="8"/>
    <x v="4"/>
    <x v="1"/>
    <x v="1"/>
    <x v="0"/>
    <x v="1"/>
    <n v="20.5"/>
    <n v="625"/>
    <n v="65"/>
    <n v="4.8"/>
    <n v="4.7"/>
    <n v="49"/>
    <x v="0"/>
  </r>
  <r>
    <x v="48"/>
    <x v="8"/>
    <x v="6"/>
    <x v="3"/>
    <x v="0"/>
    <x v="1"/>
    <x v="0"/>
    <n v="4.8"/>
    <n v="105"/>
    <n v="10"/>
    <n v="4.5999999999999996"/>
    <n v="4.4000000000000004"/>
    <n v="18"/>
    <x v="0"/>
  </r>
  <r>
    <x v="49"/>
    <x v="8"/>
    <x v="5"/>
    <x v="0"/>
    <x v="0"/>
    <x v="0"/>
    <x v="0"/>
    <n v="9.6"/>
    <n v="285"/>
    <n v="25"/>
    <n v="4.7"/>
    <n v="4.5999999999999996"/>
    <n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C3162-C18C-43C3-9695-AC6B4049A50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1:AN4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547B7-E33A-4817-9C73-FD266A817E9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1:AJ6" firstHeaderRow="1" firstDataRow="1" firstDataCol="1"/>
  <pivotFields count="14">
    <pivotField showAll="0"/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1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89201-F2CA-4E3B-8129-5D57566B889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V1:W11" firstHeaderRow="1" firstDataRow="1" firstDataCol="1"/>
  <pivotFields count="14">
    <pivotField showAll="0"/>
    <pivotField axis="axisRow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are_INR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E479D-9BB1-429E-86F3-B11D48158CB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B1:AC4" firstHeaderRow="1" firstDataRow="1" firstDataCol="1"/>
  <pivotFields count="14">
    <pivotField showAll="0"/>
    <pivotField numFmtId="15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Fare_INR" fld="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6C92B-7DE8-4B8A-8EE6-1F2736CE34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S1:T6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ide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FC02E-0EEA-4050-AD4F-C9E0545D33E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F1:AG5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B2E51-3ACA-4E87-8216-F0CF608343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Y1:Z5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05810-C653-43AC-B7A1-4970451B8B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P1:Q9" firstHeaderRow="1" firstDataRow="1" firstDataCol="1"/>
  <pivotFields count="14">
    <pivotField showAll="0"/>
    <pivotField numFmtId="15" showAll="0"/>
    <pivotField axis="axisRow" showAll="0">
      <items count="8">
        <item x="0"/>
        <item x="4"/>
        <item x="2"/>
        <item x="3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are_INR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8EEC0-4362-47C3-B114-05D6BF9AA175}" name="Table1" displayName="Table1" ref="A1:N51" totalsRowShown="0" headerRowDxfId="15" dataDxfId="14">
  <autoFilter ref="A1:N51" xr:uid="{8698EEC0-4362-47C3-B114-05D6BF9AA175}"/>
  <tableColumns count="14">
    <tableColumn id="1" xr3:uid="{59663424-BC58-4B66-9D40-3505E4F3FE67}" name="Ride_ID" dataDxfId="13"/>
    <tableColumn id="2" xr3:uid="{B4B9C65F-08FA-4624-BBC5-A718347B2C5A}" name="Date" dataDxfId="12"/>
    <tableColumn id="3" xr3:uid="{50A2BEB2-12B0-47FC-ACCF-8ED0642952CE}" name="City" dataDxfId="11"/>
    <tableColumn id="4" xr3:uid="{C03F9B05-6877-4136-BA45-3DAC3318103B}" name="Vehicle_Type" dataDxfId="10"/>
    <tableColumn id="5" xr3:uid="{222676AF-4A59-4E1B-AEE5-A2A4FE2AB7E5}" name="Trip_Type" dataDxfId="9"/>
    <tableColumn id="6" xr3:uid="{D8DFA88D-C576-49B8-ACCC-22E05785BFE1}" name="Customer_Type" dataDxfId="8"/>
    <tableColumn id="7" xr3:uid="{8DD48B62-9A50-4507-858D-60D061F0C0CF}" name="Payment_Mode" dataDxfId="7"/>
    <tableColumn id="8" xr3:uid="{4A6786BF-C8D3-4872-9AD6-837D78C74271}" name="Distance_KM" dataDxfId="6"/>
    <tableColumn id="9" xr3:uid="{0BC32972-157F-40EE-AC84-A587CD1DCC6D}" name="Fare_INR" dataDxfId="5"/>
    <tableColumn id="10" xr3:uid="{5E390C17-F82D-435E-82D0-F0D3FC568B14}" name="Discount_INR" dataDxfId="4"/>
    <tableColumn id="11" xr3:uid="{D6802F89-6D86-42B0-965D-8139B31883E7}" name="Driver_Rating" dataDxfId="3"/>
    <tableColumn id="12" xr3:uid="{8A9B65BC-DC58-4B84-90D2-787DF2C753BE}" name="Customer_Rating" dataDxfId="2"/>
    <tableColumn id="13" xr3:uid="{17F122F5-B951-4A48-BF29-835E9F34F59C}" name="Trip_Duration_Min" dataDxfId="1"/>
    <tableColumn id="14" xr3:uid="{D9652C0E-0735-465B-A84F-D858C16B5FD7}" name="Status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0D08A1-D7BC-4135-8534-4B0D682D56F9}" name="Table3" displayName="Table3" ref="D1:E6" totalsRowShown="0">
  <autoFilter ref="D1:E6" xr:uid="{EB0D08A1-D7BC-4135-8534-4B0D682D56F9}"/>
  <tableColumns count="2">
    <tableColumn id="1" xr3:uid="{771BDC22-9242-420F-A634-6259ECEFB2ED}" name="KPI"/>
    <tableColumn id="2" xr3:uid="{725EC302-F332-4012-B2E0-BB7119AF6A0D}" name="Calcula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497-0E56-43AE-8C5B-AD63BA2131E1}">
  <dimension ref="A1:AN51"/>
  <sheetViews>
    <sheetView topLeftCell="AI1" zoomScale="76" workbookViewId="0">
      <selection activeCell="BB14" sqref="BB14"/>
    </sheetView>
  </sheetViews>
  <sheetFormatPr defaultRowHeight="14.4" x14ac:dyDescent="0.3"/>
  <cols>
    <col min="1" max="1" width="9.21875" customWidth="1"/>
    <col min="2" max="2" width="12.33203125" customWidth="1"/>
    <col min="4" max="4" width="13.77734375" customWidth="1"/>
    <col min="5" max="5" width="10.77734375" customWidth="1"/>
    <col min="6" max="6" width="15.6640625" customWidth="1"/>
    <col min="7" max="7" width="15.5546875" customWidth="1"/>
    <col min="8" max="8" width="13.5546875" customWidth="1"/>
    <col min="9" max="9" width="10.33203125" customWidth="1"/>
    <col min="10" max="10" width="14" customWidth="1"/>
    <col min="11" max="11" width="13.88671875" customWidth="1"/>
    <col min="12" max="12" width="17" customWidth="1"/>
    <col min="13" max="13" width="20" customWidth="1"/>
    <col min="14" max="14" width="12" customWidth="1"/>
    <col min="16" max="16" width="12.44140625" bestFit="1" customWidth="1"/>
    <col min="17" max="17" width="14.5546875" bestFit="1" customWidth="1"/>
    <col min="19" max="19" width="13.109375" bestFit="1" customWidth="1"/>
    <col min="20" max="20" width="15.33203125" bestFit="1" customWidth="1"/>
    <col min="22" max="22" width="13.109375" bestFit="1" customWidth="1"/>
    <col min="23" max="23" width="14.88671875" bestFit="1" customWidth="1"/>
    <col min="25" max="25" width="13.109375" bestFit="1" customWidth="1"/>
    <col min="26" max="26" width="15.33203125" bestFit="1" customWidth="1"/>
    <col min="28" max="28" width="13.109375" bestFit="1" customWidth="1"/>
    <col min="29" max="29" width="14.88671875" bestFit="1" customWidth="1"/>
    <col min="32" max="32" width="13.109375" bestFit="1" customWidth="1"/>
    <col min="33" max="33" width="15.33203125" bestFit="1" customWidth="1"/>
    <col min="34" max="34" width="14.88671875" bestFit="1" customWidth="1"/>
    <col min="35" max="35" width="13.109375" bestFit="1" customWidth="1"/>
    <col min="36" max="36" width="22.21875" bestFit="1" customWidth="1"/>
    <col min="39" max="39" width="13.109375" bestFit="1" customWidth="1"/>
    <col min="40" max="40" width="15.33203125" bestFit="1" customWidth="1"/>
  </cols>
  <sheetData>
    <row r="1" spans="1:4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P1" s="11" t="s">
        <v>119</v>
      </c>
      <c r="Q1" t="s">
        <v>91</v>
      </c>
      <c r="S1" s="11" t="s">
        <v>119</v>
      </c>
      <c r="T1" t="s">
        <v>87</v>
      </c>
      <c r="V1" s="11" t="s">
        <v>119</v>
      </c>
      <c r="W1" t="s">
        <v>91</v>
      </c>
      <c r="Y1" s="11" t="s">
        <v>119</v>
      </c>
      <c r="Z1" t="s">
        <v>87</v>
      </c>
      <c r="AB1" s="11" t="s">
        <v>119</v>
      </c>
      <c r="AC1" t="s">
        <v>91</v>
      </c>
      <c r="AF1" s="11" t="s">
        <v>119</v>
      </c>
      <c r="AG1" t="s">
        <v>87</v>
      </c>
      <c r="AI1" s="11" t="s">
        <v>119</v>
      </c>
      <c r="AJ1" t="s">
        <v>121</v>
      </c>
      <c r="AM1" s="11" t="s">
        <v>119</v>
      </c>
      <c r="AN1" t="s">
        <v>87</v>
      </c>
    </row>
    <row r="2" spans="1:40" ht="28.8" x14ac:dyDescent="0.3">
      <c r="A2" s="4" t="s">
        <v>14</v>
      </c>
      <c r="B2" s="5">
        <v>46235</v>
      </c>
      <c r="C2" s="4" t="s">
        <v>15</v>
      </c>
      <c r="D2" s="4" t="s">
        <v>16</v>
      </c>
      <c r="E2" s="4" t="s">
        <v>2</v>
      </c>
      <c r="F2" s="4" t="s">
        <v>17</v>
      </c>
      <c r="G2" s="4" t="s">
        <v>18</v>
      </c>
      <c r="H2" s="2">
        <v>8.5</v>
      </c>
      <c r="I2" s="2">
        <v>245</v>
      </c>
      <c r="J2" s="2">
        <v>20</v>
      </c>
      <c r="K2" s="2">
        <v>4.8</v>
      </c>
      <c r="L2" s="2">
        <v>4.7</v>
      </c>
      <c r="M2" s="2">
        <v>28</v>
      </c>
      <c r="N2" s="4" t="s">
        <v>19</v>
      </c>
      <c r="P2" s="12" t="s">
        <v>15</v>
      </c>
      <c r="Q2">
        <v>2425</v>
      </c>
      <c r="S2" s="12" t="s">
        <v>38</v>
      </c>
      <c r="T2">
        <v>9</v>
      </c>
      <c r="V2" s="13">
        <v>46235</v>
      </c>
      <c r="W2">
        <v>1950</v>
      </c>
      <c r="Y2" s="12" t="s">
        <v>23</v>
      </c>
      <c r="Z2">
        <v>17</v>
      </c>
      <c r="AB2" s="12" t="s">
        <v>27</v>
      </c>
      <c r="AC2">
        <v>8400</v>
      </c>
      <c r="AF2" s="12" t="s">
        <v>22</v>
      </c>
      <c r="AG2">
        <v>13</v>
      </c>
      <c r="AI2" s="12" t="s">
        <v>38</v>
      </c>
      <c r="AJ2">
        <v>38.5</v>
      </c>
      <c r="AM2" s="12" t="s">
        <v>50</v>
      </c>
      <c r="AN2">
        <v>3</v>
      </c>
    </row>
    <row r="3" spans="1:40" ht="28.8" x14ac:dyDescent="0.3">
      <c r="A3" s="4" t="s">
        <v>20</v>
      </c>
      <c r="B3" s="5">
        <v>46235</v>
      </c>
      <c r="C3" s="4" t="s">
        <v>21</v>
      </c>
      <c r="D3" s="4" t="s">
        <v>16</v>
      </c>
      <c r="E3" s="4" t="s">
        <v>2</v>
      </c>
      <c r="F3" s="4" t="s">
        <v>22</v>
      </c>
      <c r="G3" s="4" t="s">
        <v>23</v>
      </c>
      <c r="H3" s="2">
        <v>12.2</v>
      </c>
      <c r="I3" s="2">
        <v>385</v>
      </c>
      <c r="J3" s="2">
        <v>50</v>
      </c>
      <c r="K3" s="2">
        <v>4.5999999999999996</v>
      </c>
      <c r="L3" s="2">
        <v>4.5</v>
      </c>
      <c r="M3" s="2">
        <v>41</v>
      </c>
      <c r="N3" s="4" t="s">
        <v>19</v>
      </c>
      <c r="P3" s="12" t="s">
        <v>32</v>
      </c>
      <c r="Q3">
        <v>2980</v>
      </c>
      <c r="S3" s="12" t="s">
        <v>33</v>
      </c>
      <c r="T3">
        <v>8</v>
      </c>
      <c r="V3" s="13">
        <v>46236</v>
      </c>
      <c r="W3">
        <v>2040</v>
      </c>
      <c r="Y3" s="12" t="s">
        <v>30</v>
      </c>
      <c r="Z3">
        <v>10</v>
      </c>
      <c r="AB3" s="12" t="s">
        <v>2</v>
      </c>
      <c r="AC3">
        <v>9642</v>
      </c>
      <c r="AF3" s="12" t="s">
        <v>34</v>
      </c>
      <c r="AG3">
        <v>11</v>
      </c>
      <c r="AI3" s="12" t="s">
        <v>33</v>
      </c>
      <c r="AJ3">
        <v>38.799999999999997</v>
      </c>
      <c r="AM3" s="12" t="s">
        <v>19</v>
      </c>
      <c r="AN3">
        <v>47</v>
      </c>
    </row>
    <row r="4" spans="1:40" ht="28.8" x14ac:dyDescent="0.3">
      <c r="A4" s="4" t="s">
        <v>24</v>
      </c>
      <c r="B4" s="5">
        <v>46235</v>
      </c>
      <c r="C4" s="4" t="s">
        <v>25</v>
      </c>
      <c r="D4" s="4" t="s">
        <v>26</v>
      </c>
      <c r="E4" s="4" t="s">
        <v>27</v>
      </c>
      <c r="F4" s="4" t="s">
        <v>17</v>
      </c>
      <c r="G4" s="4" t="s">
        <v>18</v>
      </c>
      <c r="H4" s="2">
        <v>24.5</v>
      </c>
      <c r="I4" s="2">
        <v>720</v>
      </c>
      <c r="J4" s="2">
        <v>80</v>
      </c>
      <c r="K4" s="2">
        <v>4.9000000000000004</v>
      </c>
      <c r="L4" s="2">
        <v>4.8</v>
      </c>
      <c r="M4" s="2">
        <v>55</v>
      </c>
      <c r="N4" s="4" t="s">
        <v>19</v>
      </c>
      <c r="P4" s="12" t="s">
        <v>25</v>
      </c>
      <c r="Q4">
        <v>2895</v>
      </c>
      <c r="S4" s="12" t="s">
        <v>16</v>
      </c>
      <c r="T4">
        <v>25</v>
      </c>
      <c r="V4" s="13">
        <v>46237</v>
      </c>
      <c r="W4">
        <v>2215</v>
      </c>
      <c r="Y4" s="12" t="s">
        <v>18</v>
      </c>
      <c r="Z4">
        <v>23</v>
      </c>
      <c r="AB4" s="12" t="s">
        <v>120</v>
      </c>
      <c r="AC4">
        <v>18042</v>
      </c>
      <c r="AF4" s="12" t="s">
        <v>17</v>
      </c>
      <c r="AG4">
        <v>26</v>
      </c>
      <c r="AI4" s="12" t="s">
        <v>16</v>
      </c>
      <c r="AJ4">
        <v>112.89999999999999</v>
      </c>
      <c r="AM4" s="12" t="s">
        <v>120</v>
      </c>
      <c r="AN4">
        <v>50</v>
      </c>
    </row>
    <row r="5" spans="1:40" ht="28.8" x14ac:dyDescent="0.3">
      <c r="A5" s="4" t="s">
        <v>28</v>
      </c>
      <c r="B5" s="5">
        <v>46235</v>
      </c>
      <c r="C5" s="4" t="s">
        <v>29</v>
      </c>
      <c r="D5" s="4" t="s">
        <v>16</v>
      </c>
      <c r="E5" s="4" t="s">
        <v>2</v>
      </c>
      <c r="F5" s="4" t="s">
        <v>17</v>
      </c>
      <c r="G5" s="4" t="s">
        <v>30</v>
      </c>
      <c r="H5" s="2">
        <v>6.8</v>
      </c>
      <c r="I5" s="2">
        <v>190</v>
      </c>
      <c r="J5" s="2">
        <v>0</v>
      </c>
      <c r="K5" s="2">
        <v>4.5</v>
      </c>
      <c r="L5" s="2">
        <v>4.5999999999999996</v>
      </c>
      <c r="M5" s="2">
        <v>22</v>
      </c>
      <c r="N5" s="4" t="s">
        <v>19</v>
      </c>
      <c r="P5" s="12" t="s">
        <v>29</v>
      </c>
      <c r="Q5">
        <v>2122</v>
      </c>
      <c r="S5" s="12" t="s">
        <v>26</v>
      </c>
      <c r="T5">
        <v>8</v>
      </c>
      <c r="V5" s="13">
        <v>46238</v>
      </c>
      <c r="W5">
        <v>2385</v>
      </c>
      <c r="Y5" s="12" t="s">
        <v>120</v>
      </c>
      <c r="Z5">
        <v>50</v>
      </c>
      <c r="AF5" s="12" t="s">
        <v>120</v>
      </c>
      <c r="AG5">
        <v>50</v>
      </c>
      <c r="AI5" s="12" t="s">
        <v>26</v>
      </c>
      <c r="AJ5">
        <v>38</v>
      </c>
    </row>
    <row r="6" spans="1:40" ht="28.8" x14ac:dyDescent="0.3">
      <c r="A6" s="4" t="s">
        <v>31</v>
      </c>
      <c r="B6" s="5">
        <v>46235</v>
      </c>
      <c r="C6" s="4" t="s">
        <v>32</v>
      </c>
      <c r="D6" s="4" t="s">
        <v>33</v>
      </c>
      <c r="E6" s="4" t="s">
        <v>2</v>
      </c>
      <c r="F6" s="4" t="s">
        <v>34</v>
      </c>
      <c r="G6" s="4" t="s">
        <v>23</v>
      </c>
      <c r="H6" s="2">
        <v>10.4</v>
      </c>
      <c r="I6" s="2">
        <v>410</v>
      </c>
      <c r="J6" s="2">
        <v>30</v>
      </c>
      <c r="K6" s="2">
        <v>4.9000000000000004</v>
      </c>
      <c r="L6" s="2">
        <v>4.9000000000000004</v>
      </c>
      <c r="M6" s="2">
        <v>35</v>
      </c>
      <c r="N6" s="4" t="s">
        <v>19</v>
      </c>
      <c r="P6" s="12" t="s">
        <v>42</v>
      </c>
      <c r="Q6">
        <v>1865</v>
      </c>
      <c r="S6" s="12" t="s">
        <v>120</v>
      </c>
      <c r="T6">
        <v>50</v>
      </c>
      <c r="V6" s="13">
        <v>46239</v>
      </c>
      <c r="W6">
        <v>1570</v>
      </c>
      <c r="AI6" s="12" t="s">
        <v>120</v>
      </c>
      <c r="AJ6">
        <v>228.2</v>
      </c>
    </row>
    <row r="7" spans="1:40" ht="28.8" x14ac:dyDescent="0.3">
      <c r="A7" s="4" t="s">
        <v>35</v>
      </c>
      <c r="B7" s="5">
        <v>46236</v>
      </c>
      <c r="C7" s="4" t="s">
        <v>36</v>
      </c>
      <c r="D7" s="4" t="s">
        <v>16</v>
      </c>
      <c r="E7" s="4" t="s">
        <v>2</v>
      </c>
      <c r="F7" s="4" t="s">
        <v>22</v>
      </c>
      <c r="G7" s="4" t="s">
        <v>18</v>
      </c>
      <c r="H7" s="2">
        <v>7.2</v>
      </c>
      <c r="I7" s="2">
        <v>215</v>
      </c>
      <c r="J7" s="2">
        <v>25</v>
      </c>
      <c r="K7" s="2">
        <v>4.7</v>
      </c>
      <c r="L7" s="2">
        <v>4.4000000000000004</v>
      </c>
      <c r="M7" s="2">
        <v>25</v>
      </c>
      <c r="N7" s="4" t="s">
        <v>19</v>
      </c>
      <c r="P7" s="12" t="s">
        <v>21</v>
      </c>
      <c r="Q7">
        <v>3525</v>
      </c>
      <c r="V7" s="13">
        <v>46240</v>
      </c>
      <c r="W7">
        <v>1965</v>
      </c>
    </row>
    <row r="8" spans="1:40" ht="28.8" x14ac:dyDescent="0.3">
      <c r="A8" s="4" t="s">
        <v>37</v>
      </c>
      <c r="B8" s="5">
        <v>46236</v>
      </c>
      <c r="C8" s="4" t="s">
        <v>15</v>
      </c>
      <c r="D8" s="4" t="s">
        <v>38</v>
      </c>
      <c r="E8" s="4" t="s">
        <v>2</v>
      </c>
      <c r="F8" s="4" t="s">
        <v>17</v>
      </c>
      <c r="G8" s="4" t="s">
        <v>18</v>
      </c>
      <c r="H8" s="2">
        <v>4.5</v>
      </c>
      <c r="I8" s="2">
        <v>105</v>
      </c>
      <c r="J8" s="2">
        <v>10</v>
      </c>
      <c r="K8" s="2">
        <v>4.5999999999999996</v>
      </c>
      <c r="L8" s="2">
        <v>4.5</v>
      </c>
      <c r="M8" s="2">
        <v>18</v>
      </c>
      <c r="N8" s="4" t="s">
        <v>19</v>
      </c>
      <c r="P8" s="12" t="s">
        <v>36</v>
      </c>
      <c r="Q8">
        <v>2230</v>
      </c>
      <c r="V8" s="13">
        <v>46241</v>
      </c>
      <c r="W8">
        <v>2505</v>
      </c>
    </row>
    <row r="9" spans="1:40" ht="28.8" x14ac:dyDescent="0.3">
      <c r="A9" s="4" t="s">
        <v>39</v>
      </c>
      <c r="B9" s="5">
        <v>46236</v>
      </c>
      <c r="C9" s="4" t="s">
        <v>21</v>
      </c>
      <c r="D9" s="4" t="s">
        <v>26</v>
      </c>
      <c r="E9" s="4" t="s">
        <v>27</v>
      </c>
      <c r="F9" s="4" t="s">
        <v>34</v>
      </c>
      <c r="G9" s="4" t="s">
        <v>23</v>
      </c>
      <c r="H9" s="2">
        <v>28.7</v>
      </c>
      <c r="I9" s="2">
        <v>890</v>
      </c>
      <c r="J9" s="2">
        <v>100</v>
      </c>
      <c r="K9" s="2">
        <v>4.8</v>
      </c>
      <c r="L9" s="2">
        <v>4.9000000000000004</v>
      </c>
      <c r="M9" s="2">
        <v>67</v>
      </c>
      <c r="N9" s="4" t="s">
        <v>19</v>
      </c>
      <c r="P9" s="12" t="s">
        <v>120</v>
      </c>
      <c r="Q9">
        <v>18042</v>
      </c>
      <c r="V9" s="13">
        <v>46242</v>
      </c>
      <c r="W9">
        <v>2167</v>
      </c>
    </row>
    <row r="10" spans="1:40" ht="28.8" x14ac:dyDescent="0.3">
      <c r="A10" s="4" t="s">
        <v>40</v>
      </c>
      <c r="B10" s="5">
        <v>46236</v>
      </c>
      <c r="C10" s="4" t="s">
        <v>25</v>
      </c>
      <c r="D10" s="4" t="s">
        <v>16</v>
      </c>
      <c r="E10" s="4" t="s">
        <v>2</v>
      </c>
      <c r="F10" s="4" t="s">
        <v>17</v>
      </c>
      <c r="G10" s="4" t="s">
        <v>30</v>
      </c>
      <c r="H10" s="2">
        <v>9.8000000000000007</v>
      </c>
      <c r="I10" s="2">
        <v>290</v>
      </c>
      <c r="J10" s="2">
        <v>0</v>
      </c>
      <c r="K10" s="2">
        <v>4.4000000000000004</v>
      </c>
      <c r="L10" s="2">
        <v>4.2</v>
      </c>
      <c r="M10" s="2">
        <v>31</v>
      </c>
      <c r="N10" s="4" t="s">
        <v>19</v>
      </c>
      <c r="V10" s="13">
        <v>46243</v>
      </c>
      <c r="W10">
        <v>1245</v>
      </c>
    </row>
    <row r="11" spans="1:40" ht="28.8" x14ac:dyDescent="0.3">
      <c r="A11" s="4" t="s">
        <v>41</v>
      </c>
      <c r="B11" s="5">
        <v>46236</v>
      </c>
      <c r="C11" s="4" t="s">
        <v>42</v>
      </c>
      <c r="D11" s="4" t="s">
        <v>16</v>
      </c>
      <c r="E11" s="4" t="s">
        <v>27</v>
      </c>
      <c r="F11" s="4" t="s">
        <v>22</v>
      </c>
      <c r="G11" s="4" t="s">
        <v>18</v>
      </c>
      <c r="H11" s="2">
        <v>18.5</v>
      </c>
      <c r="I11" s="2">
        <v>540</v>
      </c>
      <c r="J11" s="2">
        <v>60</v>
      </c>
      <c r="K11" s="2">
        <v>4.7</v>
      </c>
      <c r="L11" s="2">
        <v>4.5999999999999996</v>
      </c>
      <c r="M11" s="2">
        <v>44</v>
      </c>
      <c r="N11" s="4" t="s">
        <v>19</v>
      </c>
      <c r="V11" s="13" t="s">
        <v>120</v>
      </c>
      <c r="W11">
        <v>18042</v>
      </c>
    </row>
    <row r="12" spans="1:40" ht="28.8" x14ac:dyDescent="0.3">
      <c r="A12" s="4" t="s">
        <v>43</v>
      </c>
      <c r="B12" s="5">
        <v>46237</v>
      </c>
      <c r="C12" s="4" t="s">
        <v>15</v>
      </c>
      <c r="D12" s="4" t="s">
        <v>33</v>
      </c>
      <c r="E12" s="4" t="s">
        <v>2</v>
      </c>
      <c r="F12" s="4" t="s">
        <v>34</v>
      </c>
      <c r="G12" s="4" t="s">
        <v>23</v>
      </c>
      <c r="H12" s="2">
        <v>14.2</v>
      </c>
      <c r="I12" s="2">
        <v>560</v>
      </c>
      <c r="J12" s="2">
        <v>40</v>
      </c>
      <c r="K12" s="2">
        <v>4.9000000000000004</v>
      </c>
      <c r="L12" s="2">
        <v>4.8</v>
      </c>
      <c r="M12" s="2">
        <v>43</v>
      </c>
      <c r="N12" s="4" t="s">
        <v>19</v>
      </c>
    </row>
    <row r="13" spans="1:40" ht="28.8" x14ac:dyDescent="0.3">
      <c r="A13" s="4" t="s">
        <v>44</v>
      </c>
      <c r="B13" s="5">
        <v>46237</v>
      </c>
      <c r="C13" s="4" t="s">
        <v>21</v>
      </c>
      <c r="D13" s="4" t="s">
        <v>16</v>
      </c>
      <c r="E13" s="4" t="s">
        <v>2</v>
      </c>
      <c r="F13" s="4" t="s">
        <v>17</v>
      </c>
      <c r="G13" s="4" t="s">
        <v>18</v>
      </c>
      <c r="H13" s="2">
        <v>5.7</v>
      </c>
      <c r="I13" s="2">
        <v>175</v>
      </c>
      <c r="J13" s="2">
        <v>15</v>
      </c>
      <c r="K13" s="2">
        <v>4.5999999999999996</v>
      </c>
      <c r="L13" s="2">
        <v>4.7</v>
      </c>
      <c r="M13" s="2">
        <v>20</v>
      </c>
      <c r="N13" s="4" t="s">
        <v>19</v>
      </c>
    </row>
    <row r="14" spans="1:40" ht="28.8" x14ac:dyDescent="0.3">
      <c r="A14" s="4" t="s">
        <v>45</v>
      </c>
      <c r="B14" s="5">
        <v>46237</v>
      </c>
      <c r="C14" s="4" t="s">
        <v>25</v>
      </c>
      <c r="D14" s="4" t="s">
        <v>38</v>
      </c>
      <c r="E14" s="4" t="s">
        <v>2</v>
      </c>
      <c r="F14" s="4" t="s">
        <v>22</v>
      </c>
      <c r="G14" s="4" t="s">
        <v>30</v>
      </c>
      <c r="H14" s="2">
        <v>3.8</v>
      </c>
      <c r="I14" s="2">
        <v>90</v>
      </c>
      <c r="J14" s="2">
        <v>0</v>
      </c>
      <c r="K14" s="2">
        <v>4.3</v>
      </c>
      <c r="L14" s="2">
        <v>4.0999999999999996</v>
      </c>
      <c r="M14" s="2">
        <v>16</v>
      </c>
      <c r="N14" s="4" t="s">
        <v>19</v>
      </c>
    </row>
    <row r="15" spans="1:40" ht="28.8" x14ac:dyDescent="0.3">
      <c r="A15" s="4" t="s">
        <v>46</v>
      </c>
      <c r="B15" s="5">
        <v>46237</v>
      </c>
      <c r="C15" s="4" t="s">
        <v>29</v>
      </c>
      <c r="D15" s="4" t="s">
        <v>26</v>
      </c>
      <c r="E15" s="4" t="s">
        <v>27</v>
      </c>
      <c r="F15" s="4" t="s">
        <v>17</v>
      </c>
      <c r="G15" s="4" t="s">
        <v>23</v>
      </c>
      <c r="H15" s="2">
        <v>22.4</v>
      </c>
      <c r="I15" s="2">
        <v>680</v>
      </c>
      <c r="J15" s="2">
        <v>70</v>
      </c>
      <c r="K15" s="2">
        <v>4.8</v>
      </c>
      <c r="L15" s="2">
        <v>4.7</v>
      </c>
      <c r="M15" s="2">
        <v>52</v>
      </c>
      <c r="N15" s="4" t="s">
        <v>19</v>
      </c>
    </row>
    <row r="16" spans="1:40" ht="28.8" x14ac:dyDescent="0.3">
      <c r="A16" s="4" t="s">
        <v>47</v>
      </c>
      <c r="B16" s="5">
        <v>46237</v>
      </c>
      <c r="C16" s="4" t="s">
        <v>32</v>
      </c>
      <c r="D16" s="4" t="s">
        <v>16</v>
      </c>
      <c r="E16" s="4" t="s">
        <v>2</v>
      </c>
      <c r="F16" s="4" t="s">
        <v>17</v>
      </c>
      <c r="G16" s="4" t="s">
        <v>18</v>
      </c>
      <c r="H16" s="2">
        <v>8.9</v>
      </c>
      <c r="I16" s="2">
        <v>260</v>
      </c>
      <c r="J16" s="2">
        <v>20</v>
      </c>
      <c r="K16" s="2">
        <v>4.7</v>
      </c>
      <c r="L16" s="2">
        <v>4.5999999999999996</v>
      </c>
      <c r="M16" s="2">
        <v>29</v>
      </c>
      <c r="N16" s="4" t="s">
        <v>19</v>
      </c>
    </row>
    <row r="17" spans="1:14" ht="28.8" x14ac:dyDescent="0.3">
      <c r="A17" s="4" t="s">
        <v>48</v>
      </c>
      <c r="B17" s="5">
        <v>46237</v>
      </c>
      <c r="C17" s="4" t="s">
        <v>36</v>
      </c>
      <c r="D17" s="4" t="s">
        <v>33</v>
      </c>
      <c r="E17" s="4" t="s">
        <v>2</v>
      </c>
      <c r="F17" s="4" t="s">
        <v>34</v>
      </c>
      <c r="G17" s="4" t="s">
        <v>23</v>
      </c>
      <c r="H17" s="2">
        <v>11.5</v>
      </c>
      <c r="I17" s="2">
        <v>450</v>
      </c>
      <c r="J17" s="2">
        <v>35</v>
      </c>
      <c r="K17" s="2">
        <v>4.9000000000000004</v>
      </c>
      <c r="L17" s="2">
        <v>4.9000000000000004</v>
      </c>
      <c r="M17" s="2">
        <v>37</v>
      </c>
      <c r="N17" s="4" t="s">
        <v>19</v>
      </c>
    </row>
    <row r="18" spans="1:14" ht="28.8" x14ac:dyDescent="0.3">
      <c r="A18" s="4" t="s">
        <v>49</v>
      </c>
      <c r="B18" s="5">
        <v>46238</v>
      </c>
      <c r="C18" s="4" t="s">
        <v>15</v>
      </c>
      <c r="D18" s="4" t="s">
        <v>16</v>
      </c>
      <c r="E18" s="4" t="s">
        <v>2</v>
      </c>
      <c r="F18" s="4" t="s">
        <v>22</v>
      </c>
      <c r="G18" s="4" t="s">
        <v>18</v>
      </c>
      <c r="H18" s="2">
        <v>6.4</v>
      </c>
      <c r="I18" s="2">
        <v>185</v>
      </c>
      <c r="J18" s="2">
        <v>20</v>
      </c>
      <c r="K18" s="2">
        <v>4.5</v>
      </c>
      <c r="L18" s="2">
        <v>4.3</v>
      </c>
      <c r="M18" s="2">
        <v>23</v>
      </c>
      <c r="N18" s="4" t="s">
        <v>50</v>
      </c>
    </row>
    <row r="19" spans="1:14" ht="28.8" x14ac:dyDescent="0.3">
      <c r="A19" s="4" t="s">
        <v>51</v>
      </c>
      <c r="B19" s="5">
        <v>46238</v>
      </c>
      <c r="C19" s="4" t="s">
        <v>21</v>
      </c>
      <c r="D19" s="4" t="s">
        <v>16</v>
      </c>
      <c r="E19" s="4" t="s">
        <v>2</v>
      </c>
      <c r="F19" s="4" t="s">
        <v>17</v>
      </c>
      <c r="G19" s="4" t="s">
        <v>30</v>
      </c>
      <c r="H19" s="2">
        <v>10.6</v>
      </c>
      <c r="I19" s="2">
        <v>320</v>
      </c>
      <c r="J19" s="2">
        <v>0</v>
      </c>
      <c r="K19" s="2">
        <v>4.7</v>
      </c>
      <c r="L19" s="2">
        <v>4.5</v>
      </c>
      <c r="M19" s="2">
        <v>34</v>
      </c>
      <c r="N19" s="4" t="s">
        <v>19</v>
      </c>
    </row>
    <row r="20" spans="1:14" ht="28.8" x14ac:dyDescent="0.3">
      <c r="A20" s="4" t="s">
        <v>52</v>
      </c>
      <c r="B20" s="5">
        <v>46238</v>
      </c>
      <c r="C20" s="4" t="s">
        <v>25</v>
      </c>
      <c r="D20" s="4" t="s">
        <v>33</v>
      </c>
      <c r="E20" s="4" t="s">
        <v>27</v>
      </c>
      <c r="F20" s="4" t="s">
        <v>34</v>
      </c>
      <c r="G20" s="4" t="s">
        <v>23</v>
      </c>
      <c r="H20" s="2">
        <v>26.3</v>
      </c>
      <c r="I20" s="2">
        <v>840</v>
      </c>
      <c r="J20" s="2">
        <v>90</v>
      </c>
      <c r="K20" s="2">
        <v>4.9000000000000004</v>
      </c>
      <c r="L20" s="2">
        <v>4.8</v>
      </c>
      <c r="M20" s="2">
        <v>61</v>
      </c>
      <c r="N20" s="4" t="s">
        <v>19</v>
      </c>
    </row>
    <row r="21" spans="1:14" ht="28.8" x14ac:dyDescent="0.3">
      <c r="A21" s="4" t="s">
        <v>53</v>
      </c>
      <c r="B21" s="5">
        <v>46238</v>
      </c>
      <c r="C21" s="4" t="s">
        <v>42</v>
      </c>
      <c r="D21" s="4" t="s">
        <v>38</v>
      </c>
      <c r="E21" s="4" t="s">
        <v>2</v>
      </c>
      <c r="F21" s="4" t="s">
        <v>17</v>
      </c>
      <c r="G21" s="4" t="s">
        <v>18</v>
      </c>
      <c r="H21" s="2">
        <v>5.0999999999999996</v>
      </c>
      <c r="I21" s="2">
        <v>115</v>
      </c>
      <c r="J21" s="2">
        <v>10</v>
      </c>
      <c r="K21" s="2">
        <v>4.5</v>
      </c>
      <c r="L21" s="2">
        <v>4.4000000000000004</v>
      </c>
      <c r="M21" s="2">
        <v>19</v>
      </c>
      <c r="N21" s="4" t="s">
        <v>19</v>
      </c>
    </row>
    <row r="22" spans="1:14" ht="28.8" x14ac:dyDescent="0.3">
      <c r="A22" s="4" t="s">
        <v>54</v>
      </c>
      <c r="B22" s="5">
        <v>46238</v>
      </c>
      <c r="C22" s="4" t="s">
        <v>29</v>
      </c>
      <c r="D22" s="4" t="s">
        <v>16</v>
      </c>
      <c r="E22" s="4" t="s">
        <v>2</v>
      </c>
      <c r="F22" s="4" t="s">
        <v>17</v>
      </c>
      <c r="G22" s="4" t="s">
        <v>18</v>
      </c>
      <c r="H22" s="2">
        <v>9.3000000000000007</v>
      </c>
      <c r="I22" s="2">
        <v>275</v>
      </c>
      <c r="J22" s="2">
        <v>25</v>
      </c>
      <c r="K22" s="2">
        <v>4.5999999999999996</v>
      </c>
      <c r="L22" s="2">
        <v>4.7</v>
      </c>
      <c r="M22" s="2">
        <v>30</v>
      </c>
      <c r="N22" s="4" t="s">
        <v>19</v>
      </c>
    </row>
    <row r="23" spans="1:14" ht="28.8" x14ac:dyDescent="0.3">
      <c r="A23" s="4" t="s">
        <v>55</v>
      </c>
      <c r="B23" s="5">
        <v>46238</v>
      </c>
      <c r="C23" s="4" t="s">
        <v>32</v>
      </c>
      <c r="D23" s="4" t="s">
        <v>26</v>
      </c>
      <c r="E23" s="4" t="s">
        <v>27</v>
      </c>
      <c r="F23" s="4" t="s">
        <v>22</v>
      </c>
      <c r="G23" s="4" t="s">
        <v>23</v>
      </c>
      <c r="H23" s="2">
        <v>21.8</v>
      </c>
      <c r="I23" s="2">
        <v>650</v>
      </c>
      <c r="J23" s="2">
        <v>75</v>
      </c>
      <c r="K23" s="2">
        <v>4.7</v>
      </c>
      <c r="L23" s="2">
        <v>4.5</v>
      </c>
      <c r="M23" s="2">
        <v>50</v>
      </c>
      <c r="N23" s="4" t="s">
        <v>19</v>
      </c>
    </row>
    <row r="24" spans="1:14" ht="28.8" x14ac:dyDescent="0.3">
      <c r="A24" s="4" t="s">
        <v>56</v>
      </c>
      <c r="B24" s="5">
        <v>46239</v>
      </c>
      <c r="C24" s="4" t="s">
        <v>36</v>
      </c>
      <c r="D24" s="4" t="s">
        <v>16</v>
      </c>
      <c r="E24" s="4" t="s">
        <v>2</v>
      </c>
      <c r="F24" s="4" t="s">
        <v>17</v>
      </c>
      <c r="G24" s="4" t="s">
        <v>30</v>
      </c>
      <c r="H24" s="2">
        <v>7.6</v>
      </c>
      <c r="I24" s="2">
        <v>225</v>
      </c>
      <c r="J24" s="2">
        <v>0</v>
      </c>
      <c r="K24" s="2">
        <v>4.4000000000000004</v>
      </c>
      <c r="L24" s="2">
        <v>4.3</v>
      </c>
      <c r="M24" s="2">
        <v>26</v>
      </c>
      <c r="N24" s="4" t="s">
        <v>19</v>
      </c>
    </row>
    <row r="25" spans="1:14" ht="28.8" x14ac:dyDescent="0.3">
      <c r="A25" s="4" t="s">
        <v>57</v>
      </c>
      <c r="B25" s="5">
        <v>46239</v>
      </c>
      <c r="C25" s="4" t="s">
        <v>15</v>
      </c>
      <c r="D25" s="4" t="s">
        <v>38</v>
      </c>
      <c r="E25" s="4" t="s">
        <v>2</v>
      </c>
      <c r="F25" s="4" t="s">
        <v>22</v>
      </c>
      <c r="G25" s="4" t="s">
        <v>18</v>
      </c>
      <c r="H25" s="2">
        <v>3.2</v>
      </c>
      <c r="I25" s="2">
        <v>80</v>
      </c>
      <c r="J25" s="2">
        <v>5</v>
      </c>
      <c r="K25" s="2">
        <v>4.5</v>
      </c>
      <c r="L25" s="2">
        <v>4.2</v>
      </c>
      <c r="M25" s="2">
        <v>14</v>
      </c>
      <c r="N25" s="4" t="s">
        <v>19</v>
      </c>
    </row>
    <row r="26" spans="1:14" x14ac:dyDescent="0.3">
      <c r="A26" s="4" t="s">
        <v>58</v>
      </c>
      <c r="B26" s="5">
        <v>46239</v>
      </c>
      <c r="C26" s="4" t="s">
        <v>21</v>
      </c>
      <c r="D26" s="4" t="s">
        <v>33</v>
      </c>
      <c r="E26" s="4" t="s">
        <v>2</v>
      </c>
      <c r="F26" s="4" t="s">
        <v>34</v>
      </c>
      <c r="G26" s="4" t="s">
        <v>23</v>
      </c>
      <c r="H26" s="2">
        <v>13.7</v>
      </c>
      <c r="I26" s="2">
        <v>525</v>
      </c>
      <c r="J26" s="2">
        <v>45</v>
      </c>
      <c r="K26" s="2">
        <v>4.9000000000000004</v>
      </c>
      <c r="L26" s="2">
        <v>4.9000000000000004</v>
      </c>
      <c r="M26" s="2">
        <v>42</v>
      </c>
      <c r="N26" s="4" t="s">
        <v>19</v>
      </c>
    </row>
    <row r="27" spans="1:14" x14ac:dyDescent="0.3">
      <c r="A27" s="4" t="s">
        <v>59</v>
      </c>
      <c r="B27" s="5">
        <v>46239</v>
      </c>
      <c r="C27" s="4" t="s">
        <v>25</v>
      </c>
      <c r="D27" s="4" t="s">
        <v>16</v>
      </c>
      <c r="E27" s="4" t="s">
        <v>2</v>
      </c>
      <c r="F27" s="4" t="s">
        <v>17</v>
      </c>
      <c r="G27" s="4" t="s">
        <v>18</v>
      </c>
      <c r="H27" s="2">
        <v>11.4</v>
      </c>
      <c r="I27" s="2">
        <v>335</v>
      </c>
      <c r="J27" s="2">
        <v>30</v>
      </c>
      <c r="K27" s="2">
        <v>4.8</v>
      </c>
      <c r="L27" s="2">
        <v>4.7</v>
      </c>
      <c r="M27" s="2">
        <v>36</v>
      </c>
      <c r="N27" s="4" t="s">
        <v>19</v>
      </c>
    </row>
    <row r="28" spans="1:14" ht="28.8" x14ac:dyDescent="0.3">
      <c r="A28" s="4" t="s">
        <v>60</v>
      </c>
      <c r="B28" s="5">
        <v>46239</v>
      </c>
      <c r="C28" s="4" t="s">
        <v>29</v>
      </c>
      <c r="D28" s="4" t="s">
        <v>16</v>
      </c>
      <c r="E28" s="4" t="s">
        <v>2</v>
      </c>
      <c r="F28" s="4" t="s">
        <v>22</v>
      </c>
      <c r="G28" s="4" t="s">
        <v>30</v>
      </c>
      <c r="H28" s="2">
        <v>5.9</v>
      </c>
      <c r="I28" s="2">
        <v>165</v>
      </c>
      <c r="J28" s="2">
        <v>0</v>
      </c>
      <c r="K28" s="2">
        <v>4.3</v>
      </c>
      <c r="L28" s="2">
        <v>4.0999999999999996</v>
      </c>
      <c r="M28" s="2">
        <v>21</v>
      </c>
      <c r="N28" s="4" t="s">
        <v>50</v>
      </c>
    </row>
    <row r="29" spans="1:14" x14ac:dyDescent="0.3">
      <c r="A29" s="4" t="s">
        <v>61</v>
      </c>
      <c r="B29" s="5">
        <v>46239</v>
      </c>
      <c r="C29" s="4" t="s">
        <v>32</v>
      </c>
      <c r="D29" s="4" t="s">
        <v>16</v>
      </c>
      <c r="E29" s="4" t="s">
        <v>2</v>
      </c>
      <c r="F29" s="4" t="s">
        <v>17</v>
      </c>
      <c r="G29" s="4" t="s">
        <v>18</v>
      </c>
      <c r="H29" s="2">
        <v>8.1999999999999993</v>
      </c>
      <c r="I29" s="2">
        <v>240</v>
      </c>
      <c r="J29" s="2">
        <v>20</v>
      </c>
      <c r="K29" s="2">
        <v>4.5999999999999996</v>
      </c>
      <c r="L29" s="2">
        <v>4.5</v>
      </c>
      <c r="M29" s="2">
        <v>27</v>
      </c>
      <c r="N29" s="4" t="s">
        <v>19</v>
      </c>
    </row>
    <row r="30" spans="1:14" x14ac:dyDescent="0.3">
      <c r="A30" s="4" t="s">
        <v>62</v>
      </c>
      <c r="B30" s="5">
        <v>46240</v>
      </c>
      <c r="C30" s="4" t="s">
        <v>42</v>
      </c>
      <c r="D30" s="4" t="s">
        <v>33</v>
      </c>
      <c r="E30" s="4" t="s">
        <v>27</v>
      </c>
      <c r="F30" s="4" t="s">
        <v>34</v>
      </c>
      <c r="G30" s="4" t="s">
        <v>23</v>
      </c>
      <c r="H30" s="2">
        <v>19.600000000000001</v>
      </c>
      <c r="I30" s="2">
        <v>610</v>
      </c>
      <c r="J30" s="2">
        <v>60</v>
      </c>
      <c r="K30" s="2">
        <v>4.8</v>
      </c>
      <c r="L30" s="2">
        <v>4.8</v>
      </c>
      <c r="M30" s="2">
        <v>47</v>
      </c>
      <c r="N30" s="4" t="s">
        <v>19</v>
      </c>
    </row>
    <row r="31" spans="1:14" x14ac:dyDescent="0.3">
      <c r="A31" s="4" t="s">
        <v>63</v>
      </c>
      <c r="B31" s="5">
        <v>46240</v>
      </c>
      <c r="C31" s="4" t="s">
        <v>36</v>
      </c>
      <c r="D31" s="4" t="s">
        <v>38</v>
      </c>
      <c r="E31" s="4" t="s">
        <v>2</v>
      </c>
      <c r="F31" s="4" t="s">
        <v>17</v>
      </c>
      <c r="G31" s="4" t="s">
        <v>18</v>
      </c>
      <c r="H31" s="2">
        <v>4.2</v>
      </c>
      <c r="I31" s="2">
        <v>95</v>
      </c>
      <c r="J31" s="2">
        <v>5</v>
      </c>
      <c r="K31" s="2">
        <v>4.5</v>
      </c>
      <c r="L31" s="2">
        <v>4.4000000000000004</v>
      </c>
      <c r="M31" s="2">
        <v>17</v>
      </c>
      <c r="N31" s="4" t="s">
        <v>19</v>
      </c>
    </row>
    <row r="32" spans="1:14" ht="28.8" x14ac:dyDescent="0.3">
      <c r="A32" s="4" t="s">
        <v>64</v>
      </c>
      <c r="B32" s="5">
        <v>46240</v>
      </c>
      <c r="C32" s="4" t="s">
        <v>15</v>
      </c>
      <c r="D32" s="4" t="s">
        <v>26</v>
      </c>
      <c r="E32" s="4" t="s">
        <v>27</v>
      </c>
      <c r="F32" s="4" t="s">
        <v>17</v>
      </c>
      <c r="G32" s="4" t="s">
        <v>23</v>
      </c>
      <c r="H32" s="2">
        <v>25.8</v>
      </c>
      <c r="I32" s="2">
        <v>795</v>
      </c>
      <c r="J32" s="2">
        <v>85</v>
      </c>
      <c r="K32" s="2">
        <v>4.9000000000000004</v>
      </c>
      <c r="L32" s="2">
        <v>4.8</v>
      </c>
      <c r="M32" s="2">
        <v>59</v>
      </c>
      <c r="N32" s="4" t="s">
        <v>19</v>
      </c>
    </row>
    <row r="33" spans="1:14" x14ac:dyDescent="0.3">
      <c r="A33" s="4" t="s">
        <v>65</v>
      </c>
      <c r="B33" s="5">
        <v>46240</v>
      </c>
      <c r="C33" s="4" t="s">
        <v>21</v>
      </c>
      <c r="D33" s="4" t="s">
        <v>16</v>
      </c>
      <c r="E33" s="4" t="s">
        <v>2</v>
      </c>
      <c r="F33" s="4" t="s">
        <v>22</v>
      </c>
      <c r="G33" s="4" t="s">
        <v>18</v>
      </c>
      <c r="H33" s="2">
        <v>9.1</v>
      </c>
      <c r="I33" s="2">
        <v>270</v>
      </c>
      <c r="J33" s="2">
        <v>30</v>
      </c>
      <c r="K33" s="2">
        <v>4.5999999999999996</v>
      </c>
      <c r="L33" s="2">
        <v>4.5</v>
      </c>
      <c r="M33" s="2">
        <v>30</v>
      </c>
      <c r="N33" s="4" t="s">
        <v>19</v>
      </c>
    </row>
    <row r="34" spans="1:14" x14ac:dyDescent="0.3">
      <c r="A34" s="4" t="s">
        <v>66</v>
      </c>
      <c r="B34" s="5">
        <v>46240</v>
      </c>
      <c r="C34" s="4" t="s">
        <v>25</v>
      </c>
      <c r="D34" s="4" t="s">
        <v>16</v>
      </c>
      <c r="E34" s="4" t="s">
        <v>2</v>
      </c>
      <c r="F34" s="4" t="s">
        <v>17</v>
      </c>
      <c r="G34" s="4" t="s">
        <v>30</v>
      </c>
      <c r="H34" s="2">
        <v>6.7</v>
      </c>
      <c r="I34" s="2">
        <v>195</v>
      </c>
      <c r="J34" s="2">
        <v>0</v>
      </c>
      <c r="K34" s="2">
        <v>4.4000000000000004</v>
      </c>
      <c r="L34" s="2">
        <v>4.3</v>
      </c>
      <c r="M34" s="2">
        <v>23</v>
      </c>
      <c r="N34" s="4" t="s">
        <v>19</v>
      </c>
    </row>
    <row r="35" spans="1:14" ht="28.8" x14ac:dyDescent="0.3">
      <c r="A35" s="4" t="s">
        <v>67</v>
      </c>
      <c r="B35" s="5">
        <v>46241</v>
      </c>
      <c r="C35" s="4" t="s">
        <v>29</v>
      </c>
      <c r="D35" s="4" t="s">
        <v>33</v>
      </c>
      <c r="E35" s="4" t="s">
        <v>2</v>
      </c>
      <c r="F35" s="4" t="s">
        <v>34</v>
      </c>
      <c r="G35" s="4" t="s">
        <v>23</v>
      </c>
      <c r="H35" s="2">
        <v>12.8</v>
      </c>
      <c r="I35" s="2">
        <v>490</v>
      </c>
      <c r="J35" s="2">
        <v>40</v>
      </c>
      <c r="K35" s="2">
        <v>4.9000000000000004</v>
      </c>
      <c r="L35" s="2">
        <v>4.9000000000000004</v>
      </c>
      <c r="M35" s="2">
        <v>39</v>
      </c>
      <c r="N35" s="4" t="s">
        <v>19</v>
      </c>
    </row>
    <row r="36" spans="1:14" x14ac:dyDescent="0.3">
      <c r="A36" s="4" t="s">
        <v>68</v>
      </c>
      <c r="B36" s="5">
        <v>46241</v>
      </c>
      <c r="C36" s="4" t="s">
        <v>32</v>
      </c>
      <c r="D36" s="4" t="s">
        <v>16</v>
      </c>
      <c r="E36" s="4" t="s">
        <v>2</v>
      </c>
      <c r="F36" s="4" t="s">
        <v>17</v>
      </c>
      <c r="G36" s="4" t="s">
        <v>18</v>
      </c>
      <c r="H36" s="2">
        <v>7.5</v>
      </c>
      <c r="I36" s="2">
        <v>220</v>
      </c>
      <c r="J36" s="2">
        <v>15</v>
      </c>
      <c r="K36" s="2">
        <v>4.7</v>
      </c>
      <c r="L36" s="2">
        <v>4.5999999999999996</v>
      </c>
      <c r="M36" s="2">
        <v>25</v>
      </c>
      <c r="N36" s="4" t="s">
        <v>19</v>
      </c>
    </row>
    <row r="37" spans="1:14" x14ac:dyDescent="0.3">
      <c r="A37" s="4" t="s">
        <v>69</v>
      </c>
      <c r="B37" s="5">
        <v>46241</v>
      </c>
      <c r="C37" s="4" t="s">
        <v>36</v>
      </c>
      <c r="D37" s="4" t="s">
        <v>26</v>
      </c>
      <c r="E37" s="4" t="s">
        <v>27</v>
      </c>
      <c r="F37" s="4" t="s">
        <v>17</v>
      </c>
      <c r="G37" s="4" t="s">
        <v>23</v>
      </c>
      <c r="H37" s="2">
        <v>23.6</v>
      </c>
      <c r="I37" s="2">
        <v>705</v>
      </c>
      <c r="J37" s="2">
        <v>70</v>
      </c>
      <c r="K37" s="2">
        <v>4.8</v>
      </c>
      <c r="L37" s="2">
        <v>4.7</v>
      </c>
      <c r="M37" s="2">
        <v>54</v>
      </c>
      <c r="N37" s="4" t="s">
        <v>19</v>
      </c>
    </row>
    <row r="38" spans="1:14" ht="28.8" x14ac:dyDescent="0.3">
      <c r="A38" s="4" t="s">
        <v>70</v>
      </c>
      <c r="B38" s="5">
        <v>46241</v>
      </c>
      <c r="C38" s="4" t="s">
        <v>15</v>
      </c>
      <c r="D38" s="4" t="s">
        <v>16</v>
      </c>
      <c r="E38" s="4" t="s">
        <v>2</v>
      </c>
      <c r="F38" s="4" t="s">
        <v>22</v>
      </c>
      <c r="G38" s="4" t="s">
        <v>18</v>
      </c>
      <c r="H38" s="2">
        <v>5.3</v>
      </c>
      <c r="I38" s="2">
        <v>155</v>
      </c>
      <c r="J38" s="2">
        <v>20</v>
      </c>
      <c r="K38" s="2">
        <v>4.5</v>
      </c>
      <c r="L38" s="2">
        <v>4.4000000000000004</v>
      </c>
      <c r="M38" s="2">
        <v>19</v>
      </c>
      <c r="N38" s="4" t="s">
        <v>19</v>
      </c>
    </row>
    <row r="39" spans="1:14" x14ac:dyDescent="0.3">
      <c r="A39" s="4" t="s">
        <v>71</v>
      </c>
      <c r="B39" s="5">
        <v>46241</v>
      </c>
      <c r="C39" s="4" t="s">
        <v>21</v>
      </c>
      <c r="D39" s="4" t="s">
        <v>38</v>
      </c>
      <c r="E39" s="4" t="s">
        <v>2</v>
      </c>
      <c r="F39" s="4" t="s">
        <v>17</v>
      </c>
      <c r="G39" s="4" t="s">
        <v>30</v>
      </c>
      <c r="H39" s="2">
        <v>4.7</v>
      </c>
      <c r="I39" s="2">
        <v>110</v>
      </c>
      <c r="J39" s="2">
        <v>0</v>
      </c>
      <c r="K39" s="2">
        <v>4.4000000000000004</v>
      </c>
      <c r="L39" s="2">
        <v>4.2</v>
      </c>
      <c r="M39" s="2">
        <v>18</v>
      </c>
      <c r="N39" s="4" t="s">
        <v>50</v>
      </c>
    </row>
    <row r="40" spans="1:14" x14ac:dyDescent="0.3">
      <c r="A40" s="4" t="s">
        <v>72</v>
      </c>
      <c r="B40" s="5">
        <v>46241</v>
      </c>
      <c r="C40" s="4" t="s">
        <v>25</v>
      </c>
      <c r="D40" s="4" t="s">
        <v>16</v>
      </c>
      <c r="E40" s="4" t="s">
        <v>2</v>
      </c>
      <c r="F40" s="4" t="s">
        <v>34</v>
      </c>
      <c r="G40" s="4" t="s">
        <v>23</v>
      </c>
      <c r="H40" s="2">
        <v>10.9</v>
      </c>
      <c r="I40" s="2">
        <v>330</v>
      </c>
      <c r="J40" s="2">
        <v>25</v>
      </c>
      <c r="K40" s="2">
        <v>4.8</v>
      </c>
      <c r="L40" s="2">
        <v>4.7</v>
      </c>
      <c r="M40" s="2">
        <v>35</v>
      </c>
      <c r="N40" s="4" t="s">
        <v>19</v>
      </c>
    </row>
    <row r="41" spans="1:14" x14ac:dyDescent="0.3">
      <c r="A41" s="4" t="s">
        <v>73</v>
      </c>
      <c r="B41" s="5">
        <v>46241</v>
      </c>
      <c r="C41" s="4" t="s">
        <v>42</v>
      </c>
      <c r="D41" s="4" t="s">
        <v>16</v>
      </c>
      <c r="E41" s="4" t="s">
        <v>27</v>
      </c>
      <c r="F41" s="4" t="s">
        <v>17</v>
      </c>
      <c r="G41" s="4" t="s">
        <v>18</v>
      </c>
      <c r="H41" s="2">
        <v>16.8</v>
      </c>
      <c r="I41" s="2">
        <v>495</v>
      </c>
      <c r="J41" s="2">
        <v>50</v>
      </c>
      <c r="K41" s="2">
        <v>4.7</v>
      </c>
      <c r="L41" s="2">
        <v>4.5999999999999996</v>
      </c>
      <c r="M41" s="2">
        <v>40</v>
      </c>
      <c r="N41" s="4" t="s">
        <v>19</v>
      </c>
    </row>
    <row r="42" spans="1:14" ht="28.8" x14ac:dyDescent="0.3">
      <c r="A42" s="4" t="s">
        <v>74</v>
      </c>
      <c r="B42" s="5">
        <v>46242</v>
      </c>
      <c r="C42" s="4" t="s">
        <v>29</v>
      </c>
      <c r="D42" s="4" t="s">
        <v>38</v>
      </c>
      <c r="E42" s="4" t="s">
        <v>2</v>
      </c>
      <c r="F42" s="4" t="s">
        <v>22</v>
      </c>
      <c r="G42" s="4" t="s">
        <v>18</v>
      </c>
      <c r="H42" s="2">
        <v>3.9</v>
      </c>
      <c r="I42" s="2">
        <v>92</v>
      </c>
      <c r="J42" s="2">
        <v>5</v>
      </c>
      <c r="K42" s="2">
        <v>4.5</v>
      </c>
      <c r="L42" s="2">
        <v>4.3</v>
      </c>
      <c r="M42" s="2">
        <v>15</v>
      </c>
      <c r="N42" s="4" t="s">
        <v>19</v>
      </c>
    </row>
    <row r="43" spans="1:14" x14ac:dyDescent="0.3">
      <c r="A43" s="4" t="s">
        <v>75</v>
      </c>
      <c r="B43" s="5">
        <v>46242</v>
      </c>
      <c r="C43" s="4" t="s">
        <v>32</v>
      </c>
      <c r="D43" s="4" t="s">
        <v>33</v>
      </c>
      <c r="E43" s="4" t="s">
        <v>2</v>
      </c>
      <c r="F43" s="4" t="s">
        <v>34</v>
      </c>
      <c r="G43" s="4" t="s">
        <v>23</v>
      </c>
      <c r="H43" s="2">
        <v>15.2</v>
      </c>
      <c r="I43" s="2">
        <v>575</v>
      </c>
      <c r="J43" s="2">
        <v>50</v>
      </c>
      <c r="K43" s="2">
        <v>4.9000000000000004</v>
      </c>
      <c r="L43" s="2">
        <v>4.8</v>
      </c>
      <c r="M43" s="2">
        <v>45</v>
      </c>
      <c r="N43" s="4" t="s">
        <v>19</v>
      </c>
    </row>
    <row r="44" spans="1:14" x14ac:dyDescent="0.3">
      <c r="A44" s="4" t="s">
        <v>76</v>
      </c>
      <c r="B44" s="5">
        <v>46242</v>
      </c>
      <c r="C44" s="4" t="s">
        <v>36</v>
      </c>
      <c r="D44" s="4" t="s">
        <v>16</v>
      </c>
      <c r="E44" s="4" t="s">
        <v>2</v>
      </c>
      <c r="F44" s="4" t="s">
        <v>17</v>
      </c>
      <c r="G44" s="4" t="s">
        <v>30</v>
      </c>
      <c r="H44" s="2">
        <v>8.8000000000000007</v>
      </c>
      <c r="I44" s="2">
        <v>255</v>
      </c>
      <c r="J44" s="2">
        <v>0</v>
      </c>
      <c r="K44" s="2">
        <v>4.5999999999999996</v>
      </c>
      <c r="L44" s="2">
        <v>4.5</v>
      </c>
      <c r="M44" s="2">
        <v>28</v>
      </c>
      <c r="N44" s="4" t="s">
        <v>19</v>
      </c>
    </row>
    <row r="45" spans="1:14" ht="28.8" x14ac:dyDescent="0.3">
      <c r="A45" s="4" t="s">
        <v>77</v>
      </c>
      <c r="B45" s="5">
        <v>46242</v>
      </c>
      <c r="C45" s="4" t="s">
        <v>15</v>
      </c>
      <c r="D45" s="4" t="s">
        <v>16</v>
      </c>
      <c r="E45" s="4" t="s">
        <v>2</v>
      </c>
      <c r="F45" s="4" t="s">
        <v>17</v>
      </c>
      <c r="G45" s="4" t="s">
        <v>18</v>
      </c>
      <c r="H45" s="2">
        <v>10.1</v>
      </c>
      <c r="I45" s="2">
        <v>300</v>
      </c>
      <c r="J45" s="2">
        <v>25</v>
      </c>
      <c r="K45" s="2">
        <v>4.8</v>
      </c>
      <c r="L45" s="2">
        <v>4.7</v>
      </c>
      <c r="M45" s="2">
        <v>33</v>
      </c>
      <c r="N45" s="4" t="s">
        <v>19</v>
      </c>
    </row>
    <row r="46" spans="1:14" x14ac:dyDescent="0.3">
      <c r="A46" s="4" t="s">
        <v>78</v>
      </c>
      <c r="B46" s="5">
        <v>46242</v>
      </c>
      <c r="C46" s="4" t="s">
        <v>21</v>
      </c>
      <c r="D46" s="4" t="s">
        <v>26</v>
      </c>
      <c r="E46" s="4" t="s">
        <v>27</v>
      </c>
      <c r="F46" s="4" t="s">
        <v>34</v>
      </c>
      <c r="G46" s="4" t="s">
        <v>23</v>
      </c>
      <c r="H46" s="2">
        <v>27.4</v>
      </c>
      <c r="I46" s="2">
        <v>850</v>
      </c>
      <c r="J46" s="2">
        <v>100</v>
      </c>
      <c r="K46" s="2">
        <v>4.9000000000000004</v>
      </c>
      <c r="L46" s="2">
        <v>4.9000000000000004</v>
      </c>
      <c r="M46" s="2">
        <v>64</v>
      </c>
      <c r="N46" s="4" t="s">
        <v>19</v>
      </c>
    </row>
    <row r="47" spans="1:14" x14ac:dyDescent="0.3">
      <c r="A47" s="4" t="s">
        <v>79</v>
      </c>
      <c r="B47" s="5">
        <v>46242</v>
      </c>
      <c r="C47" s="4" t="s">
        <v>25</v>
      </c>
      <c r="D47" s="4" t="s">
        <v>38</v>
      </c>
      <c r="E47" s="4" t="s">
        <v>2</v>
      </c>
      <c r="F47" s="4" t="s">
        <v>22</v>
      </c>
      <c r="G47" s="4" t="s">
        <v>30</v>
      </c>
      <c r="H47" s="2">
        <v>4.0999999999999996</v>
      </c>
      <c r="I47" s="2">
        <v>95</v>
      </c>
      <c r="J47" s="2">
        <v>0</v>
      </c>
      <c r="K47" s="2">
        <v>4.2</v>
      </c>
      <c r="L47" s="2">
        <v>4</v>
      </c>
      <c r="M47" s="2">
        <v>17</v>
      </c>
      <c r="N47" s="4" t="s">
        <v>19</v>
      </c>
    </row>
    <row r="48" spans="1:14" ht="28.8" x14ac:dyDescent="0.3">
      <c r="A48" s="4" t="s">
        <v>80</v>
      </c>
      <c r="B48" s="5">
        <v>46243</v>
      </c>
      <c r="C48" s="4" t="s">
        <v>29</v>
      </c>
      <c r="D48" s="4" t="s">
        <v>16</v>
      </c>
      <c r="E48" s="4" t="s">
        <v>2</v>
      </c>
      <c r="F48" s="4" t="s">
        <v>17</v>
      </c>
      <c r="G48" s="4" t="s">
        <v>18</v>
      </c>
      <c r="H48" s="2">
        <v>7.9</v>
      </c>
      <c r="I48" s="2">
        <v>230</v>
      </c>
      <c r="J48" s="2">
        <v>20</v>
      </c>
      <c r="K48" s="2">
        <v>4.7</v>
      </c>
      <c r="L48" s="2">
        <v>4.5999999999999996</v>
      </c>
      <c r="M48" s="2">
        <v>26</v>
      </c>
      <c r="N48" s="4" t="s">
        <v>19</v>
      </c>
    </row>
    <row r="49" spans="1:14" x14ac:dyDescent="0.3">
      <c r="A49" s="4" t="s">
        <v>81</v>
      </c>
      <c r="B49" s="5">
        <v>46243</v>
      </c>
      <c r="C49" s="4" t="s">
        <v>32</v>
      </c>
      <c r="D49" s="4" t="s">
        <v>26</v>
      </c>
      <c r="E49" s="4" t="s">
        <v>27</v>
      </c>
      <c r="F49" s="4" t="s">
        <v>17</v>
      </c>
      <c r="G49" s="4" t="s">
        <v>23</v>
      </c>
      <c r="H49" s="2">
        <v>20.5</v>
      </c>
      <c r="I49" s="2">
        <v>625</v>
      </c>
      <c r="J49" s="2">
        <v>65</v>
      </c>
      <c r="K49" s="2">
        <v>4.8</v>
      </c>
      <c r="L49" s="2">
        <v>4.7</v>
      </c>
      <c r="M49" s="2">
        <v>49</v>
      </c>
      <c r="N49" s="4" t="s">
        <v>19</v>
      </c>
    </row>
    <row r="50" spans="1:14" x14ac:dyDescent="0.3">
      <c r="A50" s="4" t="s">
        <v>82</v>
      </c>
      <c r="B50" s="5">
        <v>46243</v>
      </c>
      <c r="C50" s="4" t="s">
        <v>42</v>
      </c>
      <c r="D50" s="4" t="s">
        <v>38</v>
      </c>
      <c r="E50" s="4" t="s">
        <v>2</v>
      </c>
      <c r="F50" s="4" t="s">
        <v>22</v>
      </c>
      <c r="G50" s="4" t="s">
        <v>18</v>
      </c>
      <c r="H50" s="2">
        <v>4.8</v>
      </c>
      <c r="I50" s="2">
        <v>105</v>
      </c>
      <c r="J50" s="2">
        <v>10</v>
      </c>
      <c r="K50" s="2">
        <v>4.5999999999999996</v>
      </c>
      <c r="L50" s="2">
        <v>4.4000000000000004</v>
      </c>
      <c r="M50" s="2">
        <v>18</v>
      </c>
      <c r="N50" s="4" t="s">
        <v>19</v>
      </c>
    </row>
    <row r="51" spans="1:14" x14ac:dyDescent="0.3">
      <c r="A51" s="4" t="s">
        <v>83</v>
      </c>
      <c r="B51" s="5">
        <v>46243</v>
      </c>
      <c r="C51" s="4" t="s">
        <v>36</v>
      </c>
      <c r="D51" s="4" t="s">
        <v>16</v>
      </c>
      <c r="E51" s="4" t="s">
        <v>2</v>
      </c>
      <c r="F51" s="4" t="s">
        <v>17</v>
      </c>
      <c r="G51" s="4" t="s">
        <v>18</v>
      </c>
      <c r="H51" s="2">
        <v>9.6</v>
      </c>
      <c r="I51" s="2">
        <v>285</v>
      </c>
      <c r="J51" s="2">
        <v>25</v>
      </c>
      <c r="K51" s="2">
        <v>4.7</v>
      </c>
      <c r="L51" s="2">
        <v>4.5999999999999996</v>
      </c>
      <c r="M51" s="2">
        <v>32</v>
      </c>
      <c r="N51" s="4" t="s">
        <v>19</v>
      </c>
    </row>
  </sheetData>
  <pageMargins left="0.7" right="0.7" top="0.75" bottom="0.75" header="0.3" footer="0.3"/>
  <drawing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4EB7-F9CB-41D8-A9B3-ACFA7680C953}">
  <dimension ref="A1:E27"/>
  <sheetViews>
    <sheetView showGridLines="0" topLeftCell="A3" workbookViewId="0">
      <selection activeCell="C10" sqref="C10"/>
    </sheetView>
  </sheetViews>
  <sheetFormatPr defaultRowHeight="14.4" x14ac:dyDescent="0.3"/>
  <cols>
    <col min="1" max="1" width="30.77734375" customWidth="1"/>
    <col min="2" max="2" width="61.33203125" customWidth="1"/>
    <col min="5" max="5" width="12.44140625" customWidth="1"/>
    <col min="6" max="6" width="10.33203125" customWidth="1"/>
  </cols>
  <sheetData>
    <row r="1" spans="1:5" x14ac:dyDescent="0.3">
      <c r="A1" s="8" t="s">
        <v>84</v>
      </c>
      <c r="B1" s="8" t="s">
        <v>85</v>
      </c>
      <c r="D1" t="s">
        <v>84</v>
      </c>
      <c r="E1" t="s">
        <v>85</v>
      </c>
    </row>
    <row r="2" spans="1:5" ht="28.8" x14ac:dyDescent="0.3">
      <c r="A2" s="10" t="s">
        <v>86</v>
      </c>
      <c r="B2" s="10" t="s">
        <v>87</v>
      </c>
      <c r="D2">
        <v>1</v>
      </c>
      <c r="E2">
        <f>COUNTA(Table1[Ride_ID])</f>
        <v>50</v>
      </c>
    </row>
    <row r="3" spans="1:5" ht="72" x14ac:dyDescent="0.3">
      <c r="A3" s="10" t="s">
        <v>88</v>
      </c>
      <c r="B3" s="10" t="s">
        <v>89</v>
      </c>
      <c r="D3">
        <v>2</v>
      </c>
      <c r="E3">
        <f>COUNTIF(Table1[Status],DASHBOARD!N2)</f>
        <v>47</v>
      </c>
    </row>
    <row r="4" spans="1:5" ht="28.8" x14ac:dyDescent="0.3">
      <c r="A4" s="10" t="s">
        <v>90</v>
      </c>
      <c r="B4" s="10" t="s">
        <v>91</v>
      </c>
      <c r="D4">
        <v>3</v>
      </c>
      <c r="E4">
        <f>SUM(Table1[Fare_INR])</f>
        <v>18042</v>
      </c>
    </row>
    <row r="5" spans="1:5" ht="43.2" x14ac:dyDescent="0.3">
      <c r="A5" s="10" t="s">
        <v>92</v>
      </c>
      <c r="B5" s="10" t="s">
        <v>93</v>
      </c>
      <c r="D5">
        <v>4</v>
      </c>
      <c r="E5">
        <f>AVERAGE(Table1[Fare_INR])</f>
        <v>360.84</v>
      </c>
    </row>
    <row r="6" spans="1:5" ht="57.6" x14ac:dyDescent="0.3">
      <c r="A6" s="10" t="s">
        <v>94</v>
      </c>
      <c r="B6" s="10" t="s">
        <v>95</v>
      </c>
      <c r="D6">
        <v>5</v>
      </c>
      <c r="E6">
        <f>AVERAGE(Table1[Customer_Rating])</f>
        <v>4.5640000000000001</v>
      </c>
    </row>
    <row r="9" spans="1:5" x14ac:dyDescent="0.3">
      <c r="A9" s="8" t="s">
        <v>96</v>
      </c>
      <c r="B9" s="8" t="s">
        <v>97</v>
      </c>
    </row>
    <row r="10" spans="1:5" ht="28.8" x14ac:dyDescent="0.3">
      <c r="A10" s="9" t="s">
        <v>98</v>
      </c>
      <c r="B10" s="10" t="s">
        <v>99</v>
      </c>
    </row>
    <row r="11" spans="1:5" ht="57.6" x14ac:dyDescent="0.3">
      <c r="A11" s="9" t="s">
        <v>100</v>
      </c>
      <c r="B11" s="10" t="s">
        <v>101</v>
      </c>
    </row>
    <row r="12" spans="1:5" ht="43.2" x14ac:dyDescent="0.3">
      <c r="A12" s="9" t="s">
        <v>102</v>
      </c>
      <c r="B12" s="10" t="s">
        <v>103</v>
      </c>
    </row>
    <row r="13" spans="1:5" ht="57.6" x14ac:dyDescent="0.3">
      <c r="A13" s="9" t="s">
        <v>104</v>
      </c>
      <c r="B13" s="10" t="s">
        <v>105</v>
      </c>
    </row>
    <row r="14" spans="1:5" ht="43.2" x14ac:dyDescent="0.3">
      <c r="A14" s="9" t="s">
        <v>106</v>
      </c>
      <c r="B14" s="10" t="s">
        <v>107</v>
      </c>
    </row>
    <row r="15" spans="1:5" x14ac:dyDescent="0.3">
      <c r="A15" s="9" t="s">
        <v>108</v>
      </c>
      <c r="B15" s="10" t="s">
        <v>109</v>
      </c>
    </row>
    <row r="16" spans="1:5" x14ac:dyDescent="0.3">
      <c r="A16" s="9" t="s">
        <v>110</v>
      </c>
      <c r="B16" s="10" t="s">
        <v>111</v>
      </c>
    </row>
    <row r="17" spans="1:2" x14ac:dyDescent="0.3">
      <c r="A17" s="9" t="s">
        <v>112</v>
      </c>
      <c r="B17" s="10" t="s">
        <v>113</v>
      </c>
    </row>
    <row r="19" spans="1:2" ht="18" x14ac:dyDescent="0.3">
      <c r="A19" s="6" t="s">
        <v>114</v>
      </c>
    </row>
    <row r="20" spans="1:2" x14ac:dyDescent="0.3">
      <c r="A20" s="7"/>
    </row>
    <row r="21" spans="1:2" x14ac:dyDescent="0.3">
      <c r="A21" s="7" t="s">
        <v>1</v>
      </c>
    </row>
    <row r="22" spans="1:2" x14ac:dyDescent="0.3">
      <c r="A22" s="7" t="s">
        <v>2</v>
      </c>
    </row>
    <row r="23" spans="1:2" x14ac:dyDescent="0.3">
      <c r="A23" s="7" t="s">
        <v>115</v>
      </c>
    </row>
    <row r="24" spans="1:2" x14ac:dyDescent="0.3">
      <c r="A24" s="7" t="s">
        <v>116</v>
      </c>
    </row>
    <row r="25" spans="1:2" x14ac:dyDescent="0.3">
      <c r="A25" s="7" t="s">
        <v>117</v>
      </c>
    </row>
    <row r="26" spans="1:2" x14ac:dyDescent="0.3">
      <c r="A26" s="7" t="s">
        <v>118</v>
      </c>
    </row>
    <row r="27" spans="1:2" x14ac:dyDescent="0.3">
      <c r="A27" s="7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BAE9-EE9F-476A-94E0-65A3ACFCC101}">
  <dimension ref="A1:AL350"/>
  <sheetViews>
    <sheetView showGridLines="0" tabSelected="1" topLeftCell="A3" zoomScale="61" zoomScaleNormal="100" workbookViewId="0">
      <selection activeCell="Z67" sqref="Z67:AL68"/>
    </sheetView>
  </sheetViews>
  <sheetFormatPr defaultRowHeight="14.4" x14ac:dyDescent="0.3"/>
  <sheetData>
    <row r="1" spans="1:38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38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spans="1:38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1:38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 spans="1:38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38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spans="1:38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1:38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spans="1:38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spans="1:38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spans="1:38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8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spans="1:38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spans="1:38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spans="1:38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spans="1:38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spans="1:38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spans="1:38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spans="1:38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8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spans="1:38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8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spans="1:38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1:38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38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38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38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38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38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38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38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38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38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38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38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CONTENTS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NANDANA C K</cp:lastModifiedBy>
  <dcterms:created xsi:type="dcterms:W3CDTF">2026-08-10T04:14:19Z</dcterms:created>
  <dcterms:modified xsi:type="dcterms:W3CDTF">2026-09-23T15:28:42Z</dcterms:modified>
</cp:coreProperties>
</file>