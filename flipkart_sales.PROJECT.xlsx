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LENOVO\AppData\Roaming\Microsoft\Windows\Network Shortcuts\"/>
    </mc:Choice>
  </mc:AlternateContent>
  <xr:revisionPtr revIDLastSave="0" documentId="13_ncr:1_{9497D50B-F26E-4166-8816-A46221C5A350}" xr6:coauthVersionLast="47" xr6:coauthVersionMax="47" xr10:uidLastSave="{00000000-0000-0000-0000-000000000000}"/>
  <bookViews>
    <workbookView xWindow="-108" yWindow="-108" windowWidth="23256" windowHeight="13896" activeTab="5" xr2:uid="{F986F6F8-1443-42BF-B80C-345797FCB259}"/>
  </bookViews>
  <sheets>
    <sheet name="flipkart_sales" sheetId="1" r:id="rId1"/>
    <sheet name="Table1" sheetId="2" r:id="rId2"/>
    <sheet name="Sheet1" sheetId="5" r:id="rId3"/>
    <sheet name="REPORT 1" sheetId="7" r:id="rId4"/>
    <sheet name="REPORT 2" sheetId="10" r:id="rId5"/>
    <sheet name="REPORT 3" sheetId="12" r:id="rId6"/>
  </sheets>
  <definedNames>
    <definedName name="ExternalData_1" localSheetId="1" hidden="1">Table1!$A$1:$J$1001</definedName>
    <definedName name="Slicer_Category1">#N/A</definedName>
    <definedName name="Slicer_Category2">#N/A</definedName>
    <definedName name="Slicer_Months__Order_Date">#N/A</definedName>
    <definedName name="Slicer_Months__Order_Date1">#N/A</definedName>
    <definedName name="Slicer_Product_Name">#N/A</definedName>
    <definedName name="Slicer_Product_Name1">#N/A</definedName>
    <definedName name="Slicer_Product_Name2">#N/A</definedName>
    <definedName name="Slicer_Years__Order_Date">#N/A</definedName>
    <definedName name="Slicer_Years__Order_Date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5" l="1"/>
  <c r="B9" i="5"/>
  <c r="B7" i="5"/>
  <c r="B8" i="5"/>
  <c r="B6" i="5"/>
  <c r="B5" i="5"/>
  <c r="B4" i="5"/>
  <c r="B3" i="5"/>
  <c r="B2" i="5"/>
  <c r="F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Q3" i="2"/>
  <c r="L378" i="2"/>
  <c r="L274" i="2"/>
  <c r="L120" i="2"/>
  <c r="L453" i="2"/>
  <c r="L477" i="2"/>
  <c r="L820" i="2"/>
  <c r="L733" i="2"/>
  <c r="L655" i="2"/>
  <c r="L608" i="2"/>
  <c r="L240" i="2"/>
  <c r="L677" i="2"/>
  <c r="L912" i="2"/>
  <c r="L929" i="2"/>
  <c r="L323" i="2"/>
  <c r="L837" i="2"/>
  <c r="L838" i="2"/>
  <c r="L678" i="2"/>
  <c r="L627" i="2"/>
  <c r="L241" i="2"/>
  <c r="L121" i="2"/>
  <c r="L95" i="2"/>
  <c r="L152" i="2"/>
  <c r="L839" i="2"/>
  <c r="L562" i="2"/>
  <c r="L954" i="2"/>
  <c r="L413" i="2"/>
  <c r="L628" i="2"/>
  <c r="L679" i="2"/>
  <c r="L698" i="2"/>
  <c r="L324" i="2"/>
  <c r="L350" i="2"/>
  <c r="L955" i="2"/>
  <c r="L454" i="2"/>
  <c r="L478" i="2"/>
  <c r="L379" i="2"/>
  <c r="L890" i="2"/>
  <c r="L956" i="2"/>
  <c r="L325" i="2"/>
  <c r="L242" i="2"/>
  <c r="L243" i="2"/>
  <c r="L326" i="2"/>
  <c r="L380" i="2"/>
  <c r="L177" i="2"/>
  <c r="L957" i="2"/>
  <c r="L563" i="2"/>
  <c r="L656" i="2"/>
  <c r="L52" i="2"/>
  <c r="L680" i="2"/>
  <c r="L432" i="2"/>
  <c r="L96" i="2"/>
  <c r="L657" i="2"/>
  <c r="L212" i="2"/>
  <c r="L913" i="2"/>
  <c r="L699" i="2"/>
  <c r="L351" i="2"/>
  <c r="L213" i="2"/>
  <c r="L821" i="2"/>
  <c r="L352" i="2"/>
  <c r="L734" i="2"/>
  <c r="L296" i="2"/>
  <c r="L479" i="2"/>
  <c r="L275" i="2"/>
  <c r="L580" i="2"/>
  <c r="L414" i="2"/>
  <c r="L958" i="2"/>
  <c r="L764" i="2"/>
  <c r="L629" i="2"/>
  <c r="L53" i="2"/>
  <c r="L415" i="2"/>
  <c r="L930" i="2"/>
  <c r="L735" i="2"/>
  <c r="L794" i="2"/>
  <c r="L504" i="2"/>
  <c r="L69" i="2"/>
  <c r="L988" i="2"/>
  <c r="L297" i="2"/>
  <c r="L416" i="2"/>
  <c r="L658" i="2"/>
  <c r="L244" i="2"/>
  <c r="L433" i="2"/>
  <c r="L455" i="2"/>
  <c r="L581" i="2"/>
  <c r="L7" i="2"/>
  <c r="L914" i="2"/>
  <c r="L54" i="2"/>
  <c r="L659" i="2"/>
  <c r="L417" i="2"/>
  <c r="L418" i="2"/>
  <c r="L630" i="2"/>
  <c r="L245" i="2"/>
  <c r="L122" i="2"/>
  <c r="L353" i="2"/>
  <c r="L533" i="2"/>
  <c r="L736" i="2"/>
  <c r="L891" i="2"/>
  <c r="L276" i="2"/>
  <c r="L631" i="2"/>
  <c r="L480" i="2"/>
  <c r="L713" i="2"/>
  <c r="L660" i="2"/>
  <c r="L434" i="2"/>
  <c r="L505" i="2"/>
  <c r="L246" i="2"/>
  <c r="L123" i="2"/>
  <c r="L327" i="2"/>
  <c r="L153" i="2"/>
  <c r="L381" i="2"/>
  <c r="L959" i="2"/>
  <c r="L840" i="2"/>
  <c r="L277" i="2"/>
  <c r="L765" i="2"/>
  <c r="L30" i="2"/>
  <c r="L298" i="2"/>
  <c r="L278" i="2"/>
  <c r="L714" i="2"/>
  <c r="L328" i="2"/>
  <c r="L564" i="2"/>
  <c r="L506" i="2"/>
  <c r="L822" i="2"/>
  <c r="L915" i="2"/>
  <c r="L863" i="2"/>
  <c r="L661" i="2"/>
  <c r="L960" i="2"/>
  <c r="L124" i="2"/>
  <c r="L892" i="2"/>
  <c r="L354" i="2"/>
  <c r="L70" i="2"/>
  <c r="L632" i="2"/>
  <c r="L681" i="2"/>
  <c r="L247" i="2"/>
  <c r="L795" i="2"/>
  <c r="L2" i="2"/>
  <c r="L178" i="2"/>
  <c r="L329" i="2"/>
  <c r="L299" i="2"/>
  <c r="L481" i="2"/>
  <c r="L300" i="2"/>
  <c r="L125" i="2"/>
  <c r="L71" i="2"/>
  <c r="L864" i="2"/>
  <c r="L154" i="2"/>
  <c r="L893" i="2"/>
  <c r="L482" i="2"/>
  <c r="L248" i="2"/>
  <c r="L8" i="2"/>
  <c r="L483" i="2"/>
  <c r="L766" i="2"/>
  <c r="L126" i="2"/>
  <c r="L179" i="2"/>
  <c r="L582" i="2"/>
  <c r="L715" i="2"/>
  <c r="L989" i="2"/>
  <c r="L155" i="2"/>
  <c r="L156" i="2"/>
  <c r="L609" i="2"/>
  <c r="L31" i="2"/>
  <c r="L737" i="2"/>
  <c r="L55" i="2"/>
  <c r="L767" i="2"/>
  <c r="L841" i="2"/>
  <c r="L865" i="2"/>
  <c r="L72" i="2"/>
  <c r="L56" i="2"/>
  <c r="L866" i="2"/>
  <c r="L610" i="2"/>
  <c r="L180" i="2"/>
  <c r="L662" i="2"/>
  <c r="L435" i="2"/>
  <c r="L127" i="2"/>
  <c r="L682" i="2"/>
  <c r="L214" i="2"/>
  <c r="L507" i="2"/>
  <c r="L716" i="2"/>
  <c r="L215" i="2"/>
  <c r="L633" i="2"/>
  <c r="L157" i="2"/>
  <c r="L216" i="2"/>
  <c r="L301" i="2"/>
  <c r="L279" i="2"/>
  <c r="L565" i="2"/>
  <c r="L611" i="2"/>
  <c r="L916" i="2"/>
  <c r="L217" i="2"/>
  <c r="L436" i="2"/>
  <c r="L9" i="2"/>
  <c r="L181" i="2"/>
  <c r="L534" i="2"/>
  <c r="L382" i="2"/>
  <c r="L867" i="2"/>
  <c r="L218" i="2"/>
  <c r="L683" i="2"/>
  <c r="L663" i="2"/>
  <c r="L634" i="2"/>
  <c r="L280" i="2"/>
  <c r="L796" i="2"/>
  <c r="L917" i="2"/>
  <c r="L73" i="2"/>
  <c r="L961" i="2"/>
  <c r="L535" i="2"/>
  <c r="L842" i="2"/>
  <c r="L456" i="2"/>
  <c r="L868" i="2"/>
  <c r="L97" i="2"/>
  <c r="L74" i="2"/>
  <c r="L635" i="2"/>
  <c r="L583" i="2"/>
  <c r="L931" i="2"/>
  <c r="L612" i="2"/>
  <c r="L419" i="2"/>
  <c r="L536" i="2"/>
  <c r="L355" i="2"/>
  <c r="L894" i="2"/>
  <c r="L75" i="2"/>
  <c r="L57" i="2"/>
  <c r="L684" i="2"/>
  <c r="L636" i="2"/>
  <c r="L32" i="2"/>
  <c r="L895" i="2"/>
  <c r="L383" i="2"/>
  <c r="L128" i="2"/>
  <c r="L384" i="2"/>
  <c r="L990" i="2"/>
  <c r="L797" i="2"/>
  <c r="L823" i="2"/>
  <c r="L508" i="2"/>
  <c r="L129" i="2"/>
  <c r="L613" i="2"/>
  <c r="L182" i="2"/>
  <c r="L798" i="2"/>
  <c r="L614" i="2"/>
  <c r="L385" i="2"/>
  <c r="L420" i="2"/>
  <c r="L738" i="2"/>
  <c r="L932" i="2"/>
  <c r="L799" i="2"/>
  <c r="L537" i="2"/>
  <c r="L386" i="2"/>
  <c r="L158" i="2"/>
  <c r="L302" i="2"/>
  <c r="L58" i="2"/>
  <c r="L584" i="2"/>
  <c r="L824" i="2"/>
  <c r="L387" i="2"/>
  <c r="L356" i="2"/>
  <c r="L33" i="2"/>
  <c r="L388" i="2"/>
  <c r="L896" i="2"/>
  <c r="L585" i="2"/>
  <c r="L159" i="2"/>
  <c r="L739" i="2"/>
  <c r="L437" i="2"/>
  <c r="L800" i="2"/>
  <c r="L740" i="2"/>
  <c r="L962" i="2"/>
  <c r="L566" i="2"/>
  <c r="L897" i="2"/>
  <c r="L615" i="2"/>
  <c r="L10" i="2"/>
  <c r="L963" i="2"/>
  <c r="L964" i="2"/>
  <c r="L76" i="2"/>
  <c r="L77" i="2"/>
  <c r="L933" i="2"/>
  <c r="L934" i="2"/>
  <c r="L484" i="2"/>
  <c r="L11" i="2"/>
  <c r="L869" i="2"/>
  <c r="L509" i="2"/>
  <c r="L219" i="2"/>
  <c r="L485" i="2"/>
  <c r="L768" i="2"/>
  <c r="L538" i="2"/>
  <c r="L183" i="2"/>
  <c r="L130" i="2"/>
  <c r="L870" i="2"/>
  <c r="L131" i="2"/>
  <c r="L616" i="2"/>
  <c r="L357" i="2"/>
  <c r="L457" i="2"/>
  <c r="L220" i="2"/>
  <c r="L249" i="2"/>
  <c r="L539" i="2"/>
  <c r="L221" i="2"/>
  <c r="L741" i="2"/>
  <c r="L567" i="2"/>
  <c r="L184" i="2"/>
  <c r="L250" i="2"/>
  <c r="L281" i="2"/>
  <c r="L742" i="2"/>
  <c r="L222" i="2"/>
  <c r="L769" i="2"/>
  <c r="L330" i="2"/>
  <c r="L389" i="2"/>
  <c r="L303" i="2"/>
  <c r="L78" i="2"/>
  <c r="L871" i="2"/>
  <c r="L132" i="2"/>
  <c r="L965" i="2"/>
  <c r="L358" i="2"/>
  <c r="L98" i="2"/>
  <c r="L685" i="2"/>
  <c r="L801" i="2"/>
  <c r="L486" i="2"/>
  <c r="L843" i="2"/>
  <c r="L935" i="2"/>
  <c r="L802" i="2"/>
  <c r="L282" i="2"/>
  <c r="L390" i="2"/>
  <c r="L918" i="2"/>
  <c r="L12" i="2"/>
  <c r="L79" i="2"/>
  <c r="L717" i="2"/>
  <c r="L825" i="2"/>
  <c r="L872" i="2"/>
  <c r="L770" i="2"/>
  <c r="L510" i="2"/>
  <c r="L803" i="2"/>
  <c r="L637" i="2"/>
  <c r="L80" i="2"/>
  <c r="L223" i="2"/>
  <c r="L458" i="2"/>
  <c r="L804" i="2"/>
  <c r="L133" i="2"/>
  <c r="L966" i="2"/>
  <c r="L638" i="2"/>
  <c r="L487" i="2"/>
  <c r="L898" i="2"/>
  <c r="L304" i="2"/>
  <c r="L391" i="2"/>
  <c r="L617" i="2"/>
  <c r="L540" i="2"/>
  <c r="L700" i="2"/>
  <c r="L160" i="2"/>
  <c r="L392" i="2"/>
  <c r="L134" i="2"/>
  <c r="L331" i="2"/>
  <c r="L511" i="2"/>
  <c r="L99" i="2"/>
  <c r="L438" i="2"/>
  <c r="L967" i="2"/>
  <c r="L718" i="2"/>
  <c r="L135" i="2"/>
  <c r="L968" i="2"/>
  <c r="L161" i="2"/>
  <c r="L936" i="2"/>
  <c r="L439" i="2"/>
  <c r="L541" i="2"/>
  <c r="L512" i="2"/>
  <c r="L873" i="2"/>
  <c r="L13" i="2"/>
  <c r="L100" i="2"/>
  <c r="L874" i="2"/>
  <c r="L332" i="2"/>
  <c r="L618" i="2"/>
  <c r="L333" i="2"/>
  <c r="L899" i="2"/>
  <c r="L542" i="2"/>
  <c r="L459" i="2"/>
  <c r="L664" i="2"/>
  <c r="L875" i="2"/>
  <c r="L305" i="2"/>
  <c r="L743" i="2"/>
  <c r="L81" i="2"/>
  <c r="L543" i="2"/>
  <c r="L744" i="2"/>
  <c r="L251" i="2"/>
  <c r="L745" i="2"/>
  <c r="L306" i="2"/>
  <c r="L359" i="2"/>
  <c r="L544" i="2"/>
  <c r="L34" i="2"/>
  <c r="L252" i="2"/>
  <c r="L253" i="2"/>
  <c r="L545" i="2"/>
  <c r="L900" i="2"/>
  <c r="L826" i="2"/>
  <c r="L14" i="2"/>
  <c r="L307" i="2"/>
  <c r="L136" i="2"/>
  <c r="L746" i="2"/>
  <c r="L969" i="2"/>
  <c r="L101" i="2"/>
  <c r="L901" i="2"/>
  <c r="L991" i="2"/>
  <c r="L283" i="2"/>
  <c r="L162" i="2"/>
  <c r="L460" i="2"/>
  <c r="L970" i="2"/>
  <c r="L771" i="2"/>
  <c r="L546" i="2"/>
  <c r="L971" i="2"/>
  <c r="L937" i="2"/>
  <c r="L461" i="2"/>
  <c r="L686" i="2"/>
  <c r="L844" i="2"/>
  <c r="L185" i="2"/>
  <c r="L772" i="2"/>
  <c r="L284" i="2"/>
  <c r="L513" i="2"/>
  <c r="L992" i="2"/>
  <c r="L393" i="2"/>
  <c r="L687" i="2"/>
  <c r="L394" i="2"/>
  <c r="L102" i="2"/>
  <c r="L137" i="2"/>
  <c r="L421" i="2"/>
  <c r="L35" i="2"/>
  <c r="L972" i="2"/>
  <c r="L639" i="2"/>
  <c r="L773" i="2"/>
  <c r="L619" i="2"/>
  <c r="L224" i="2"/>
  <c r="L285" i="2"/>
  <c r="L440" i="2"/>
  <c r="L876" i="2"/>
  <c r="L665" i="2"/>
  <c r="L666" i="2"/>
  <c r="L919" i="2"/>
  <c r="L36" i="2"/>
  <c r="L103" i="2"/>
  <c r="L286" i="2"/>
  <c r="L845" i="2"/>
  <c r="L902" i="2"/>
  <c r="L225" i="2"/>
  <c r="L586" i="2"/>
  <c r="L3" i="2"/>
  <c r="L920" i="2"/>
  <c r="L620" i="2"/>
  <c r="L462" i="2"/>
  <c r="L701" i="2"/>
  <c r="L186" i="2"/>
  <c r="L547" i="2"/>
  <c r="L254" i="2"/>
  <c r="L422" i="2"/>
  <c r="L747" i="2"/>
  <c r="L587" i="2"/>
  <c r="L514" i="2"/>
  <c r="L138" i="2"/>
  <c r="L667" i="2"/>
  <c r="L226" i="2"/>
  <c r="L877" i="2"/>
  <c r="L395" i="2"/>
  <c r="L187" i="2"/>
  <c r="L163" i="2"/>
  <c r="L164" i="2"/>
  <c r="L37" i="2"/>
  <c r="L188" i="2"/>
  <c r="L938" i="2"/>
  <c r="L308" i="2"/>
  <c r="L463" i="2"/>
  <c r="L255" i="2"/>
  <c r="L256" i="2"/>
  <c r="L588" i="2"/>
  <c r="L515" i="2"/>
  <c r="L423" i="2"/>
  <c r="L640" i="2"/>
  <c r="L548" i="2"/>
  <c r="L668" i="2"/>
  <c r="L516" i="2"/>
  <c r="L939" i="2"/>
  <c r="L993" i="2"/>
  <c r="L227" i="2"/>
  <c r="L287" i="2"/>
  <c r="L589" i="2"/>
  <c r="L139" i="2"/>
  <c r="L257" i="2"/>
  <c r="L846" i="2"/>
  <c r="L15" i="2"/>
  <c r="L38" i="2"/>
  <c r="L719" i="2"/>
  <c r="L748" i="2"/>
  <c r="L189" i="2"/>
  <c r="L517" i="2"/>
  <c r="L488" i="2"/>
  <c r="L334" i="2"/>
  <c r="L228" i="2"/>
  <c r="L190" i="2"/>
  <c r="L568" i="2"/>
  <c r="L309" i="2"/>
  <c r="L165" i="2"/>
  <c r="L191" i="2"/>
  <c r="L641" i="2"/>
  <c r="L310" i="2"/>
  <c r="L258" i="2"/>
  <c r="L360" i="2"/>
  <c r="L569" i="2"/>
  <c r="L104" i="2"/>
  <c r="L105" i="2"/>
  <c r="L16" i="2"/>
  <c r="L441" i="2"/>
  <c r="L396" i="2"/>
  <c r="L774" i="2"/>
  <c r="L192" i="2"/>
  <c r="L166" i="2"/>
  <c r="L489" i="2"/>
  <c r="L549" i="2"/>
  <c r="L17" i="2"/>
  <c r="L903" i="2"/>
  <c r="L288" i="2"/>
  <c r="L397" i="2"/>
  <c r="L847" i="2"/>
  <c r="L229" i="2"/>
  <c r="L570" i="2"/>
  <c r="L621" i="2"/>
  <c r="L167" i="2"/>
  <c r="L18" i="2"/>
  <c r="L442" i="2"/>
  <c r="L940" i="2"/>
  <c r="L39" i="2"/>
  <c r="L259" i="2"/>
  <c r="L193" i="2"/>
  <c r="L260" i="2"/>
  <c r="L642" i="2"/>
  <c r="L827" i="2"/>
  <c r="L194" i="2"/>
  <c r="L702" i="2"/>
  <c r="L848" i="2"/>
  <c r="L669" i="2"/>
  <c r="L443" i="2"/>
  <c r="L140" i="2"/>
  <c r="L361" i="2"/>
  <c r="L749" i="2"/>
  <c r="L40" i="2"/>
  <c r="L775" i="2"/>
  <c r="L106" i="2"/>
  <c r="L776" i="2"/>
  <c r="L643" i="2"/>
  <c r="L777" i="2"/>
  <c r="L362" i="2"/>
  <c r="L904" i="2"/>
  <c r="L750" i="2"/>
  <c r="L195" i="2"/>
  <c r="L19" i="2"/>
  <c r="L261" i="2"/>
  <c r="L59" i="2"/>
  <c r="L82" i="2"/>
  <c r="L141" i="2"/>
  <c r="L424" i="2"/>
  <c r="L60" i="2"/>
  <c r="L751" i="2"/>
  <c r="L107" i="2"/>
  <c r="L688" i="2"/>
  <c r="L464" i="2"/>
  <c r="L550" i="2"/>
  <c r="L752" i="2"/>
  <c r="L622" i="2"/>
  <c r="L83" i="2"/>
  <c r="L196" i="2"/>
  <c r="L828" i="2"/>
  <c r="L623" i="2"/>
  <c r="L720" i="2"/>
  <c r="L590" i="2"/>
  <c r="L289" i="2"/>
  <c r="L363" i="2"/>
  <c r="L551" i="2"/>
  <c r="L973" i="2"/>
  <c r="L364" i="2"/>
  <c r="L703" i="2"/>
  <c r="L974" i="2"/>
  <c r="L878" i="2"/>
  <c r="L142" i="2"/>
  <c r="L805" i="2"/>
  <c r="L879" i="2"/>
  <c r="L721" i="2"/>
  <c r="L880" i="2"/>
  <c r="L168" i="2"/>
  <c r="L444" i="2"/>
  <c r="L197" i="2"/>
  <c r="L398" i="2"/>
  <c r="L591" i="2"/>
  <c r="L975" i="2"/>
  <c r="L704" i="2"/>
  <c r="L84" i="2"/>
  <c r="L85" i="2"/>
  <c r="L335" i="2"/>
  <c r="L644" i="2"/>
  <c r="L108" i="2"/>
  <c r="L518" i="2"/>
  <c r="L592" i="2"/>
  <c r="L169" i="2"/>
  <c r="L994" i="2"/>
  <c r="L593" i="2"/>
  <c r="L941" i="2"/>
  <c r="L976" i="2"/>
  <c r="L61" i="2"/>
  <c r="L336" i="2"/>
  <c r="L337" i="2"/>
  <c r="L806" i="2"/>
  <c r="L230" i="2"/>
  <c r="L778" i="2"/>
  <c r="L571" i="2"/>
  <c r="L425" i="2"/>
  <c r="L849" i="2"/>
  <c r="L109" i="2"/>
  <c r="L426" i="2"/>
  <c r="L399" i="2"/>
  <c r="L198" i="2"/>
  <c r="L921" i="2"/>
  <c r="L41" i="2"/>
  <c r="L779" i="2"/>
  <c r="L572" i="2"/>
  <c r="L199" i="2"/>
  <c r="L42" i="2"/>
  <c r="L519" i="2"/>
  <c r="L573" i="2"/>
  <c r="L780" i="2"/>
  <c r="L110" i="2"/>
  <c r="L111" i="2"/>
  <c r="L490" i="2"/>
  <c r="L86" i="2"/>
  <c r="L112" i="2"/>
  <c r="L87" i="2"/>
  <c r="L881" i="2"/>
  <c r="L231" i="2"/>
  <c r="L942" i="2"/>
  <c r="L365" i="2"/>
  <c r="L624" i="2"/>
  <c r="L829" i="2"/>
  <c r="L977" i="2"/>
  <c r="L366" i="2"/>
  <c r="L465" i="2"/>
  <c r="L262" i="2"/>
  <c r="L978" i="2"/>
  <c r="L689" i="2"/>
  <c r="L781" i="2"/>
  <c r="L905" i="2"/>
  <c r="L807" i="2"/>
  <c r="L143" i="2"/>
  <c r="L170" i="2"/>
  <c r="L200" i="2"/>
  <c r="L466" i="2"/>
  <c r="L491" i="2"/>
  <c r="L850" i="2"/>
  <c r="L62" i="2"/>
  <c r="L851" i="2"/>
  <c r="L113" i="2"/>
  <c r="L20" i="2"/>
  <c r="L21" i="2"/>
  <c r="L338" i="2"/>
  <c r="L43" i="2"/>
  <c r="L552" i="2"/>
  <c r="L144" i="2"/>
  <c r="L427" i="2"/>
  <c r="L705" i="2"/>
  <c r="L753" i="2"/>
  <c r="L171" i="2"/>
  <c r="L706" i="2"/>
  <c r="L594" i="2"/>
  <c r="L400" i="2"/>
  <c r="L290" i="2"/>
  <c r="L754" i="2"/>
  <c r="L808" i="2"/>
  <c r="L291" i="2"/>
  <c r="L492" i="2"/>
  <c r="L755" i="2"/>
  <c r="L882" i="2"/>
  <c r="L979" i="2"/>
  <c r="L520" i="2"/>
  <c r="L670" i="2"/>
  <c r="L574" i="2"/>
  <c r="L645" i="2"/>
  <c r="L595" i="2"/>
  <c r="L722" i="2"/>
  <c r="L646" i="2"/>
  <c r="L22" i="2"/>
  <c r="L553" i="2"/>
  <c r="L263" i="2"/>
  <c r="L232" i="2"/>
  <c r="L292" i="2"/>
  <c r="L809" i="2"/>
  <c r="L810" i="2"/>
  <c r="L995" i="2"/>
  <c r="L647" i="2"/>
  <c r="L996" i="2"/>
  <c r="L201" i="2"/>
  <c r="L943" i="2"/>
  <c r="L428" i="2"/>
  <c r="L63" i="2"/>
  <c r="L311" i="2"/>
  <c r="L401" i="2"/>
  <c r="L906" i="2"/>
  <c r="L293" i="2"/>
  <c r="L852" i="2"/>
  <c r="L264" i="2"/>
  <c r="L980" i="2"/>
  <c r="L145" i="2"/>
  <c r="L339" i="2"/>
  <c r="L64" i="2"/>
  <c r="L172" i="2"/>
  <c r="L467" i="2"/>
  <c r="L690" i="2"/>
  <c r="L429" i="2"/>
  <c r="L756" i="2"/>
  <c r="L23" i="2"/>
  <c r="L367" i="2"/>
  <c r="L883" i="2"/>
  <c r="L312" i="2"/>
  <c r="L402" i="2"/>
  <c r="L294" i="2"/>
  <c r="L313" i="2"/>
  <c r="L648" i="2"/>
  <c r="L521" i="2"/>
  <c r="L830" i="2"/>
  <c r="L997" i="2"/>
  <c r="L202" i="2"/>
  <c r="L671" i="2"/>
  <c r="L65" i="2"/>
  <c r="L233" i="2"/>
  <c r="L445" i="2"/>
  <c r="L884" i="2"/>
  <c r="L596" i="2"/>
  <c r="L944" i="2"/>
  <c r="L265" i="2"/>
  <c r="L625" i="2"/>
  <c r="L203" i="2"/>
  <c r="L446" i="2"/>
  <c r="L44" i="2"/>
  <c r="L234" i="2"/>
  <c r="L403" i="2"/>
  <c r="L24" i="2"/>
  <c r="L314" i="2"/>
  <c r="L88" i="2"/>
  <c r="L4" i="2"/>
  <c r="L447" i="2"/>
  <c r="L981" i="2"/>
  <c r="L782" i="2"/>
  <c r="L204" i="2"/>
  <c r="L522" i="2"/>
  <c r="L368" i="2"/>
  <c r="L523" i="2"/>
  <c r="L173" i="2"/>
  <c r="L114" i="2"/>
  <c r="L340" i="2"/>
  <c r="L554" i="2"/>
  <c r="L25" i="2"/>
  <c r="L493" i="2"/>
  <c r="L757" i="2"/>
  <c r="L672" i="2"/>
  <c r="L555" i="2"/>
  <c r="L369" i="2"/>
  <c r="L831" i="2"/>
  <c r="L597" i="2"/>
  <c r="L146" i="2"/>
  <c r="L205" i="2"/>
  <c r="L673" i="2"/>
  <c r="L691" i="2"/>
  <c r="L468" i="2"/>
  <c r="L404" i="2"/>
  <c r="L448" i="2"/>
  <c r="L174" i="2"/>
  <c r="L922" i="2"/>
  <c r="L998" i="2"/>
  <c r="L370" i="2"/>
  <c r="L783" i="2"/>
  <c r="L832" i="2"/>
  <c r="L315" i="2"/>
  <c r="L575" i="2"/>
  <c r="L853" i="2"/>
  <c r="L524" i="2"/>
  <c r="L707" i="2"/>
  <c r="L784" i="2"/>
  <c r="L598" i="2"/>
  <c r="L854" i="2"/>
  <c r="L758" i="2"/>
  <c r="L759" i="2"/>
  <c r="L115" i="2"/>
  <c r="L525" i="2"/>
  <c r="L811" i="2"/>
  <c r="L5" i="2"/>
  <c r="L576" i="2"/>
  <c r="L760" i="2"/>
  <c r="L649" i="2"/>
  <c r="L526" i="2"/>
  <c r="L26" i="2"/>
  <c r="L812" i="2"/>
  <c r="L405" i="2"/>
  <c r="L316" i="2"/>
  <c r="L577" i="2"/>
  <c r="L674" i="2"/>
  <c r="L761" i="2"/>
  <c r="L494" i="2"/>
  <c r="L692" i="2"/>
  <c r="L89" i="2"/>
  <c r="L693" i="2"/>
  <c r="L923" i="2"/>
  <c r="L723" i="2"/>
  <c r="L66" i="2"/>
  <c r="L855" i="2"/>
  <c r="L724" i="2"/>
  <c r="L406" i="2"/>
  <c r="L982" i="2"/>
  <c r="L856" i="2"/>
  <c r="L266" i="2"/>
  <c r="L945" i="2"/>
  <c r="L857" i="2"/>
  <c r="L90" i="2"/>
  <c r="L708" i="2"/>
  <c r="L907" i="2"/>
  <c r="L785" i="2"/>
  <c r="L267" i="2"/>
  <c r="L725" i="2"/>
  <c r="L556" i="2"/>
  <c r="L813" i="2"/>
  <c r="L116" i="2"/>
  <c r="L983" i="2"/>
  <c r="L317" i="2"/>
  <c r="L814" i="2"/>
  <c r="L495" i="2"/>
  <c r="L908" i="2"/>
  <c r="L885" i="2"/>
  <c r="L909" i="2"/>
  <c r="L833" i="2"/>
  <c r="L175" i="2"/>
  <c r="L650" i="2"/>
  <c r="L341" i="2"/>
  <c r="L91" i="2"/>
  <c r="L858" i="2"/>
  <c r="L709" i="2"/>
  <c r="L342" i="2"/>
  <c r="L469" i="2"/>
  <c r="L318" i="2"/>
  <c r="L786" i="2"/>
  <c r="L92" i="2"/>
  <c r="L235" i="2"/>
  <c r="L527" i="2"/>
  <c r="L726" i="2"/>
  <c r="L371" i="2"/>
  <c r="L694" i="2"/>
  <c r="L999" i="2"/>
  <c r="L449" i="2"/>
  <c r="L528" i="2"/>
  <c r="L675" i="2"/>
  <c r="L343" i="2"/>
  <c r="L147" i="2"/>
  <c r="L834" i="2"/>
  <c r="L206" i="2"/>
  <c r="L45" i="2"/>
  <c r="L117" i="2"/>
  <c r="L46" i="2"/>
  <c r="L651" i="2"/>
  <c r="L695" i="2"/>
  <c r="L727" i="2"/>
  <c r="L470" i="2"/>
  <c r="L471" i="2"/>
  <c r="L728" i="2"/>
  <c r="L924" i="2"/>
  <c r="L372" i="2"/>
  <c r="L148" i="2"/>
  <c r="L925" i="2"/>
  <c r="L207" i="2"/>
  <c r="L599" i="2"/>
  <c r="L600" i="2"/>
  <c r="L729" i="2"/>
  <c r="L450" i="2"/>
  <c r="L886" i="2"/>
  <c r="L47" i="2"/>
  <c r="L926" i="2"/>
  <c r="L529" i="2"/>
  <c r="L626" i="2"/>
  <c r="L48" i="2"/>
  <c r="L984" i="2"/>
  <c r="L762" i="2"/>
  <c r="L859" i="2"/>
  <c r="L268" i="2"/>
  <c r="L710" i="2"/>
  <c r="L557" i="2"/>
  <c r="L496" i="2"/>
  <c r="L407" i="2"/>
  <c r="L27" i="2"/>
  <c r="L946" i="2"/>
  <c r="L787" i="2"/>
  <c r="L319" i="2"/>
  <c r="L472" i="2"/>
  <c r="L473" i="2"/>
  <c r="L1000" i="2"/>
  <c r="L815" i="2"/>
  <c r="L788" i="2"/>
  <c r="L789" i="2"/>
  <c r="L149" i="2"/>
  <c r="L269" i="2"/>
  <c r="L236" i="2"/>
  <c r="L67" i="2"/>
  <c r="L816" i="2"/>
  <c r="L790" i="2"/>
  <c r="L451" i="2"/>
  <c r="L497" i="2"/>
  <c r="L711" i="2"/>
  <c r="L320" i="2"/>
  <c r="L498" i="2"/>
  <c r="L150" i="2"/>
  <c r="L208" i="2"/>
  <c r="L209" i="2"/>
  <c r="L474" i="2"/>
  <c r="L118" i="2"/>
  <c r="L910" i="2"/>
  <c r="L947" i="2"/>
  <c r="L860" i="2"/>
  <c r="L344" i="2"/>
  <c r="L1001" i="2"/>
  <c r="L652" i="2"/>
  <c r="L985" i="2"/>
  <c r="L119" i="2"/>
  <c r="L601" i="2"/>
  <c r="L373" i="2"/>
  <c r="L696" i="2"/>
  <c r="L49" i="2"/>
  <c r="L835" i="2"/>
  <c r="L578" i="2"/>
  <c r="L836" i="2"/>
  <c r="L475" i="2"/>
  <c r="L237" i="2"/>
  <c r="L210" i="2"/>
  <c r="L176" i="2"/>
  <c r="L986" i="2"/>
  <c r="L93" i="2"/>
  <c r="L238" i="2"/>
  <c r="L558" i="2"/>
  <c r="L452" i="2"/>
  <c r="L374" i="2"/>
  <c r="L321" i="2"/>
  <c r="L602" i="2"/>
  <c r="L430" i="2"/>
  <c r="L499" i="2"/>
  <c r="L730" i="2"/>
  <c r="L500" i="2"/>
  <c r="L559" i="2"/>
  <c r="L603" i="2"/>
  <c r="L345" i="2"/>
  <c r="L346" i="2"/>
  <c r="L151" i="2"/>
  <c r="L887" i="2"/>
  <c r="L948" i="2"/>
  <c r="L817" i="2"/>
  <c r="L949" i="2"/>
  <c r="L239" i="2"/>
  <c r="L375" i="2"/>
  <c r="L579" i="2"/>
  <c r="L408" i="2"/>
  <c r="L270" i="2"/>
  <c r="L530" i="2"/>
  <c r="L271" i="2"/>
  <c r="L50" i="2"/>
  <c r="L272" i="2"/>
  <c r="L950" i="2"/>
  <c r="L501" i="2"/>
  <c r="L604" i="2"/>
  <c r="L911" i="2"/>
  <c r="L409" i="2"/>
  <c r="L605" i="2"/>
  <c r="L791" i="2"/>
  <c r="L861" i="2"/>
  <c r="L273" i="2"/>
  <c r="L697" i="2"/>
  <c r="L431" i="2"/>
  <c r="L376" i="2"/>
  <c r="L322" i="2"/>
  <c r="L68" i="2"/>
  <c r="L502" i="2"/>
  <c r="L951" i="2"/>
  <c r="L51" i="2"/>
  <c r="L987" i="2"/>
  <c r="L410" i="2"/>
  <c r="L531" i="2"/>
  <c r="L560" i="2"/>
  <c r="L411" i="2"/>
  <c r="L888" i="2"/>
  <c r="L606" i="2"/>
  <c r="L818" i="2"/>
  <c r="L763" i="2"/>
  <c r="L28" i="2"/>
  <c r="L295" i="2"/>
  <c r="L347" i="2"/>
  <c r="L377" i="2"/>
  <c r="L412" i="2"/>
  <c r="L792" i="2"/>
  <c r="L927" i="2"/>
  <c r="L928" i="2"/>
  <c r="L348" i="2"/>
  <c r="L819" i="2"/>
  <c r="L952" i="2"/>
  <c r="L889" i="2"/>
  <c r="L561" i="2"/>
  <c r="L731" i="2"/>
  <c r="L532" i="2"/>
  <c r="L793" i="2"/>
  <c r="L94" i="2"/>
  <c r="L607" i="2"/>
  <c r="L211" i="2"/>
  <c r="L953" i="2"/>
  <c r="L653" i="2"/>
  <c r="L29" i="2"/>
  <c r="L732" i="2"/>
  <c r="L349" i="2"/>
  <c r="L712" i="2"/>
  <c r="L654" i="2"/>
  <c r="L6" i="2"/>
  <c r="L676" i="2"/>
  <c r="L503" i="2"/>
  <c r="L476" i="2"/>
  <c r="L862" i="2"/>
  <c r="K378" i="2"/>
  <c r="Q10" i="2"/>
  <c r="Q9" i="2"/>
  <c r="K274" i="2"/>
  <c r="K120" i="2"/>
  <c r="K453" i="2"/>
  <c r="K477" i="2"/>
  <c r="K820" i="2"/>
  <c r="K733" i="2"/>
  <c r="K655" i="2"/>
  <c r="K608" i="2"/>
  <c r="K240" i="2"/>
  <c r="K677" i="2"/>
  <c r="K912" i="2"/>
  <c r="K929" i="2"/>
  <c r="K323" i="2"/>
  <c r="K837" i="2"/>
  <c r="K838" i="2"/>
  <c r="K678" i="2"/>
  <c r="K627" i="2"/>
  <c r="K241" i="2"/>
  <c r="K121" i="2"/>
  <c r="K95" i="2"/>
  <c r="K152" i="2"/>
  <c r="K839" i="2"/>
  <c r="K562" i="2"/>
  <c r="K954" i="2"/>
  <c r="K413" i="2"/>
  <c r="K628" i="2"/>
  <c r="K679" i="2"/>
  <c r="K698" i="2"/>
  <c r="K324" i="2"/>
  <c r="K350" i="2"/>
  <c r="K955" i="2"/>
  <c r="K454" i="2"/>
  <c r="K478" i="2"/>
  <c r="K379" i="2"/>
  <c r="K890" i="2"/>
  <c r="K956" i="2"/>
  <c r="K325" i="2"/>
  <c r="K242" i="2"/>
  <c r="K243" i="2"/>
  <c r="K326" i="2"/>
  <c r="K380" i="2"/>
  <c r="K177" i="2"/>
  <c r="K957" i="2"/>
  <c r="K563" i="2"/>
  <c r="K656" i="2"/>
  <c r="K52" i="2"/>
  <c r="K680" i="2"/>
  <c r="K432" i="2"/>
  <c r="K96" i="2"/>
  <c r="K657" i="2"/>
  <c r="K212" i="2"/>
  <c r="K913" i="2"/>
  <c r="K699" i="2"/>
  <c r="K351" i="2"/>
  <c r="K213" i="2"/>
  <c r="K821" i="2"/>
  <c r="K352" i="2"/>
  <c r="K734" i="2"/>
  <c r="K296" i="2"/>
  <c r="K479" i="2"/>
  <c r="K275" i="2"/>
  <c r="K580" i="2"/>
  <c r="K414" i="2"/>
  <c r="K958" i="2"/>
  <c r="K764" i="2"/>
  <c r="K629" i="2"/>
  <c r="K53" i="2"/>
  <c r="K415" i="2"/>
  <c r="K930" i="2"/>
  <c r="K735" i="2"/>
  <c r="K794" i="2"/>
  <c r="K504" i="2"/>
  <c r="K69" i="2"/>
  <c r="K988" i="2"/>
  <c r="K297" i="2"/>
  <c r="K416" i="2"/>
  <c r="K658" i="2"/>
  <c r="K244" i="2"/>
  <c r="K433" i="2"/>
  <c r="K455" i="2"/>
  <c r="K581" i="2"/>
  <c r="K7" i="2"/>
  <c r="K914" i="2"/>
  <c r="K54" i="2"/>
  <c r="K659" i="2"/>
  <c r="K417" i="2"/>
  <c r="K418" i="2"/>
  <c r="K630" i="2"/>
  <c r="K245" i="2"/>
  <c r="K122" i="2"/>
  <c r="K353" i="2"/>
  <c r="K533" i="2"/>
  <c r="K736" i="2"/>
  <c r="K891" i="2"/>
  <c r="K276" i="2"/>
  <c r="K631" i="2"/>
  <c r="K480" i="2"/>
  <c r="K713" i="2"/>
  <c r="K660" i="2"/>
  <c r="K434" i="2"/>
  <c r="K505" i="2"/>
  <c r="K246" i="2"/>
  <c r="K123" i="2"/>
  <c r="K327" i="2"/>
  <c r="K153" i="2"/>
  <c r="K381" i="2"/>
  <c r="K959" i="2"/>
  <c r="K840" i="2"/>
  <c r="K277" i="2"/>
  <c r="K765" i="2"/>
  <c r="K30" i="2"/>
  <c r="K298" i="2"/>
  <c r="K278" i="2"/>
  <c r="K714" i="2"/>
  <c r="K328" i="2"/>
  <c r="K564" i="2"/>
  <c r="K506" i="2"/>
  <c r="K822" i="2"/>
  <c r="K915" i="2"/>
  <c r="K863" i="2"/>
  <c r="K661" i="2"/>
  <c r="K960" i="2"/>
  <c r="K124" i="2"/>
  <c r="K892" i="2"/>
  <c r="K354" i="2"/>
  <c r="K70" i="2"/>
  <c r="K632" i="2"/>
  <c r="K681" i="2"/>
  <c r="K247" i="2"/>
  <c r="K795" i="2"/>
  <c r="K2" i="2"/>
  <c r="K178" i="2"/>
  <c r="K329" i="2"/>
  <c r="K299" i="2"/>
  <c r="K481" i="2"/>
  <c r="K300" i="2"/>
  <c r="K125" i="2"/>
  <c r="K71" i="2"/>
  <c r="K864" i="2"/>
  <c r="K154" i="2"/>
  <c r="K893" i="2"/>
  <c r="K482" i="2"/>
  <c r="K248" i="2"/>
  <c r="K8" i="2"/>
  <c r="K483" i="2"/>
  <c r="K766" i="2"/>
  <c r="K126" i="2"/>
  <c r="K179" i="2"/>
  <c r="K582" i="2"/>
  <c r="K715" i="2"/>
  <c r="K989" i="2"/>
  <c r="K155" i="2"/>
  <c r="K156" i="2"/>
  <c r="K609" i="2"/>
  <c r="K31" i="2"/>
  <c r="K737" i="2"/>
  <c r="K55" i="2"/>
  <c r="K767" i="2"/>
  <c r="K841" i="2"/>
  <c r="K865" i="2"/>
  <c r="K72" i="2"/>
  <c r="K56" i="2"/>
  <c r="K866" i="2"/>
  <c r="K610" i="2"/>
  <c r="K180" i="2"/>
  <c r="K662" i="2"/>
  <c r="K435" i="2"/>
  <c r="K127" i="2"/>
  <c r="K682" i="2"/>
  <c r="K214" i="2"/>
  <c r="K507" i="2"/>
  <c r="K716" i="2"/>
  <c r="K215" i="2"/>
  <c r="K633" i="2"/>
  <c r="K157" i="2"/>
  <c r="K216" i="2"/>
  <c r="K301" i="2"/>
  <c r="K279" i="2"/>
  <c r="K565" i="2"/>
  <c r="K611" i="2"/>
  <c r="K916" i="2"/>
  <c r="K217" i="2"/>
  <c r="K436" i="2"/>
  <c r="K9" i="2"/>
  <c r="K181" i="2"/>
  <c r="K534" i="2"/>
  <c r="K382" i="2"/>
  <c r="K867" i="2"/>
  <c r="K218" i="2"/>
  <c r="K683" i="2"/>
  <c r="K663" i="2"/>
  <c r="K634" i="2"/>
  <c r="K280" i="2"/>
  <c r="K796" i="2"/>
  <c r="K917" i="2"/>
  <c r="K73" i="2"/>
  <c r="K961" i="2"/>
  <c r="K535" i="2"/>
  <c r="K842" i="2"/>
  <c r="K456" i="2"/>
  <c r="K868" i="2"/>
  <c r="K97" i="2"/>
  <c r="K74" i="2"/>
  <c r="K635" i="2"/>
  <c r="K583" i="2"/>
  <c r="K931" i="2"/>
  <c r="K612" i="2"/>
  <c r="K419" i="2"/>
  <c r="K536" i="2"/>
  <c r="K355" i="2"/>
  <c r="K894" i="2"/>
  <c r="K75" i="2"/>
  <c r="K57" i="2"/>
  <c r="K684" i="2"/>
  <c r="K636" i="2"/>
  <c r="K32" i="2"/>
  <c r="K895" i="2"/>
  <c r="K383" i="2"/>
  <c r="K128" i="2"/>
  <c r="K384" i="2"/>
  <c r="K990" i="2"/>
  <c r="K797" i="2"/>
  <c r="K823" i="2"/>
  <c r="K508" i="2"/>
  <c r="K129" i="2"/>
  <c r="K613" i="2"/>
  <c r="K182" i="2"/>
  <c r="K798" i="2"/>
  <c r="K614" i="2"/>
  <c r="K385" i="2"/>
  <c r="K420" i="2"/>
  <c r="K738" i="2"/>
  <c r="K932" i="2"/>
  <c r="K799" i="2"/>
  <c r="K537" i="2"/>
  <c r="K386" i="2"/>
  <c r="K158" i="2"/>
  <c r="K302" i="2"/>
  <c r="K58" i="2"/>
  <c r="K584" i="2"/>
  <c r="K824" i="2"/>
  <c r="K387" i="2"/>
  <c r="K356" i="2"/>
  <c r="K33" i="2"/>
  <c r="K388" i="2"/>
  <c r="K896" i="2"/>
  <c r="K585" i="2"/>
  <c r="K159" i="2"/>
  <c r="K739" i="2"/>
  <c r="K437" i="2"/>
  <c r="K800" i="2"/>
  <c r="K740" i="2"/>
  <c r="K962" i="2"/>
  <c r="K566" i="2"/>
  <c r="K897" i="2"/>
  <c r="K615" i="2"/>
  <c r="K10" i="2"/>
  <c r="K963" i="2"/>
  <c r="K964" i="2"/>
  <c r="K76" i="2"/>
  <c r="K77" i="2"/>
  <c r="K933" i="2"/>
  <c r="K934" i="2"/>
  <c r="K484" i="2"/>
  <c r="K11" i="2"/>
  <c r="K869" i="2"/>
  <c r="K509" i="2"/>
  <c r="K219" i="2"/>
  <c r="K485" i="2"/>
  <c r="K768" i="2"/>
  <c r="K538" i="2"/>
  <c r="K183" i="2"/>
  <c r="K130" i="2"/>
  <c r="K870" i="2"/>
  <c r="K131" i="2"/>
  <c r="K616" i="2"/>
  <c r="K357" i="2"/>
  <c r="K457" i="2"/>
  <c r="K220" i="2"/>
  <c r="K249" i="2"/>
  <c r="K539" i="2"/>
  <c r="K221" i="2"/>
  <c r="K741" i="2"/>
  <c r="K567" i="2"/>
  <c r="K184" i="2"/>
  <c r="K250" i="2"/>
  <c r="K281" i="2"/>
  <c r="K742" i="2"/>
  <c r="K222" i="2"/>
  <c r="K769" i="2"/>
  <c r="K330" i="2"/>
  <c r="K389" i="2"/>
  <c r="K303" i="2"/>
  <c r="K78" i="2"/>
  <c r="K871" i="2"/>
  <c r="K132" i="2"/>
  <c r="K965" i="2"/>
  <c r="K358" i="2"/>
  <c r="K98" i="2"/>
  <c r="K685" i="2"/>
  <c r="K801" i="2"/>
  <c r="K486" i="2"/>
  <c r="K843" i="2"/>
  <c r="K935" i="2"/>
  <c r="K802" i="2"/>
  <c r="K282" i="2"/>
  <c r="K390" i="2"/>
  <c r="K918" i="2"/>
  <c r="K12" i="2"/>
  <c r="K79" i="2"/>
  <c r="K717" i="2"/>
  <c r="K825" i="2"/>
  <c r="K872" i="2"/>
  <c r="K770" i="2"/>
  <c r="K510" i="2"/>
  <c r="K803" i="2"/>
  <c r="K637" i="2"/>
  <c r="K80" i="2"/>
  <c r="K223" i="2"/>
  <c r="K458" i="2"/>
  <c r="K804" i="2"/>
  <c r="K133" i="2"/>
  <c r="K966" i="2"/>
  <c r="K638" i="2"/>
  <c r="K487" i="2"/>
  <c r="K898" i="2"/>
  <c r="K304" i="2"/>
  <c r="K391" i="2"/>
  <c r="K617" i="2"/>
  <c r="K540" i="2"/>
  <c r="K700" i="2"/>
  <c r="K160" i="2"/>
  <c r="K392" i="2"/>
  <c r="K134" i="2"/>
  <c r="K331" i="2"/>
  <c r="K511" i="2"/>
  <c r="K99" i="2"/>
  <c r="K438" i="2"/>
  <c r="K967" i="2"/>
  <c r="K718" i="2"/>
  <c r="K135" i="2"/>
  <c r="K968" i="2"/>
  <c r="K161" i="2"/>
  <c r="K936" i="2"/>
  <c r="K439" i="2"/>
  <c r="K541" i="2"/>
  <c r="K512" i="2"/>
  <c r="K873" i="2"/>
  <c r="K13" i="2"/>
  <c r="K100" i="2"/>
  <c r="K874" i="2"/>
  <c r="K332" i="2"/>
  <c r="K618" i="2"/>
  <c r="K333" i="2"/>
  <c r="K899" i="2"/>
  <c r="K542" i="2"/>
  <c r="K459" i="2"/>
  <c r="K664" i="2"/>
  <c r="K875" i="2"/>
  <c r="K305" i="2"/>
  <c r="K743" i="2"/>
  <c r="K81" i="2"/>
  <c r="K543" i="2"/>
  <c r="K744" i="2"/>
  <c r="K251" i="2"/>
  <c r="K745" i="2"/>
  <c r="K306" i="2"/>
  <c r="K359" i="2"/>
  <c r="K544" i="2"/>
  <c r="K34" i="2"/>
  <c r="K252" i="2"/>
  <c r="K253" i="2"/>
  <c r="K545" i="2"/>
  <c r="K900" i="2"/>
  <c r="K826" i="2"/>
  <c r="K14" i="2"/>
  <c r="K307" i="2"/>
  <c r="K136" i="2"/>
  <c r="K746" i="2"/>
  <c r="K969" i="2"/>
  <c r="K101" i="2"/>
  <c r="K901" i="2"/>
  <c r="K991" i="2"/>
  <c r="K283" i="2"/>
  <c r="K162" i="2"/>
  <c r="K460" i="2"/>
  <c r="K970" i="2"/>
  <c r="K771" i="2"/>
  <c r="K546" i="2"/>
  <c r="K971" i="2"/>
  <c r="K937" i="2"/>
  <c r="K461" i="2"/>
  <c r="K686" i="2"/>
  <c r="K844" i="2"/>
  <c r="K185" i="2"/>
  <c r="K772" i="2"/>
  <c r="K284" i="2"/>
  <c r="K513" i="2"/>
  <c r="K992" i="2"/>
  <c r="K393" i="2"/>
  <c r="K687" i="2"/>
  <c r="K394" i="2"/>
  <c r="K102" i="2"/>
  <c r="K137" i="2"/>
  <c r="K421" i="2"/>
  <c r="K35" i="2"/>
  <c r="K972" i="2"/>
  <c r="K639" i="2"/>
  <c r="K773" i="2"/>
  <c r="K619" i="2"/>
  <c r="K224" i="2"/>
  <c r="K285" i="2"/>
  <c r="K440" i="2"/>
  <c r="K876" i="2"/>
  <c r="K665" i="2"/>
  <c r="K666" i="2"/>
  <c r="K919" i="2"/>
  <c r="K36" i="2"/>
  <c r="K103" i="2"/>
  <c r="K286" i="2"/>
  <c r="K845" i="2"/>
  <c r="K902" i="2"/>
  <c r="K225" i="2"/>
  <c r="K586" i="2"/>
  <c r="K3" i="2"/>
  <c r="K920" i="2"/>
  <c r="K620" i="2"/>
  <c r="K462" i="2"/>
  <c r="K701" i="2"/>
  <c r="K186" i="2"/>
  <c r="K547" i="2"/>
  <c r="K254" i="2"/>
  <c r="K422" i="2"/>
  <c r="K747" i="2"/>
  <c r="K587" i="2"/>
  <c r="K514" i="2"/>
  <c r="K138" i="2"/>
  <c r="K667" i="2"/>
  <c r="K226" i="2"/>
  <c r="K877" i="2"/>
  <c r="K395" i="2"/>
  <c r="K187" i="2"/>
  <c r="K163" i="2"/>
  <c r="K164" i="2"/>
  <c r="K37" i="2"/>
  <c r="K188" i="2"/>
  <c r="K938" i="2"/>
  <c r="K308" i="2"/>
  <c r="K463" i="2"/>
  <c r="K255" i="2"/>
  <c r="K256" i="2"/>
  <c r="K588" i="2"/>
  <c r="K515" i="2"/>
  <c r="K423" i="2"/>
  <c r="K640" i="2"/>
  <c r="K548" i="2"/>
  <c r="K668" i="2"/>
  <c r="K516" i="2"/>
  <c r="K939" i="2"/>
  <c r="K993" i="2"/>
  <c r="K227" i="2"/>
  <c r="K287" i="2"/>
  <c r="K589" i="2"/>
  <c r="K139" i="2"/>
  <c r="K257" i="2"/>
  <c r="K846" i="2"/>
  <c r="K15" i="2"/>
  <c r="K38" i="2"/>
  <c r="K719" i="2"/>
  <c r="K748" i="2"/>
  <c r="K189" i="2"/>
  <c r="K517" i="2"/>
  <c r="K488" i="2"/>
  <c r="K334" i="2"/>
  <c r="K228" i="2"/>
  <c r="K190" i="2"/>
  <c r="K568" i="2"/>
  <c r="K309" i="2"/>
  <c r="K165" i="2"/>
  <c r="K191" i="2"/>
  <c r="K641" i="2"/>
  <c r="K310" i="2"/>
  <c r="K258" i="2"/>
  <c r="K360" i="2"/>
  <c r="K569" i="2"/>
  <c r="K104" i="2"/>
  <c r="K105" i="2"/>
  <c r="K16" i="2"/>
  <c r="K441" i="2"/>
  <c r="K396" i="2"/>
  <c r="K774" i="2"/>
  <c r="K192" i="2"/>
  <c r="K166" i="2"/>
  <c r="K489" i="2"/>
  <c r="K549" i="2"/>
  <c r="K17" i="2"/>
  <c r="K903" i="2"/>
  <c r="K288" i="2"/>
  <c r="K397" i="2"/>
  <c r="K847" i="2"/>
  <c r="K229" i="2"/>
  <c r="K570" i="2"/>
  <c r="K621" i="2"/>
  <c r="K167" i="2"/>
  <c r="K18" i="2"/>
  <c r="K442" i="2"/>
  <c r="K940" i="2"/>
  <c r="K39" i="2"/>
  <c r="K259" i="2"/>
  <c r="K193" i="2"/>
  <c r="K260" i="2"/>
  <c r="K642" i="2"/>
  <c r="K827" i="2"/>
  <c r="K194" i="2"/>
  <c r="K702" i="2"/>
  <c r="K848" i="2"/>
  <c r="K669" i="2"/>
  <c r="K443" i="2"/>
  <c r="K140" i="2"/>
  <c r="K361" i="2"/>
  <c r="K749" i="2"/>
  <c r="K40" i="2"/>
  <c r="K775" i="2"/>
  <c r="K106" i="2"/>
  <c r="K776" i="2"/>
  <c r="K643" i="2"/>
  <c r="K777" i="2"/>
  <c r="K362" i="2"/>
  <c r="K904" i="2"/>
  <c r="K750" i="2"/>
  <c r="K195" i="2"/>
  <c r="K19" i="2"/>
  <c r="K261" i="2"/>
  <c r="K59" i="2"/>
  <c r="K82" i="2"/>
  <c r="K141" i="2"/>
  <c r="K424" i="2"/>
  <c r="K60" i="2"/>
  <c r="K751" i="2"/>
  <c r="K107" i="2"/>
  <c r="K688" i="2"/>
  <c r="K464" i="2"/>
  <c r="K550" i="2"/>
  <c r="K752" i="2"/>
  <c r="K622" i="2"/>
  <c r="K83" i="2"/>
  <c r="K196" i="2"/>
  <c r="K828" i="2"/>
  <c r="K623" i="2"/>
  <c r="K720" i="2"/>
  <c r="K590" i="2"/>
  <c r="K289" i="2"/>
  <c r="K363" i="2"/>
  <c r="K551" i="2"/>
  <c r="K973" i="2"/>
  <c r="K364" i="2"/>
  <c r="K703" i="2"/>
  <c r="K974" i="2"/>
  <c r="K878" i="2"/>
  <c r="K142" i="2"/>
  <c r="K805" i="2"/>
  <c r="K879" i="2"/>
  <c r="K721" i="2"/>
  <c r="K880" i="2"/>
  <c r="K168" i="2"/>
  <c r="K444" i="2"/>
  <c r="K197" i="2"/>
  <c r="K398" i="2"/>
  <c r="K591" i="2"/>
  <c r="K975" i="2"/>
  <c r="K704" i="2"/>
  <c r="K84" i="2"/>
  <c r="K85" i="2"/>
  <c r="K335" i="2"/>
  <c r="K644" i="2"/>
  <c r="K108" i="2"/>
  <c r="K518" i="2"/>
  <c r="K592" i="2"/>
  <c r="K169" i="2"/>
  <c r="K994" i="2"/>
  <c r="K593" i="2"/>
  <c r="K941" i="2"/>
  <c r="K976" i="2"/>
  <c r="K61" i="2"/>
  <c r="K336" i="2"/>
  <c r="K337" i="2"/>
  <c r="K806" i="2"/>
  <c r="K230" i="2"/>
  <c r="K778" i="2"/>
  <c r="K571" i="2"/>
  <c r="K425" i="2"/>
  <c r="K849" i="2"/>
  <c r="K109" i="2"/>
  <c r="K426" i="2"/>
  <c r="K399" i="2"/>
  <c r="K198" i="2"/>
  <c r="K921" i="2"/>
  <c r="K41" i="2"/>
  <c r="K779" i="2"/>
  <c r="K572" i="2"/>
  <c r="K199" i="2"/>
  <c r="K42" i="2"/>
  <c r="K519" i="2"/>
  <c r="K573" i="2"/>
  <c r="K780" i="2"/>
  <c r="K110" i="2"/>
  <c r="K111" i="2"/>
  <c r="K490" i="2"/>
  <c r="K86" i="2"/>
  <c r="K112" i="2"/>
  <c r="K87" i="2"/>
  <c r="K881" i="2"/>
  <c r="K231" i="2"/>
  <c r="K942" i="2"/>
  <c r="K365" i="2"/>
  <c r="K624" i="2"/>
  <c r="K829" i="2"/>
  <c r="K977" i="2"/>
  <c r="K366" i="2"/>
  <c r="K465" i="2"/>
  <c r="K262" i="2"/>
  <c r="K978" i="2"/>
  <c r="K689" i="2"/>
  <c r="K781" i="2"/>
  <c r="K905" i="2"/>
  <c r="K807" i="2"/>
  <c r="K143" i="2"/>
  <c r="K170" i="2"/>
  <c r="K200" i="2"/>
  <c r="K466" i="2"/>
  <c r="K491" i="2"/>
  <c r="K850" i="2"/>
  <c r="K62" i="2"/>
  <c r="K851" i="2"/>
  <c r="K113" i="2"/>
  <c r="K20" i="2"/>
  <c r="K21" i="2"/>
  <c r="K338" i="2"/>
  <c r="K43" i="2"/>
  <c r="K552" i="2"/>
  <c r="K144" i="2"/>
  <c r="K427" i="2"/>
  <c r="K705" i="2"/>
  <c r="K753" i="2"/>
  <c r="K171" i="2"/>
  <c r="K706" i="2"/>
  <c r="K594" i="2"/>
  <c r="K400" i="2"/>
  <c r="K290" i="2"/>
  <c r="K754" i="2"/>
  <c r="K808" i="2"/>
  <c r="K291" i="2"/>
  <c r="K492" i="2"/>
  <c r="K755" i="2"/>
  <c r="K882" i="2"/>
  <c r="K979" i="2"/>
  <c r="K520" i="2"/>
  <c r="K670" i="2"/>
  <c r="K574" i="2"/>
  <c r="K645" i="2"/>
  <c r="K595" i="2"/>
  <c r="K722" i="2"/>
  <c r="K646" i="2"/>
  <c r="K22" i="2"/>
  <c r="K553" i="2"/>
  <c r="K263" i="2"/>
  <c r="K232" i="2"/>
  <c r="K292" i="2"/>
  <c r="K809" i="2"/>
  <c r="K810" i="2"/>
  <c r="K995" i="2"/>
  <c r="K647" i="2"/>
  <c r="K996" i="2"/>
  <c r="K201" i="2"/>
  <c r="K943" i="2"/>
  <c r="K428" i="2"/>
  <c r="K63" i="2"/>
  <c r="K311" i="2"/>
  <c r="K401" i="2"/>
  <c r="K906" i="2"/>
  <c r="K293" i="2"/>
  <c r="K852" i="2"/>
  <c r="K264" i="2"/>
  <c r="K980" i="2"/>
  <c r="K145" i="2"/>
  <c r="K339" i="2"/>
  <c r="K64" i="2"/>
  <c r="K172" i="2"/>
  <c r="K467" i="2"/>
  <c r="K690" i="2"/>
  <c r="K429" i="2"/>
  <c r="K756" i="2"/>
  <c r="K23" i="2"/>
  <c r="K367" i="2"/>
  <c r="K883" i="2"/>
  <c r="K312" i="2"/>
  <c r="K402" i="2"/>
  <c r="K294" i="2"/>
  <c r="K313" i="2"/>
  <c r="K648" i="2"/>
  <c r="K521" i="2"/>
  <c r="K830" i="2"/>
  <c r="K997" i="2"/>
  <c r="K202" i="2"/>
  <c r="K671" i="2"/>
  <c r="K65" i="2"/>
  <c r="K233" i="2"/>
  <c r="K445" i="2"/>
  <c r="K884" i="2"/>
  <c r="K596" i="2"/>
  <c r="K944" i="2"/>
  <c r="K265" i="2"/>
  <c r="K625" i="2"/>
  <c r="K203" i="2"/>
  <c r="K446" i="2"/>
  <c r="K44" i="2"/>
  <c r="K234" i="2"/>
  <c r="K403" i="2"/>
  <c r="K24" i="2"/>
  <c r="K314" i="2"/>
  <c r="K88" i="2"/>
  <c r="K4" i="2"/>
  <c r="K447" i="2"/>
  <c r="K981" i="2"/>
  <c r="K782" i="2"/>
  <c r="K204" i="2"/>
  <c r="K522" i="2"/>
  <c r="K368" i="2"/>
  <c r="K523" i="2"/>
  <c r="K173" i="2"/>
  <c r="K114" i="2"/>
  <c r="K340" i="2"/>
  <c r="K554" i="2"/>
  <c r="K25" i="2"/>
  <c r="K493" i="2"/>
  <c r="K757" i="2"/>
  <c r="K672" i="2"/>
  <c r="K555" i="2"/>
  <c r="K369" i="2"/>
  <c r="K831" i="2"/>
  <c r="K597" i="2"/>
  <c r="K146" i="2"/>
  <c r="K205" i="2"/>
  <c r="K673" i="2"/>
  <c r="K691" i="2"/>
  <c r="K468" i="2"/>
  <c r="K404" i="2"/>
  <c r="K448" i="2"/>
  <c r="K174" i="2"/>
  <c r="K922" i="2"/>
  <c r="K998" i="2"/>
  <c r="K370" i="2"/>
  <c r="K783" i="2"/>
  <c r="K832" i="2"/>
  <c r="K315" i="2"/>
  <c r="K575" i="2"/>
  <c r="K853" i="2"/>
  <c r="K524" i="2"/>
  <c r="K707" i="2"/>
  <c r="K784" i="2"/>
  <c r="K598" i="2"/>
  <c r="K854" i="2"/>
  <c r="K758" i="2"/>
  <c r="K759" i="2"/>
  <c r="K115" i="2"/>
  <c r="K525" i="2"/>
  <c r="K811" i="2"/>
  <c r="K5" i="2"/>
  <c r="K576" i="2"/>
  <c r="K760" i="2"/>
  <c r="K649" i="2"/>
  <c r="K526" i="2"/>
  <c r="K26" i="2"/>
  <c r="K812" i="2"/>
  <c r="K405" i="2"/>
  <c r="K316" i="2"/>
  <c r="K577" i="2"/>
  <c r="K674" i="2"/>
  <c r="K761" i="2"/>
  <c r="K494" i="2"/>
  <c r="K692" i="2"/>
  <c r="K89" i="2"/>
  <c r="K693" i="2"/>
  <c r="K923" i="2"/>
  <c r="K723" i="2"/>
  <c r="K66" i="2"/>
  <c r="K855" i="2"/>
  <c r="K724" i="2"/>
  <c r="K406" i="2"/>
  <c r="K982" i="2"/>
  <c r="K856" i="2"/>
  <c r="K266" i="2"/>
  <c r="K945" i="2"/>
  <c r="K857" i="2"/>
  <c r="K90" i="2"/>
  <c r="K708" i="2"/>
  <c r="K907" i="2"/>
  <c r="K785" i="2"/>
  <c r="K267" i="2"/>
  <c r="K725" i="2"/>
  <c r="K556" i="2"/>
  <c r="K813" i="2"/>
  <c r="K116" i="2"/>
  <c r="K983" i="2"/>
  <c r="K317" i="2"/>
  <c r="K814" i="2"/>
  <c r="K495" i="2"/>
  <c r="K908" i="2"/>
  <c r="K885" i="2"/>
  <c r="K909" i="2"/>
  <c r="K833" i="2"/>
  <c r="K175" i="2"/>
  <c r="K650" i="2"/>
  <c r="K341" i="2"/>
  <c r="K91" i="2"/>
  <c r="K858" i="2"/>
  <c r="K709" i="2"/>
  <c r="K342" i="2"/>
  <c r="K469" i="2"/>
  <c r="K318" i="2"/>
  <c r="K786" i="2"/>
  <c r="K92" i="2"/>
  <c r="K235" i="2"/>
  <c r="K527" i="2"/>
  <c r="K726" i="2"/>
  <c r="K371" i="2"/>
  <c r="K694" i="2"/>
  <c r="K999" i="2"/>
  <c r="K449" i="2"/>
  <c r="K528" i="2"/>
  <c r="K675" i="2"/>
  <c r="K343" i="2"/>
  <c r="K147" i="2"/>
  <c r="K834" i="2"/>
  <c r="K206" i="2"/>
  <c r="K45" i="2"/>
  <c r="K117" i="2"/>
  <c r="K46" i="2"/>
  <c r="K651" i="2"/>
  <c r="K695" i="2"/>
  <c r="K727" i="2"/>
  <c r="K470" i="2"/>
  <c r="K471" i="2"/>
  <c r="K728" i="2"/>
  <c r="K924" i="2"/>
  <c r="K372" i="2"/>
  <c r="K148" i="2"/>
  <c r="K925" i="2"/>
  <c r="K207" i="2"/>
  <c r="K599" i="2"/>
  <c r="K600" i="2"/>
  <c r="K729" i="2"/>
  <c r="K450" i="2"/>
  <c r="K886" i="2"/>
  <c r="K47" i="2"/>
  <c r="K926" i="2"/>
  <c r="K529" i="2"/>
  <c r="K626" i="2"/>
  <c r="K48" i="2"/>
  <c r="K984" i="2"/>
  <c r="K762" i="2"/>
  <c r="K859" i="2"/>
  <c r="K268" i="2"/>
  <c r="K710" i="2"/>
  <c r="K557" i="2"/>
  <c r="K496" i="2"/>
  <c r="K407" i="2"/>
  <c r="K27" i="2"/>
  <c r="K946" i="2"/>
  <c r="K787" i="2"/>
  <c r="K319" i="2"/>
  <c r="K472" i="2"/>
  <c r="K473" i="2"/>
  <c r="K1000" i="2"/>
  <c r="K815" i="2"/>
  <c r="K788" i="2"/>
  <c r="K789" i="2"/>
  <c r="K149" i="2"/>
  <c r="K269" i="2"/>
  <c r="K236" i="2"/>
  <c r="K67" i="2"/>
  <c r="K816" i="2"/>
  <c r="K790" i="2"/>
  <c r="K451" i="2"/>
  <c r="K497" i="2"/>
  <c r="K711" i="2"/>
  <c r="K320" i="2"/>
  <c r="K498" i="2"/>
  <c r="K150" i="2"/>
  <c r="K208" i="2"/>
  <c r="K209" i="2"/>
  <c r="K474" i="2"/>
  <c r="K118" i="2"/>
  <c r="K910" i="2"/>
  <c r="K947" i="2"/>
  <c r="K860" i="2"/>
  <c r="K344" i="2"/>
  <c r="K1001" i="2"/>
  <c r="K652" i="2"/>
  <c r="K985" i="2"/>
  <c r="K119" i="2"/>
  <c r="K601" i="2"/>
  <c r="K373" i="2"/>
  <c r="K696" i="2"/>
  <c r="K49" i="2"/>
  <c r="K835" i="2"/>
  <c r="K578" i="2"/>
  <c r="K836" i="2"/>
  <c r="K475" i="2"/>
  <c r="K237" i="2"/>
  <c r="K210" i="2"/>
  <c r="K176" i="2"/>
  <c r="K986" i="2"/>
  <c r="K93" i="2"/>
  <c r="K238" i="2"/>
  <c r="K558" i="2"/>
  <c r="K452" i="2"/>
  <c r="K374" i="2"/>
  <c r="K321" i="2"/>
  <c r="K602" i="2"/>
  <c r="K430" i="2"/>
  <c r="K499" i="2"/>
  <c r="K730" i="2"/>
  <c r="K500" i="2"/>
  <c r="K559" i="2"/>
  <c r="K603" i="2"/>
  <c r="K345" i="2"/>
  <c r="K346" i="2"/>
  <c r="K151" i="2"/>
  <c r="K887" i="2"/>
  <c r="K948" i="2"/>
  <c r="K817" i="2"/>
  <c r="K949" i="2"/>
  <c r="K239" i="2"/>
  <c r="K375" i="2"/>
  <c r="K579" i="2"/>
  <c r="K408" i="2"/>
  <c r="K270" i="2"/>
  <c r="K530" i="2"/>
  <c r="K271" i="2"/>
  <c r="K50" i="2"/>
  <c r="K272" i="2"/>
  <c r="K950" i="2"/>
  <c r="K501" i="2"/>
  <c r="K604" i="2"/>
  <c r="K911" i="2"/>
  <c r="K409" i="2"/>
  <c r="K605" i="2"/>
  <c r="K791" i="2"/>
  <c r="K861" i="2"/>
  <c r="K273" i="2"/>
  <c r="K697" i="2"/>
  <c r="K431" i="2"/>
  <c r="K376" i="2"/>
  <c r="K322" i="2"/>
  <c r="K68" i="2"/>
  <c r="K502" i="2"/>
  <c r="K951" i="2"/>
  <c r="K51" i="2"/>
  <c r="K987" i="2"/>
  <c r="K410" i="2"/>
  <c r="K531" i="2"/>
  <c r="K560" i="2"/>
  <c r="K411" i="2"/>
  <c r="K888" i="2"/>
  <c r="K606" i="2"/>
  <c r="K818" i="2"/>
  <c r="K763" i="2"/>
  <c r="K28" i="2"/>
  <c r="K295" i="2"/>
  <c r="K347" i="2"/>
  <c r="K377" i="2"/>
  <c r="K412" i="2"/>
  <c r="K792" i="2"/>
  <c r="K927" i="2"/>
  <c r="K928" i="2"/>
  <c r="K348" i="2"/>
  <c r="K819" i="2"/>
  <c r="K952" i="2"/>
  <c r="K889" i="2"/>
  <c r="K561" i="2"/>
  <c r="K731" i="2"/>
  <c r="K532" i="2"/>
  <c r="K793" i="2"/>
  <c r="K94" i="2"/>
  <c r="K607" i="2"/>
  <c r="K211" i="2"/>
  <c r="K953" i="2"/>
  <c r="K653" i="2"/>
  <c r="K29" i="2"/>
  <c r="K732" i="2"/>
  <c r="K349" i="2"/>
  <c r="K712" i="2"/>
  <c r="K654" i="2"/>
  <c r="K6" i="2"/>
  <c r="K676" i="2"/>
  <c r="K503" i="2"/>
  <c r="K476" i="2"/>
  <c r="K862" i="2"/>
  <c r="Q7" i="2"/>
  <c r="Q6" i="2"/>
  <c r="Q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E40761-3955-43DB-B70E-5ABADDA18F1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<sst xmlns="http://schemas.openxmlformats.org/spreadsheetml/2006/main" count="8239" uniqueCount="1124">
  <si>
    <t>Order ID</t>
  </si>
  <si>
    <t>Product Name</t>
  </si>
  <si>
    <t>Category</t>
  </si>
  <si>
    <t>Price (INR)</t>
  </si>
  <si>
    <t>Quantity Sold</t>
  </si>
  <si>
    <t>Total Sales (INR)</t>
  </si>
  <si>
    <t>Order Date</t>
  </si>
  <si>
    <t>Payment Method</t>
  </si>
  <si>
    <t>Customer Rating</t>
  </si>
  <si>
    <t>ORD00001</t>
  </si>
  <si>
    <t>Educational Book</t>
  </si>
  <si>
    <t>Books</t>
  </si>
  <si>
    <t>Debit Card</t>
  </si>
  <si>
    <t>ORD00002</t>
  </si>
  <si>
    <t>Jeans</t>
  </si>
  <si>
    <t>Clothing</t>
  </si>
  <si>
    <t>UPI</t>
  </si>
  <si>
    <t>ORD00003</t>
  </si>
  <si>
    <t>Face Cream</t>
  </si>
  <si>
    <t>Beauty</t>
  </si>
  <si>
    <t>ORD00004</t>
  </si>
  <si>
    <t>Smartwatch</t>
  </si>
  <si>
    <t>Electronics</t>
  </si>
  <si>
    <t>ORD00005</t>
  </si>
  <si>
    <t>Cookware Set</t>
  </si>
  <si>
    <t>Home &amp; Kitchen</t>
  </si>
  <si>
    <t>ORD00006</t>
  </si>
  <si>
    <t>Mixer Grinder</t>
  </si>
  <si>
    <t>Wallet</t>
  </si>
  <si>
    <t>ORD00007</t>
  </si>
  <si>
    <t>Sneakers</t>
  </si>
  <si>
    <t>ORD00008</t>
  </si>
  <si>
    <t>Table Lamp</t>
  </si>
  <si>
    <t>ORD00009</t>
  </si>
  <si>
    <t>Jacket</t>
  </si>
  <si>
    <t>ORD00010</t>
  </si>
  <si>
    <t>Tablet</t>
  </si>
  <si>
    <t>ORD00011</t>
  </si>
  <si>
    <t>Perfume</t>
  </si>
  <si>
    <t>ORD00012</t>
  </si>
  <si>
    <t>Lipstick</t>
  </si>
  <si>
    <t>ORD00013</t>
  </si>
  <si>
    <t>COD</t>
  </si>
  <si>
    <t>ORD00014</t>
  </si>
  <si>
    <t>Smartphone</t>
  </si>
  <si>
    <t>ORD00015</t>
  </si>
  <si>
    <t>Comic Book</t>
  </si>
  <si>
    <t>Credit Card</t>
  </si>
  <si>
    <t>ORD00016</t>
  </si>
  <si>
    <t>ORD00017</t>
  </si>
  <si>
    <t>Cookbook</t>
  </si>
  <si>
    <t>ORD00018</t>
  </si>
  <si>
    <t>ORD00019</t>
  </si>
  <si>
    <t>ORD00020</t>
  </si>
  <si>
    <t>T-Shirt</t>
  </si>
  <si>
    <t>ORD00021</t>
  </si>
  <si>
    <t>Net Banking</t>
  </si>
  <si>
    <t>ORD00022</t>
  </si>
  <si>
    <t>ORD00023</t>
  </si>
  <si>
    <t>ORD00024</t>
  </si>
  <si>
    <t>Bedsheet</t>
  </si>
  <si>
    <t>ORD00025</t>
  </si>
  <si>
    <t>ORD00026</t>
  </si>
  <si>
    <t>ORD00027</t>
  </si>
  <si>
    <t>ORD00028</t>
  </si>
  <si>
    <t>ORD00029</t>
  </si>
  <si>
    <t>ORD00030</t>
  </si>
  <si>
    <t>ORD00031</t>
  </si>
  <si>
    <t>ORD00032</t>
  </si>
  <si>
    <t>Hair Dryer</t>
  </si>
  <si>
    <t>ORD00033</t>
  </si>
  <si>
    <t>Laptop</t>
  </si>
  <si>
    <t>ORD00034</t>
  </si>
  <si>
    <t>ORD00035</t>
  </si>
  <si>
    <t>ORD00036</t>
  </si>
  <si>
    <t>Shampoo</t>
  </si>
  <si>
    <t>ORD00037</t>
  </si>
  <si>
    <t>ORD00038</t>
  </si>
  <si>
    <t>ORD00039</t>
  </si>
  <si>
    <t>ORD00040</t>
  </si>
  <si>
    <t>ORD00041</t>
  </si>
  <si>
    <t>ORD00042</t>
  </si>
  <si>
    <t>Headphones</t>
  </si>
  <si>
    <t>ORD00043</t>
  </si>
  <si>
    <t>ORD00044</t>
  </si>
  <si>
    <t>ORD00045</t>
  </si>
  <si>
    <t>ORD00046</t>
  </si>
  <si>
    <t>ORD00047</t>
  </si>
  <si>
    <t>ORD00048</t>
  </si>
  <si>
    <t>ORD00049</t>
  </si>
  <si>
    <t>ORD00050</t>
  </si>
  <si>
    <t>ORD00051</t>
  </si>
  <si>
    <t>ORD00052</t>
  </si>
  <si>
    <t>Fiction Novel</t>
  </si>
  <si>
    <t>ORD00053</t>
  </si>
  <si>
    <t>ORD00054</t>
  </si>
  <si>
    <t>ORD00055</t>
  </si>
  <si>
    <t>ORD00056</t>
  </si>
  <si>
    <t>ORD00057</t>
  </si>
  <si>
    <t>ORD00058</t>
  </si>
  <si>
    <t>Self-Help Book</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</si>
  <si>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</si>
  <si>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</si>
  <si>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</si>
  <si>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</si>
  <si>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</si>
  <si>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</si>
  <si>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</si>
  <si>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</si>
  <si>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</si>
  <si>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</si>
  <si>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</si>
  <si>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</si>
  <si>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</si>
  <si>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</si>
  <si>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</si>
  <si>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</si>
  <si>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</si>
  <si>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</si>
  <si>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</si>
  <si>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Sofa Cover</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</si>
  <si>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</si>
  <si>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</si>
  <si>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</si>
  <si>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</si>
  <si>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</si>
  <si>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</si>
  <si>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</si>
  <si>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</si>
  <si>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</si>
  <si>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</si>
  <si>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</si>
  <si>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</si>
  <si>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</si>
  <si>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</si>
  <si>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</si>
  <si>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</si>
  <si>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</si>
  <si>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</si>
  <si>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</si>
  <si>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</si>
  <si>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</si>
  <si>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</si>
  <si>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</si>
  <si>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</si>
  <si>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</si>
  <si>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</si>
  <si>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</si>
  <si>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</si>
  <si>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</si>
  <si>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</si>
  <si>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Dress</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</si>
  <si>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</si>
  <si>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</si>
  <si>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</si>
  <si>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</si>
  <si>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</si>
  <si>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</si>
  <si>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</si>
  <si>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</si>
  <si>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</si>
  <si>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</si>
  <si>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</si>
  <si>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</si>
  <si>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</si>
  <si>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</si>
  <si>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</si>
  <si>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</si>
  <si>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</si>
  <si>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</si>
  <si>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</si>
  <si>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</si>
  <si>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</si>
  <si>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</si>
  <si>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</si>
  <si>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</si>
  <si>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</si>
  <si>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</si>
  <si>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</si>
  <si>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</si>
  <si>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</si>
  <si>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</si>
  <si>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</si>
  <si>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</si>
  <si>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</si>
  <si>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</si>
  <si>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</si>
  <si>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</si>
  <si>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</si>
  <si>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</si>
  <si>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</si>
  <si>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</si>
  <si>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</si>
  <si>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</si>
  <si>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</si>
  <si>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</si>
  <si>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</si>
  <si>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</si>
  <si>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</si>
  <si>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</si>
  <si>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</si>
  <si>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</si>
  <si>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</si>
  <si>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</si>
  <si>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</si>
  <si>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</si>
  <si>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</si>
  <si>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</si>
  <si>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</si>
  <si>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</si>
  <si>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</si>
  <si>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</si>
  <si>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</si>
  <si>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</si>
  <si>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</si>
  <si>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</si>
  <si>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</si>
  <si>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</si>
  <si>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</si>
  <si>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</si>
  <si>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</si>
  <si>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</si>
  <si>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</si>
  <si>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</si>
  <si>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</si>
  <si>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</si>
  <si>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</si>
  <si>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</si>
  <si>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</si>
  <si>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</si>
  <si>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</si>
  <si>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</si>
  <si>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</si>
  <si>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</si>
  <si>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</si>
  <si>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</si>
  <si>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</si>
  <si>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</si>
  <si>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</si>
  <si>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</si>
  <si>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</si>
  <si>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</si>
  <si>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</si>
  <si>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</si>
  <si>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</si>
  <si>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</si>
  <si>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</si>
  <si>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</si>
  <si>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</si>
  <si>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</si>
  <si>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</si>
  <si>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</si>
  <si>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</si>
  <si>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</si>
  <si>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</si>
  <si>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</si>
  <si>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</si>
  <si>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</si>
  <si>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</si>
  <si>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</si>
  <si>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</si>
  <si>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</si>
  <si>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</si>
  <si>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</si>
  <si>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</si>
  <si>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</si>
  <si>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</si>
  <si>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</si>
  <si>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</si>
  <si>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</si>
  <si>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</si>
  <si>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</si>
  <si>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</si>
  <si>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</si>
  <si>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</si>
  <si>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</si>
  <si>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</si>
  <si>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</si>
  <si>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</si>
  <si>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</si>
  <si>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</si>
  <si>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</si>
  <si>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</si>
  <si>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</si>
  <si>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</si>
  <si>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</si>
  <si>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</si>
  <si>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</si>
  <si>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</si>
  <si>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</si>
  <si>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</si>
  <si>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</si>
  <si>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</si>
  <si>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</si>
  <si>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</si>
  <si>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</si>
  <si>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</si>
  <si>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</si>
  <si>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</si>
  <si>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</si>
  <si>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</si>
  <si>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</si>
  <si>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</si>
  <si>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</si>
  <si>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</si>
  <si>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</si>
  <si>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</si>
  <si>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</si>
  <si>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</si>
  <si>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</si>
  <si>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</si>
  <si>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</si>
  <si>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</si>
  <si>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</si>
  <si>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</si>
  <si>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</si>
  <si>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</si>
  <si>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</si>
  <si>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</si>
  <si>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</si>
  <si>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</si>
  <si>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</si>
  <si>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</si>
  <si>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</si>
  <si>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</si>
  <si>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</si>
  <si>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</si>
  <si>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</si>
  <si>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</si>
  <si>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</si>
  <si>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</si>
  <si>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</si>
  <si>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</si>
  <si>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</si>
  <si>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</si>
  <si>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</si>
  <si>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</si>
  <si>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</si>
  <si>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</si>
  <si>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</si>
  <si>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</si>
  <si>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</si>
  <si>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</si>
  <si>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</si>
  <si>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</si>
  <si>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</si>
  <si>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</si>
  <si>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</si>
  <si>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</si>
  <si>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</si>
  <si>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</si>
  <si>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</si>
  <si>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</si>
  <si>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</si>
  <si>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</si>
  <si>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</si>
  <si>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</si>
  <si>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</si>
  <si>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</si>
  <si>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</si>
  <si>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</si>
  <si>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</si>
  <si>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</si>
  <si>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</si>
  <si>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</si>
  <si>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</si>
  <si>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</si>
  <si>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</si>
  <si>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</si>
  <si>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</si>
  <si>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</si>
  <si>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</si>
  <si>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</si>
  <si>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</si>
  <si>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</si>
  <si>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</si>
  <si>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</si>
  <si>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</si>
  <si>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</si>
  <si>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</si>
  <si>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</si>
  <si>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</si>
  <si>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</si>
  <si>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</si>
  <si>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</si>
  <si>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</si>
  <si>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</si>
  <si>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</si>
  <si>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</si>
  <si>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</si>
  <si>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</si>
  <si>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</si>
  <si>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</si>
  <si>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</si>
  <si>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</si>
  <si>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</si>
  <si>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</si>
  <si>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</si>
  <si>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</si>
  <si>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</si>
  <si>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</si>
  <si>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</si>
  <si>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</si>
  <si>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</si>
  <si>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</si>
  <si>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</si>
  <si>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</si>
  <si>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</si>
  <si>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</si>
  <si>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</si>
  <si>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</si>
  <si>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</si>
  <si>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</si>
  <si>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</si>
  <si>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</si>
  <si>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</si>
  <si>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</si>
  <si>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</si>
  <si>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</si>
  <si>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</si>
  <si>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</si>
  <si>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</si>
  <si>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</si>
  <si>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</si>
  <si>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</si>
  <si>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</si>
  <si>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</si>
  <si>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</si>
  <si>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</si>
  <si>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</si>
  <si>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</si>
  <si>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</si>
  <si>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</si>
  <si>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</si>
  <si>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</si>
  <si>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</si>
  <si>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</si>
  <si>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</si>
  <si>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</si>
  <si>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</si>
  <si>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</si>
  <si>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</si>
  <si>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</si>
  <si>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</si>
  <si>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</si>
  <si>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</si>
  <si>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</si>
  <si>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</si>
  <si>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</si>
  <si>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</si>
  <si>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</si>
  <si>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</si>
  <si>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</si>
  <si>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</si>
  <si>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</si>
  <si>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</si>
  <si>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</si>
  <si>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</si>
  <si>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</si>
  <si>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</si>
  <si>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</si>
  <si>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</si>
  <si>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</si>
  <si>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</si>
  <si>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</si>
  <si>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</si>
  <si>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</si>
  <si>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</si>
  <si>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</si>
  <si>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</si>
  <si>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</si>
  <si>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</si>
  <si>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</si>
  <si>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</si>
  <si>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</si>
  <si>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</si>
  <si>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</si>
  <si>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</si>
  <si>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</si>
  <si>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</si>
  <si>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</si>
  <si>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</si>
  <si>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</si>
  <si>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</si>
  <si>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</si>
  <si>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</si>
  <si>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</si>
  <si>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</si>
  <si>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</si>
  <si>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</si>
  <si>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</si>
  <si>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</si>
  <si>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</si>
  <si>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</si>
  <si>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</si>
  <si>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</si>
  <si>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</si>
  <si>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</si>
  <si>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</si>
  <si>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</si>
  <si>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</si>
  <si>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</si>
  <si>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</si>
  <si>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</si>
  <si>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</si>
  <si>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</si>
  <si>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</si>
  <si>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</si>
  <si>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</si>
  <si>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</si>
  <si>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</si>
  <si>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</si>
  <si>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</si>
  <si>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</si>
  <si>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</si>
  <si>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</si>
  <si>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</si>
  <si>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</si>
  <si>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</si>
  <si>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</si>
  <si>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</si>
  <si>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</si>
  <si>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</si>
  <si>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</si>
  <si>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</si>
  <si>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</si>
  <si>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</si>
  <si>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</si>
  <si>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</si>
  <si>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</si>
  <si>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</si>
  <si>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</si>
  <si>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</si>
  <si>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</si>
  <si>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</si>
  <si>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</si>
  <si>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</si>
  <si>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</si>
  <si>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</si>
  <si>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</si>
  <si>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</si>
  <si>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</si>
  <si>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</si>
  <si>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</si>
  <si>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</si>
  <si>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</si>
  <si>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</si>
  <si>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</si>
  <si>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</si>
  <si>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</si>
  <si>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</si>
  <si>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</si>
  <si>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</si>
  <si>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</si>
  <si>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</si>
  <si>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</si>
  <si>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</si>
  <si>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</si>
  <si>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</si>
  <si>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</si>
  <si>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</si>
  <si>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</si>
  <si>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</si>
  <si>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</si>
  <si>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</si>
  <si>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</si>
  <si>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</si>
  <si>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</si>
  <si>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</si>
  <si>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</si>
  <si>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</si>
  <si>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</si>
  <si>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</si>
  <si>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</si>
  <si>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</si>
  <si>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</si>
  <si>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</si>
  <si>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</si>
  <si>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</si>
  <si>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</si>
  <si>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</si>
  <si>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</si>
  <si>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</si>
  <si>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</si>
  <si>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</si>
  <si>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</si>
  <si>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</si>
  <si>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</si>
  <si>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</si>
  <si>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</si>
  <si>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</si>
  <si>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</si>
  <si>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</si>
  <si>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</si>
  <si>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</si>
  <si>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</si>
  <si>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</si>
  <si>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</si>
  <si>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</si>
  <si>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</si>
  <si>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</si>
  <si>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</si>
  <si>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</si>
  <si>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</si>
  <si>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</si>
  <si>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</si>
  <si>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</si>
  <si>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</si>
  <si>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</si>
  <si>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</si>
  <si>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</si>
  <si>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</si>
  <si>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</si>
  <si>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</si>
  <si>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</si>
  <si>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</si>
  <si>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</si>
  <si>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</si>
  <si>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</si>
  <si>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</si>
  <si>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</si>
  <si>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</si>
  <si>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</si>
  <si>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</si>
  <si>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</si>
  <si>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</si>
  <si>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</si>
  <si>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</si>
  <si>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</si>
  <si>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</si>
  <si>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</si>
  <si>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</si>
  <si>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</si>
  <si>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</si>
  <si>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</si>
  <si>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</si>
  <si>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</si>
  <si>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</si>
  <si>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</si>
  <si>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</si>
  <si>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</si>
  <si>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</si>
  <si>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</si>
  <si>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</si>
  <si>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</si>
  <si>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</si>
  <si>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</si>
  <si>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</si>
  <si>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</si>
  <si>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</si>
  <si>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</si>
  <si>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</si>
  <si>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</si>
  <si>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</si>
  <si>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</si>
  <si>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</si>
  <si>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</si>
  <si>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</si>
  <si>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</si>
  <si>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</si>
  <si>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</si>
  <si>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</si>
  <si>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</si>
  <si>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</si>
  <si>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</si>
  <si>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</si>
  <si>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</si>
  <si>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</si>
  <si>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</si>
  <si>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</si>
  <si>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</si>
  <si>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</si>
  <si>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</si>
  <si>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</si>
  <si>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</si>
  <si>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</si>
  <si>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</si>
  <si>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</si>
  <si>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</si>
  <si>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</si>
  <si>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</si>
  <si>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</si>
  <si>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</si>
  <si>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</si>
  <si>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</si>
  <si>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</si>
  <si>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</si>
  <si>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</si>
  <si>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</si>
  <si>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</si>
  <si>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</si>
  <si>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</si>
  <si>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</si>
  <si>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</si>
  <si>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</si>
  <si>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</si>
  <si>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</si>
  <si>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</si>
  <si>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</si>
  <si>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</si>
  <si>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</si>
  <si>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</si>
  <si>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</si>
  <si>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</si>
  <si>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</si>
  <si>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</si>
  <si>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</si>
  <si>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</si>
  <si>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</si>
  <si>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</si>
  <si>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</si>
  <si>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</si>
  <si>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</si>
  <si>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</si>
  <si>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</si>
  <si>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</si>
  <si>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</si>
  <si>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</si>
  <si>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</si>
  <si>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</si>
  <si>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</si>
  <si>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</si>
  <si>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</si>
  <si>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</si>
  <si>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</si>
  <si>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</si>
  <si>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</si>
  <si>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</si>
  <si>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</si>
  <si>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</si>
  <si>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</si>
  <si>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</si>
  <si>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</si>
  <si>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</si>
  <si>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</si>
  <si>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</si>
  <si>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</si>
  <si>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</si>
  <si>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</si>
  <si>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</si>
  <si>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</si>
  <si>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</si>
  <si>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</si>
  <si>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</si>
  <si>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</si>
  <si>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</si>
  <si>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</si>
  <si>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</si>
  <si>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</si>
  <si>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</si>
  <si>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</si>
  <si>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</si>
  <si>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</si>
  <si>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</si>
  <si>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</si>
  <si>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</si>
  <si>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</si>
  <si>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</si>
  <si>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</si>
  <si>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</si>
  <si>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</si>
  <si>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</si>
  <si>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</si>
  <si>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</si>
  <si>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</si>
  <si>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</si>
  <si>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</si>
  <si>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</si>
  <si>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</si>
  <si>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</si>
  <si>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</si>
  <si>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</si>
  <si>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</si>
  <si>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</si>
  <si>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</si>
  <si>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</si>
  <si>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</si>
  <si>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</si>
  <si>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</si>
  <si>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</si>
  <si>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</si>
  <si>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</si>
  <si>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</si>
  <si>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</si>
  <si>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</si>
  <si>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</si>
  <si>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</si>
  <si>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</si>
  <si>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</si>
  <si>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</si>
  <si>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</si>
  <si>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</si>
  <si>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</si>
  <si>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</si>
  <si>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</si>
  <si>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</si>
  <si>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</si>
  <si>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</si>
  <si>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</si>
  <si>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</si>
  <si>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</si>
  <si>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</si>
  <si>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</si>
  <si>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</si>
  <si>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</si>
  <si>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</si>
  <si>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</si>
  <si>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</si>
  <si>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</si>
  <si>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</si>
  <si>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</si>
  <si>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</si>
  <si>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</si>
  <si>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</si>
  <si>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</si>
  <si>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</si>
  <si>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</si>
  <si>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</si>
  <si>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</si>
  <si>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</si>
  <si>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</si>
  <si>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</si>
  <si>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</si>
  <si>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</si>
  <si>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</si>
  <si>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</si>
  <si>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</si>
  <si>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</si>
  <si>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</si>
  <si>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</si>
  <si>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</si>
  <si>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</si>
  <si>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</si>
  <si>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</si>
  <si>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</si>
  <si>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</si>
  <si>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</si>
  <si>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</si>
  <si>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</si>
  <si>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</si>
  <si>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</si>
  <si>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</si>
  <si>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</si>
  <si>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</si>
  <si>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</si>
  <si>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</si>
  <si>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</si>
  <si>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</si>
  <si>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</si>
  <si>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</si>
  <si>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</si>
  <si>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</si>
  <si>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</si>
  <si>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</si>
  <si>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</si>
  <si>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</si>
  <si>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</si>
  <si>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</si>
  <si>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</si>
  <si>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</si>
  <si>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</si>
  <si>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</si>
  <si>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</si>
  <si>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</si>
  <si>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</si>
  <si>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</si>
  <si>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</si>
  <si>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</si>
  <si>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</si>
  <si>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</si>
  <si>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</si>
  <si>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</si>
  <si>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</si>
  <si>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</si>
  <si>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</si>
  <si>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</si>
  <si>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</si>
  <si>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</si>
  <si>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</si>
  <si>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</si>
  <si>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</si>
  <si>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</si>
  <si>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</si>
  <si>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</si>
  <si>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</si>
  <si>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</si>
  <si>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</si>
  <si>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</si>
  <si>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</si>
  <si>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</si>
  <si>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</si>
  <si>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</si>
  <si>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</si>
  <si>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</si>
  <si>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</si>
  <si>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</si>
  <si>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</si>
  <si>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</si>
  <si>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</si>
  <si>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</si>
  <si>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</si>
  <si>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</si>
  <si>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</si>
  <si>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</si>
  <si>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</si>
  <si>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</si>
  <si>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</si>
  <si>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</si>
  <si>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</si>
  <si>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</si>
  <si>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</si>
  <si>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</si>
  <si>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</si>
  <si>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</si>
  <si>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</si>
  <si>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</si>
  <si>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</si>
  <si>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</si>
  <si>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</si>
  <si>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</si>
  <si>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</si>
  <si>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</si>
  <si>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</si>
  <si>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</si>
  <si>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</si>
  <si>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</si>
  <si>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</si>
  <si>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</si>
  <si>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</si>
  <si>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</si>
  <si>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</si>
  <si>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</si>
  <si>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</si>
  <si>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</si>
  <si>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</si>
  <si>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</si>
  <si>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</si>
  <si>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</si>
  <si>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</si>
  <si>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</si>
  <si>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</si>
  <si>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</si>
  <si>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</si>
  <si>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</si>
  <si>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</si>
  <si>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</si>
  <si>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</si>
  <si>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</si>
  <si>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</si>
  <si>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</si>
  <si>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</si>
  <si>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</si>
  <si>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</si>
  <si>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</si>
  <si>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</si>
  <si>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</si>
  <si>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</si>
  <si>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</si>
  <si>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</si>
  <si>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</si>
  <si>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</si>
  <si>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</si>
  <si>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</si>
  <si>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</si>
  <si>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</si>
  <si>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</si>
  <si>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</si>
  <si>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</si>
  <si>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</si>
  <si>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</si>
  <si>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</si>
  <si>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</si>
  <si>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</si>
  <si>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</si>
  <si>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</si>
  <si>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</si>
  <si>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</si>
  <si>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</si>
  <si>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</si>
  <si>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</si>
  <si>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</si>
  <si>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</si>
  <si>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</si>
  <si>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</si>
  <si>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</si>
  <si>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</si>
  <si>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</si>
  <si>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</si>
  <si>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</si>
  <si>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</si>
  <si>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</si>
  <si>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</si>
  <si>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</si>
  <si>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</si>
  <si>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</si>
  <si>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</si>
  <si>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</si>
  <si>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</si>
  <si>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</si>
  <si>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</si>
  <si>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</si>
  <si>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</si>
  <si>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</si>
  <si>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</si>
  <si>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</si>
  <si>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</si>
  <si>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</si>
  <si>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</si>
  <si>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</si>
  <si>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</si>
  <si>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</si>
  <si>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</si>
  <si>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</si>
  <si>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</si>
  <si>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</si>
  <si>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</si>
  <si>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</si>
  <si>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</si>
  <si>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</si>
  <si>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</si>
  <si>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</si>
  <si>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</si>
  <si>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</si>
  <si>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</si>
  <si>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</si>
  <si>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</si>
  <si>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</si>
  <si>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</si>
  <si>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</si>
  <si>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</si>
  <si>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</si>
  <si>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</si>
  <si>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</si>
  <si>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</si>
  <si>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</si>
  <si>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</si>
  <si>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</si>
  <si>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</si>
  <si>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</si>
  <si>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</si>
  <si>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</si>
  <si>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</si>
  <si>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</si>
  <si>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</si>
  <si>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</si>
  <si>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QUESTION NUMBER</t>
  </si>
  <si>
    <t>ANSWERS</t>
  </si>
  <si>
    <t>EDUCATIONAL BOOK</t>
  </si>
  <si>
    <t>BOOKS</t>
  </si>
  <si>
    <t>DEBIT CARD</t>
  </si>
  <si>
    <t>JEANS</t>
  </si>
  <si>
    <t>CLOTHING</t>
  </si>
  <si>
    <t>FACE CREAM</t>
  </si>
  <si>
    <t>BEAUTY</t>
  </si>
  <si>
    <t>SMARTWATCH</t>
  </si>
  <si>
    <t>ELECTRONICS</t>
  </si>
  <si>
    <t>COOKWARE SET</t>
  </si>
  <si>
    <t>HOME &amp; KITCHEN</t>
  </si>
  <si>
    <t>MIXER GRINDER</t>
  </si>
  <si>
    <t>WALLET</t>
  </si>
  <si>
    <t>SNEAKERS</t>
  </si>
  <si>
    <t>TABLE LAMP</t>
  </si>
  <si>
    <t>JACKET</t>
  </si>
  <si>
    <t>TABLET</t>
  </si>
  <si>
    <t>PERFUME</t>
  </si>
  <si>
    <t>LIPSTICK</t>
  </si>
  <si>
    <t>SMARTPHONE</t>
  </si>
  <si>
    <t>COMIC BOOK</t>
  </si>
  <si>
    <t>CREDIT CARD</t>
  </si>
  <si>
    <t>COOKBOOK</t>
  </si>
  <si>
    <t>T-SHIRT</t>
  </si>
  <si>
    <t>NET BANKING</t>
  </si>
  <si>
    <t>BEDSHEET</t>
  </si>
  <si>
    <t>HAIR DRYER</t>
  </si>
  <si>
    <t>LAPTOP</t>
  </si>
  <si>
    <t>SHAMPOO</t>
  </si>
  <si>
    <t>HEADPHONES</t>
  </si>
  <si>
    <t>FICTION NOVEL</t>
  </si>
  <si>
    <t>SELF-HELP BOOK</t>
  </si>
  <si>
    <t>SOFA COVER</t>
  </si>
  <si>
    <t>DRESS</t>
  </si>
  <si>
    <t>DONE</t>
  </si>
  <si>
    <t>ANSWER 6</t>
  </si>
  <si>
    <t>ANSWER 9</t>
  </si>
  <si>
    <t>ANSWER 3</t>
  </si>
  <si>
    <t>4 HIGHEST PRICE</t>
  </si>
  <si>
    <t>LOWEST PRICE</t>
  </si>
  <si>
    <t>TOTAL SALES</t>
  </si>
  <si>
    <t>KPIS</t>
  </si>
  <si>
    <t>VALUE</t>
  </si>
  <si>
    <t>TOTAL QUANTITY SOLD</t>
  </si>
  <si>
    <t>AVERAGE SALES</t>
  </si>
  <si>
    <t>TOTAL ORDERS</t>
  </si>
  <si>
    <t>AVERAGE QUANTITY</t>
  </si>
  <si>
    <t>AVERAGE RATING</t>
  </si>
  <si>
    <t>Row Labels</t>
  </si>
  <si>
    <t>Grand Total</t>
  </si>
  <si>
    <t>Jan</t>
  </si>
  <si>
    <t>Feb</t>
  </si>
  <si>
    <t>Mar</t>
  </si>
  <si>
    <t>Apr</t>
  </si>
  <si>
    <t>May</t>
  </si>
  <si>
    <t>Jun</t>
  </si>
  <si>
    <t>Jul</t>
  </si>
  <si>
    <t>Aug</t>
  </si>
  <si>
    <t>Sep</t>
  </si>
  <si>
    <t>Oct</t>
  </si>
  <si>
    <t>Nov</t>
  </si>
  <si>
    <t>Dec</t>
  </si>
  <si>
    <t>Count of Order ID</t>
  </si>
  <si>
    <t>Sum of Quantity Sold</t>
  </si>
  <si>
    <t>Sum of Total Sales (INR)</t>
  </si>
  <si>
    <t>Average of Customer Rating</t>
  </si>
  <si>
    <t>2024</t>
  </si>
  <si>
    <t>2025</t>
  </si>
  <si>
    <t>TOTAL PRODUCT SOLD</t>
  </si>
  <si>
    <t>HIGHEST RATING</t>
  </si>
  <si>
    <t>LOWEST RATING</t>
  </si>
  <si>
    <t>Year</t>
  </si>
  <si>
    <t>Months</t>
  </si>
  <si>
    <t>Product</t>
  </si>
  <si>
    <t>Catogory</t>
  </si>
  <si>
    <t>Payment method</t>
  </si>
  <si>
    <t>00000000000000000000000000000000000000000000000000000000000000000000000000000000000000000000000000000000000000000000000000000000000000000000000000000000000000000000000000000000000000000000000000000000000000000000000000000000000000000000000000000000000000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</si>
</sst>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4"/>
      <color theme="1"/>
      <name val="Aptos Narrow"/>
      <family val="2"/>
      <scheme val="minor"/>
    </font>
    <font>
      <sz val="16"/>
      <color theme="1"/>
      <name val="Aptos Narrow"/>
      <family val="2"/>
      <scheme val="minor"/>
    </font>
    <font>
      <sz val="1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9FBD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0" borderId="0" xfId="0" applyFont="1" applyAlignment="1">
      <alignment horizontal="left"/>
    </xf>
    <xf numFmtId="0" fontId="20" fillId="0" borderId="0" xfId="0" pivotButton="1" applyFont="1"/>
    <xf numFmtId="0" fontId="20" fillId="0" borderId="0" xfId="0" applyFont="1"/>
    <xf numFmtId="0" fontId="21" fillId="0" borderId="0" xfId="0" pivotButton="1" applyFont="1"/>
    <xf numFmtId="0" fontId="21"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font>
        <color rgb="FF9C0006"/>
      </font>
      <fill>
        <patternFill>
          <bgColor rgb="FFFFC7CE"/>
        </patternFill>
      </fill>
    </dxf>
    <dxf>
      <font>
        <sz val="18"/>
      </font>
    </dxf>
    <dxf>
      <font>
        <sz val="18"/>
      </font>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font>
        <sz val="14"/>
      </font>
    </dxf>
    <dxf>
      <font>
        <sz val="14"/>
      </font>
    </dxf>
    <dxf>
      <font>
        <sz val="14"/>
      </font>
    </dxf>
    <dxf>
      <font>
        <sz val="16"/>
      </font>
    </dxf>
    <dxf>
      <font>
        <sz val="16"/>
      </font>
    </dxf>
    <dxf>
      <font>
        <sz val="14"/>
      </font>
    </dxf>
    <dxf>
      <font>
        <sz val="14"/>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6"/>
      </font>
    </dxf>
    <dxf>
      <font>
        <sz val="16"/>
      </font>
    </dxf>
    <dxf>
      <fill>
        <patternFill>
          <bgColor rgb="FFCCCC00"/>
        </patternFill>
      </fill>
    </dxf>
    <dxf>
      <fill>
        <patternFill>
          <bgColor rgb="FFFFC000"/>
        </patternFill>
      </fill>
    </dxf>
    <dxf>
      <fill>
        <patternFill>
          <bgColor rgb="FFFFFF00"/>
        </patternFill>
      </fill>
    </dxf>
    <dxf>
      <fill>
        <patternFill>
          <fgColor theme="0"/>
          <bgColor rgb="FF002060"/>
        </patternFill>
      </fill>
    </dxf>
    <dxf>
      <fill>
        <patternFill>
          <bgColor rgb="FF002060"/>
        </patternFill>
      </fill>
    </dxf>
    <dxf>
      <fill>
        <gradientFill degree="90">
          <stop position="0">
            <color rgb="FFCCCC00"/>
          </stop>
          <stop position="1">
            <color rgb="FF00B0F0"/>
          </stop>
        </gradientFill>
      </fill>
    </dxf>
    <dxf>
      <font>
        <color theme="0"/>
      </font>
      <fill>
        <gradientFill degree="90">
          <stop position="0">
            <color rgb="FFCCCC00"/>
          </stop>
          <stop position="1">
            <color theme="4"/>
          </stop>
        </gradientFill>
      </fill>
    </dxf>
    <dxf>
      <fill>
        <gradientFill degree="90">
          <stop position="0">
            <color rgb="FF000099"/>
          </stop>
          <stop position="1">
            <color rgb="FFCCCC00"/>
          </stop>
        </gradientFill>
      </fill>
    </dxf>
    <dxf>
      <fill>
        <patternFill>
          <bgColor rgb="FFCCCC00"/>
        </patternFill>
      </fill>
    </dxf>
    <dxf>
      <fill>
        <patternFill>
          <bgColor rgb="FF003399"/>
        </patternFill>
      </fill>
    </dxf>
  </dxfs>
  <tableStyles count="14" defaultTableStyle="TableStyleMedium2" defaultPivotStyle="PivotStyleLight16">
    <tableStyle name="PivotTable Style 1" table="0" count="1" xr9:uid="{F6BC9933-13DD-4BEA-B659-431AED7D62C1}">
      <tableStyleElement type="wholeTable" dxfId="47"/>
    </tableStyle>
    <tableStyle name="PivotTable Style 2" table="0" count="1" xr9:uid="{D6249872-58C0-4880-AA1E-105276080730}">
      <tableStyleElement type="wholeTable" dxfId="46"/>
    </tableStyle>
    <tableStyle name="PivotTable Style 3" table="0" count="1" xr9:uid="{C2F07E9B-395D-44A2-A75D-1DCD9139F3DA}">
      <tableStyleElement type="wholeTable" dxfId="45"/>
    </tableStyle>
    <tableStyle name="PivotTable Style 4" table="0" count="1" xr9:uid="{44C72335-8CBD-4448-9CBE-BCBF0F720702}">
      <tableStyleElement type="wholeTable" dxfId="44"/>
    </tableStyle>
    <tableStyle name="PivotTable Style 5" table="0" count="1" xr9:uid="{40004433-9653-4F0B-8E28-36127278C6A8}">
      <tableStyleElement type="wholeTable" dxfId="43"/>
    </tableStyle>
    <tableStyle name="Slicer Style 1" pivot="0" table="0" count="1" xr9:uid="{393358C2-8C68-4B11-9446-9CFC281DA198}">
      <tableStyleElement type="wholeTable" dxfId="42"/>
    </tableStyle>
    <tableStyle name="Slicer Style 2" pivot="0" table="0" count="1" xr9:uid="{56CC5B68-8B28-419F-BA35-E1F078DF1B57}">
      <tableStyleElement type="wholeTable" dxfId="41"/>
    </tableStyle>
    <tableStyle name="Slicer Style 3" pivot="0" table="0" count="0" xr9:uid="{C9647F25-9773-4EBF-8F9C-A90281A880B0}"/>
    <tableStyle name="Slicer Style 4" pivot="0" table="0" count="1" xr9:uid="{2FDC0B81-06B1-488D-957E-BF5F33301725}">
      <tableStyleElement type="headerRow" dxfId="40"/>
    </tableStyle>
    <tableStyle name="Slicer Style 5" pivot="0" table="0" count="1" xr9:uid="{13CFD9E1-BDE0-4214-848C-7F9853C4B0ED}"/>
    <tableStyle name="Slicer Style 6" pivot="0" table="0" count="1" xr9:uid="{8BB70C71-6C90-4585-9BC8-947A6CD391E1}">
      <tableStyleElement type="wholeTable" dxfId="39"/>
    </tableStyle>
    <tableStyle name="Slicer Style 7" pivot="0" table="0" count="0" xr9:uid="{E66D272E-5A13-4722-AC6E-FEB050F2E8D4}"/>
    <tableStyle name="Slicer Style 8" pivot="0" table="0" count="2" xr9:uid="{9F06115F-CBFD-41F8-BEAF-A55FD49F6585}"/>
    <tableStyle name="Table Style 1" pivot="0" count="1" xr9:uid="{A3B1B3CD-CB2B-47B7-84F1-C5AFD60D4CFB}">
      <tableStyleElement type="wholeTable" dxfId="38"/>
    </tableStyle>
  </tableStyles>
  <colors>
    <mruColors>
      <color rgb="FF000099"/>
      <color rgb="FFCCCC00"/>
      <color rgb="FFB5C20A"/>
      <color rgb="FFFFFFCC"/>
      <color rgb="FFFFCC00"/>
      <color rgb="FFCC9900"/>
      <color rgb="FF003399"/>
      <color rgb="FFF9FBD1"/>
      <color rgb="FF4019BD"/>
      <color rgb="FFFFFF00"/>
    </mruColors>
  </colors>
  <extLst>
    <ext xmlns:x14="http://schemas.microsoft.com/office/spreadsheetml/2009/9/main" uri="{46F421CA-312F-682f-3DD2-61675219B42D}">
      <x14:dxfs count="3">
        <dxf>
          <fill>
            <gradientFill degree="90">
              <stop position="0">
                <color rgb="FFCCCC00"/>
              </stop>
              <stop position="1">
                <color theme="4"/>
              </stop>
            </gradientFill>
          </fill>
        </dxf>
        <dxf>
          <fill>
            <patternFill>
              <bgColor rgb="FFCCCC00"/>
            </patternFill>
          </fill>
        </dxf>
        <dxf>
          <fill>
            <patternFill>
              <bgColor rgb="FFFFC00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selectedItemWithData" dxfId="2"/>
          </x14:slicerStyleElements>
        </x14:slicerStyle>
        <x14:slicerStyle name="Slicer Style 6"/>
        <x14:slicerStyle name="Slicer Style 7"/>
        <x14:slicerStyle name="Slicer Style 8">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70C0"/>
                </a:solidFill>
              </a:rPr>
              <a:t>MONTHLY</a:t>
            </a:r>
            <a:r>
              <a:rPr lang="en-US" sz="1600" b="1" baseline="0">
                <a:solidFill>
                  <a:srgbClr val="0070C0"/>
                </a:solidFill>
              </a:rPr>
              <a:t> SALES TREND</a:t>
            </a:r>
            <a:endParaRPr lang="en-US" sz="1600"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Sheet1!$H$3:$H$15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Sheet1!$I$3:$I$15</c:f>
              <c:numCache>
                <c:formatCode>General</c:formatCode>
                <c:ptCount val="12"/>
                <c:pt idx="0">
                  <c:v>7160788.1700000009</c:v>
                </c:pt>
                <c:pt idx="1">
                  <c:v>5416573.21</c:v>
                </c:pt>
                <c:pt idx="2">
                  <c:v>6508879.0399999991</c:v>
                </c:pt>
                <c:pt idx="3">
                  <c:v>7334962.9200000018</c:v>
                </c:pt>
                <c:pt idx="4">
                  <c:v>6706004.9699999979</c:v>
                </c:pt>
                <c:pt idx="5">
                  <c:v>4992364.75</c:v>
                </c:pt>
                <c:pt idx="6">
                  <c:v>7637324.9499999983</c:v>
                </c:pt>
                <c:pt idx="7">
                  <c:v>5418893.9799999995</c:v>
                </c:pt>
                <c:pt idx="8">
                  <c:v>6264222.3100000015</c:v>
                </c:pt>
                <c:pt idx="9">
                  <c:v>5702923.3700000001</c:v>
                </c:pt>
                <c:pt idx="10">
                  <c:v>5578535.0799999991</c:v>
                </c:pt>
                <c:pt idx="11">
                  <c:v>6491639.9899999965</c:v>
                </c:pt>
              </c:numCache>
            </c:numRef>
          </c:val>
          <c:smooth val="0"/>
          <c:extLst>
            <c:ext xmlns:c16="http://schemas.microsoft.com/office/drawing/2014/chart" uri="{C3380CC4-5D6E-409C-BE32-E72D297353CC}">
              <c16:uniqueId val="{00000000-708D-498F-B305-A65E966DC8F2}"/>
            </c:ext>
          </c:extLst>
        </c:ser>
        <c:dLbls>
          <c:showLegendKey val="0"/>
          <c:showVal val="0"/>
          <c:showCatName val="0"/>
          <c:showSerName val="0"/>
          <c:showPercent val="0"/>
          <c:showBubbleSize val="0"/>
        </c:dLbls>
        <c:marker val="1"/>
        <c:smooth val="0"/>
        <c:axId val="688562719"/>
        <c:axId val="655459599"/>
      </c:lineChart>
      <c:catAx>
        <c:axId val="68856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459599"/>
        <c:crosses val="autoZero"/>
        <c:auto val="1"/>
        <c:lblAlgn val="ctr"/>
        <c:lblOffset val="100"/>
        <c:noMultiLvlLbl val="0"/>
      </c:catAx>
      <c:valAx>
        <c:axId val="65545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56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70C0"/>
                </a:solidFill>
              </a:rPr>
              <a:t>YEARLY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Sheet1!$M$3</c:f>
              <c:strCache>
                <c:ptCount val="1"/>
                <c:pt idx="0">
                  <c:v>Total</c:v>
                </c:pt>
              </c:strCache>
            </c:strRef>
          </c:tx>
          <c:spPr>
            <a:solidFill>
              <a:schemeClr val="accent1"/>
            </a:solidFill>
            <a:ln>
              <a:noFill/>
            </a:ln>
            <a:effectLst/>
            <a:sp3d/>
          </c:spPr>
          <c:invertIfNegative val="0"/>
          <c:cat>
            <c:strRef>
              <c:f>Sheet1!$L$4:$L$6</c:f>
              <c:strCache>
                <c:ptCount val="2"/>
                <c:pt idx="0">
                  <c:v>2024</c:v>
                </c:pt>
                <c:pt idx="1">
                  <c:v>2025</c:v>
                </c:pt>
              </c:strCache>
            </c:strRef>
          </c:cat>
          <c:val>
            <c:numRef>
              <c:f>Sheet1!$M$4:$M$6</c:f>
              <c:numCache>
                <c:formatCode>General</c:formatCode>
                <c:ptCount val="2"/>
                <c:pt idx="0">
                  <c:v>66546228.370000049</c:v>
                </c:pt>
                <c:pt idx="1">
                  <c:v>8666884.370000001</c:v>
                </c:pt>
              </c:numCache>
            </c:numRef>
          </c:val>
          <c:extLst>
            <c:ext xmlns:c16="http://schemas.microsoft.com/office/drawing/2014/chart" uri="{C3380CC4-5D6E-409C-BE32-E72D297353CC}">
              <c16:uniqueId val="{00000000-CAD0-48A4-904F-11635E9A3B73}"/>
            </c:ext>
          </c:extLst>
        </c:ser>
        <c:dLbls>
          <c:showLegendKey val="0"/>
          <c:showVal val="0"/>
          <c:showCatName val="0"/>
          <c:showSerName val="0"/>
          <c:showPercent val="0"/>
          <c:showBubbleSize val="0"/>
        </c:dLbls>
        <c:gapWidth val="150"/>
        <c:shape val="box"/>
        <c:axId val="965734559"/>
        <c:axId val="510787759"/>
        <c:axId val="0"/>
      </c:bar3DChart>
      <c:catAx>
        <c:axId val="965734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87759"/>
        <c:crosses val="autoZero"/>
        <c:auto val="1"/>
        <c:lblAlgn val="ctr"/>
        <c:lblOffset val="100"/>
        <c:noMultiLvlLbl val="0"/>
      </c:catAx>
      <c:valAx>
        <c:axId val="51078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73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rgbClr val="0000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070C0"/>
                </a:solidFill>
              </a:rPr>
              <a:t>QUANTITY SOLD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C9900"/>
          </a:solidFill>
          <a:ln>
            <a:noFill/>
          </a:ln>
          <a:effectLst>
            <a:outerShdw blurRad="254000" sx="102000" sy="102000" algn="ctr" rotWithShape="0">
              <a:prstClr val="black">
                <a:alpha val="20000"/>
              </a:prstClr>
            </a:outerShdw>
          </a:effectLst>
          <a:sp3d/>
        </c:spPr>
      </c:pivotFmt>
      <c:pivotFmt>
        <c:idx val="2"/>
        <c:spPr>
          <a:solidFill>
            <a:srgbClr val="FFCC00"/>
          </a:solidFill>
          <a:ln>
            <a:noFill/>
          </a:ln>
          <a:effectLst>
            <a:outerShdw blurRad="254000" sx="102000" sy="102000" algn="ctr" rotWithShape="0">
              <a:prstClr val="black">
                <a:alpha val="20000"/>
              </a:prstClr>
            </a:outerShdw>
          </a:effectLst>
          <a:sp3d/>
        </c:spPr>
      </c:pivotFmt>
      <c:pivotFmt>
        <c:idx val="3"/>
        <c:spPr>
          <a:solidFill>
            <a:srgbClr val="000099"/>
          </a:solidFill>
          <a:ln>
            <a:noFill/>
          </a:ln>
          <a:effectLst>
            <a:outerShdw blurRad="254000" sx="102000" sy="102000" algn="ctr" rotWithShape="0">
              <a:prstClr val="black">
                <a:alpha val="20000"/>
              </a:prstClr>
            </a:outerShdw>
          </a:effectLst>
          <a:sp3d/>
        </c:spPr>
      </c:pivotFmt>
      <c:pivotFmt>
        <c:idx val="4"/>
        <c:spPr>
          <a:solidFill>
            <a:schemeClr val="tx2">
              <a:lumMod val="75000"/>
              <a:lumOff val="25000"/>
            </a:schemeClr>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Sheet1!$V$3</c:f>
              <c:strCache>
                <c:ptCount val="1"/>
                <c:pt idx="0">
                  <c:v>Total</c:v>
                </c:pt>
              </c:strCache>
            </c:strRef>
          </c:tx>
          <c:dPt>
            <c:idx val="0"/>
            <c:bubble3D val="0"/>
            <c:spPr>
              <a:solidFill>
                <a:srgbClr val="FFCC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415-4BD2-93E5-6BF55CF62F94}"/>
              </c:ext>
            </c:extLst>
          </c:dPt>
          <c:dPt>
            <c:idx val="1"/>
            <c:bubble3D val="0"/>
            <c:spPr>
              <a:solidFill>
                <a:schemeClr val="tx2">
                  <a:lumMod val="75000"/>
                  <a:lumOff val="2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415-4BD2-93E5-6BF55CF62F94}"/>
              </c:ext>
            </c:extLst>
          </c:dPt>
          <c:dPt>
            <c:idx val="2"/>
            <c:bubble3D val="0"/>
            <c:spPr>
              <a:solidFill>
                <a:srgbClr val="000099"/>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D415-4BD2-93E5-6BF55CF62F9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E25-4F4A-83BD-62878A4A7652}"/>
              </c:ext>
            </c:extLst>
          </c:dPt>
          <c:dPt>
            <c:idx val="4"/>
            <c:bubble3D val="0"/>
            <c:spPr>
              <a:solidFill>
                <a:srgbClr val="CC99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D415-4BD2-93E5-6BF55CF62F9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Sheet1!$U$4:$U$9</c:f>
              <c:strCache>
                <c:ptCount val="5"/>
                <c:pt idx="0">
                  <c:v>BEAUTY</c:v>
                </c:pt>
                <c:pt idx="1">
                  <c:v>BOOKS</c:v>
                </c:pt>
                <c:pt idx="2">
                  <c:v>CLOTHING</c:v>
                </c:pt>
                <c:pt idx="3">
                  <c:v>ELECTRONICS</c:v>
                </c:pt>
                <c:pt idx="4">
                  <c:v>HOME &amp; KITCHEN</c:v>
                </c:pt>
              </c:strCache>
            </c:strRef>
          </c:cat>
          <c:val>
            <c:numRef>
              <c:f>Sheet1!$V$4:$V$9</c:f>
              <c:numCache>
                <c:formatCode>General</c:formatCode>
                <c:ptCount val="5"/>
                <c:pt idx="0">
                  <c:v>583</c:v>
                </c:pt>
                <c:pt idx="1">
                  <c:v>653</c:v>
                </c:pt>
                <c:pt idx="2">
                  <c:v>609</c:v>
                </c:pt>
                <c:pt idx="3">
                  <c:v>673</c:v>
                </c:pt>
                <c:pt idx="4">
                  <c:v>579</c:v>
                </c:pt>
              </c:numCache>
            </c:numRef>
          </c:val>
          <c:extLst>
            <c:ext xmlns:c16="http://schemas.microsoft.com/office/drawing/2014/chart" uri="{C3380CC4-5D6E-409C-BE32-E72D297353CC}">
              <c16:uniqueId val="{00000000-D415-4BD2-93E5-6BF55CF62F9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70C0"/>
                </a:solidFill>
              </a:rPr>
              <a:t>CATEGORY</a:t>
            </a:r>
            <a:r>
              <a:rPr lang="en-US" sz="1600" b="1" baseline="0">
                <a:solidFill>
                  <a:srgbClr val="0070C0"/>
                </a:solidFill>
              </a:rPr>
              <a:t> BY RATING</a:t>
            </a:r>
            <a:endParaRPr lang="en-US" sz="1600" b="1">
              <a:solidFill>
                <a:srgbClr val="0070C0"/>
              </a:solidFill>
            </a:endParaRPr>
          </a:p>
        </c:rich>
      </c:tx>
      <c:layout>
        <c:manualLayout>
          <c:xMode val="edge"/>
          <c:yMode val="edge"/>
          <c:x val="0.35263303504450771"/>
          <c:y val="7.73175740118607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Sheet1!$Y$3</c:f>
              <c:strCache>
                <c:ptCount val="1"/>
                <c:pt idx="0">
                  <c:v>Total</c:v>
                </c:pt>
              </c:strCache>
            </c:strRef>
          </c:tx>
          <c:spPr>
            <a:solidFill>
              <a:srgbClr val="000099"/>
            </a:solidFill>
            <a:ln>
              <a:noFill/>
            </a:ln>
            <a:effectLst/>
          </c:spPr>
          <c:invertIfNegative val="0"/>
          <c:cat>
            <c:strRef>
              <c:f>Sheet1!$X$4:$X$9</c:f>
              <c:strCache>
                <c:ptCount val="5"/>
                <c:pt idx="0">
                  <c:v>BEAUTY</c:v>
                </c:pt>
                <c:pt idx="1">
                  <c:v>BOOKS</c:v>
                </c:pt>
                <c:pt idx="2">
                  <c:v>CLOTHING</c:v>
                </c:pt>
                <c:pt idx="3">
                  <c:v>ELECTRONICS</c:v>
                </c:pt>
                <c:pt idx="4">
                  <c:v>HOME &amp; KITCHEN</c:v>
                </c:pt>
              </c:strCache>
            </c:strRef>
          </c:cat>
          <c:val>
            <c:numRef>
              <c:f>Sheet1!$Y$4:$Y$9</c:f>
              <c:numCache>
                <c:formatCode>General</c:formatCode>
                <c:ptCount val="5"/>
                <c:pt idx="0">
                  <c:v>2.8723958333333339</c:v>
                </c:pt>
                <c:pt idx="1">
                  <c:v>3.0799043062200977</c:v>
                </c:pt>
                <c:pt idx="2">
                  <c:v>2.9714285714285702</c:v>
                </c:pt>
                <c:pt idx="3">
                  <c:v>2.9884792626728096</c:v>
                </c:pt>
                <c:pt idx="4">
                  <c:v>3.1388601036269432</c:v>
                </c:pt>
              </c:numCache>
            </c:numRef>
          </c:val>
          <c:extLst>
            <c:ext xmlns:c16="http://schemas.microsoft.com/office/drawing/2014/chart" uri="{C3380CC4-5D6E-409C-BE32-E72D297353CC}">
              <c16:uniqueId val="{00000000-7F00-4071-83A2-4A3B64BDA772}"/>
            </c:ext>
          </c:extLst>
        </c:ser>
        <c:dLbls>
          <c:showLegendKey val="0"/>
          <c:showVal val="0"/>
          <c:showCatName val="0"/>
          <c:showSerName val="0"/>
          <c:showPercent val="0"/>
          <c:showBubbleSize val="0"/>
        </c:dLbls>
        <c:gapWidth val="219"/>
        <c:overlap val="-27"/>
        <c:axId val="1137413567"/>
        <c:axId val="982836751"/>
      </c:barChart>
      <c:catAx>
        <c:axId val="113741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836751"/>
        <c:crosses val="autoZero"/>
        <c:auto val="1"/>
        <c:lblAlgn val="ctr"/>
        <c:lblOffset val="100"/>
        <c:noMultiLvlLbl val="0"/>
      </c:catAx>
      <c:valAx>
        <c:axId val="98283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41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[flipkart_sales.PROJECT.xlsx]Sheet1!PivotTable9</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rgbClr val="0070C0"/>
                </a:solidFill>
              </a:rPr>
              <a:t>SALES</a:t>
            </a:r>
            <a:r>
              <a:rPr lang="en-US" baseline="0">
                <a:solidFill>
                  <a:srgbClr val="0070C0"/>
                </a:solidFill>
              </a:rPr>
              <a:t> BY CATEGORY</a:t>
            </a:r>
            <a:endParaRPr lang="en-US">
              <a:solidFill>
                <a:srgbClr val="0070C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CCC00"/>
          </a:solidFill>
          <a:ln>
            <a:noFill/>
          </a:ln>
          <a:effectLst>
            <a:outerShdw blurRad="317500" algn="ctr" rotWithShape="0">
              <a:prstClr val="black">
                <a:alpha val="25000"/>
              </a:prstClr>
            </a:outerShdw>
          </a:effectLst>
        </c:spPr>
      </c:pivotFmt>
      <c:pivotFmt>
        <c:idx val="2"/>
        <c:spPr>
          <a:solidFill>
            <a:srgbClr val="000099"/>
          </a:solidFill>
          <a:ln>
            <a:noFill/>
          </a:ln>
          <a:effectLst>
            <a:outerShdw blurRad="317500" algn="ctr" rotWithShape="0">
              <a:prstClr val="black">
                <a:alpha val="25000"/>
              </a:prstClr>
            </a:outerShdw>
          </a:effectLst>
        </c:spPr>
      </c:pivotFmt>
      <c:pivotFmt>
        <c:idx val="3"/>
        <c:spPr>
          <a:solidFill>
            <a:srgbClr val="0070C0"/>
          </a:solidFill>
          <a:ln>
            <a:noFill/>
          </a:ln>
          <a:effectLst>
            <a:outerShdw blurRad="317500" algn="ctr" rotWithShape="0">
              <a:prstClr val="black">
                <a:alpha val="25000"/>
              </a:prstClr>
            </a:outerShdw>
          </a:effectLst>
        </c:spPr>
      </c:pivotFmt>
      <c:pivotFmt>
        <c:idx val="4"/>
        <c:spPr>
          <a:solidFill>
            <a:srgbClr val="FFC000"/>
          </a:solidFill>
          <a:ln>
            <a:noFill/>
          </a:ln>
          <a:effectLst>
            <a:outerShdw blurRad="317500" algn="ctr" rotWithShape="0">
              <a:prstClr val="black">
                <a:alpha val="25000"/>
              </a:prstClr>
            </a:outerShdw>
          </a:effectLst>
        </c:spPr>
      </c:pivotFmt>
      <c:pivotFmt>
        <c:idx val="5"/>
        <c:spPr>
          <a:solidFill>
            <a:srgbClr val="002060"/>
          </a:solidFill>
          <a:ln>
            <a:noFill/>
          </a:ln>
          <a:effectLst>
            <a:outerShdw blurRad="317500" algn="ctr" rotWithShape="0">
              <a:prstClr val="black">
                <a:alpha val="25000"/>
              </a:prstClr>
            </a:outerShdw>
          </a:effectLst>
        </c:spPr>
      </c:pivotFmt>
    </c:pivotFmts>
    <c:plotArea>
      <c:layout/>
      <c:doughnutChart>
        <c:varyColors val="1"/>
        <c:ser>
          <c:idx val="0"/>
          <c:order val="0"/>
          <c:tx>
            <c:strRef>
              <c:f>Sheet1!$E$2</c:f>
              <c:strCache>
                <c:ptCount val="1"/>
                <c:pt idx="0">
                  <c:v>Total</c:v>
                </c:pt>
              </c:strCache>
            </c:strRef>
          </c:tx>
          <c:dPt>
            <c:idx val="0"/>
            <c:bubble3D val="0"/>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244E-42D3-A30B-2DA51BDD5B6F}"/>
              </c:ext>
            </c:extLst>
          </c:dPt>
          <c:dPt>
            <c:idx val="1"/>
            <c:bubble3D val="0"/>
            <c:spPr>
              <a:solidFill>
                <a:srgbClr val="FFC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44E-42D3-A30B-2DA51BDD5B6F}"/>
              </c:ext>
            </c:extLst>
          </c:dPt>
          <c:dPt>
            <c:idx val="2"/>
            <c:bubble3D val="0"/>
            <c:spPr>
              <a:solidFill>
                <a:srgbClr val="0070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244E-42D3-A30B-2DA51BDD5B6F}"/>
              </c:ext>
            </c:extLst>
          </c:dPt>
          <c:dPt>
            <c:idx val="3"/>
            <c:bubble3D val="0"/>
            <c:spPr>
              <a:solidFill>
                <a:srgbClr val="000099"/>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44E-42D3-A30B-2DA51BDD5B6F}"/>
              </c:ext>
            </c:extLst>
          </c:dPt>
          <c:dPt>
            <c:idx val="4"/>
            <c:bubble3D val="0"/>
            <c:spPr>
              <a:solidFill>
                <a:srgbClr val="CCCC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E6D-4B74-B4CC-8DD3CE077A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Sheet1!$D$3:$D$8</c:f>
              <c:strCache>
                <c:ptCount val="5"/>
                <c:pt idx="0">
                  <c:v>BEAUTY</c:v>
                </c:pt>
                <c:pt idx="1">
                  <c:v>BOOKS</c:v>
                </c:pt>
                <c:pt idx="2">
                  <c:v>CLOTHING</c:v>
                </c:pt>
                <c:pt idx="3">
                  <c:v>ELECTRONICS</c:v>
                </c:pt>
                <c:pt idx="4">
                  <c:v>HOME &amp; KITCHEN</c:v>
                </c:pt>
              </c:strCache>
            </c:strRef>
          </c:cat>
          <c:val>
            <c:numRef>
              <c:f>Sheet1!$E$3:$E$8</c:f>
              <c:numCache>
                <c:formatCode>General</c:formatCode>
                <c:ptCount val="5"/>
                <c:pt idx="0">
                  <c:v>14680584.049999999</c:v>
                </c:pt>
                <c:pt idx="1">
                  <c:v>14785759.649999995</c:v>
                </c:pt>
                <c:pt idx="2">
                  <c:v>15114386.860000005</c:v>
                </c:pt>
                <c:pt idx="3">
                  <c:v>17307173.070000004</c:v>
                </c:pt>
                <c:pt idx="4">
                  <c:v>13325209.110000007</c:v>
                </c:pt>
              </c:numCache>
            </c:numRef>
          </c:val>
          <c:extLst>
            <c:ext xmlns:c16="http://schemas.microsoft.com/office/drawing/2014/chart" uri="{C3380CC4-5D6E-409C-BE32-E72D297353CC}">
              <c16:uniqueId val="{00000000-244E-42D3-A30B-2DA51BDD5B6F}"/>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rgbClr val="0000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70C0"/>
                </a:solidFill>
              </a:rPr>
              <a:t>PRODUCT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Sheet1!$R$3</c:f>
              <c:strCache>
                <c:ptCount val="1"/>
                <c:pt idx="0">
                  <c:v>Total</c:v>
                </c:pt>
              </c:strCache>
            </c:strRef>
          </c:tx>
          <c:spPr>
            <a:solidFill>
              <a:schemeClr val="accent1"/>
            </a:solidFill>
            <a:ln>
              <a:noFill/>
            </a:ln>
            <a:effectLst/>
          </c:spPr>
          <c:invertIfNegative val="0"/>
          <c:cat>
            <c:strRef>
              <c:f>Sheet1!$Q$4:$Q$29</c:f>
              <c:strCache>
                <c:ptCount val="25"/>
                <c:pt idx="0">
                  <c:v>BEDSHEET</c:v>
                </c:pt>
                <c:pt idx="1">
                  <c:v>COMIC BOOK</c:v>
                </c:pt>
                <c:pt idx="2">
                  <c:v>COOKBOOK</c:v>
                </c:pt>
                <c:pt idx="3">
                  <c:v>COOKWARE SET</c:v>
                </c:pt>
                <c:pt idx="4">
                  <c:v>DRESS</c:v>
                </c:pt>
                <c:pt idx="5">
                  <c:v>EDUCATIONAL BOOK</c:v>
                </c:pt>
                <c:pt idx="6">
                  <c:v>FACE CREAM</c:v>
                </c:pt>
                <c:pt idx="7">
                  <c:v>FICTION NOVEL</c:v>
                </c:pt>
                <c:pt idx="8">
                  <c:v>HAIR DRYER</c:v>
                </c:pt>
                <c:pt idx="9">
                  <c:v>HEADPHONES</c:v>
                </c:pt>
                <c:pt idx="10">
                  <c:v>JACKET</c:v>
                </c:pt>
                <c:pt idx="11">
                  <c:v>JEANS</c:v>
                </c:pt>
                <c:pt idx="12">
                  <c:v>LAPTOP</c:v>
                </c:pt>
                <c:pt idx="13">
                  <c:v>LIPSTICK</c:v>
                </c:pt>
                <c:pt idx="14">
                  <c:v>MIXER GRINDER</c:v>
                </c:pt>
                <c:pt idx="15">
                  <c:v>PERFUME</c:v>
                </c:pt>
                <c:pt idx="16">
                  <c:v>SELF-HELP BOOK</c:v>
                </c:pt>
                <c:pt idx="17">
                  <c:v>SHAMPOO</c:v>
                </c:pt>
                <c:pt idx="18">
                  <c:v>SMARTPHONE</c:v>
                </c:pt>
                <c:pt idx="19">
                  <c:v>SMARTWATCH</c:v>
                </c:pt>
                <c:pt idx="20">
                  <c:v>SNEAKERS</c:v>
                </c:pt>
                <c:pt idx="21">
                  <c:v>SOFA COVER</c:v>
                </c:pt>
                <c:pt idx="22">
                  <c:v>TABLE LAMP</c:v>
                </c:pt>
                <c:pt idx="23">
                  <c:v>TABLET</c:v>
                </c:pt>
                <c:pt idx="24">
                  <c:v>T-SHIRT</c:v>
                </c:pt>
              </c:strCache>
            </c:strRef>
          </c:cat>
          <c:val>
            <c:numRef>
              <c:f>Sheet1!$R$4:$R$29</c:f>
              <c:numCache>
                <c:formatCode>General</c:formatCode>
                <c:ptCount val="25"/>
                <c:pt idx="0">
                  <c:v>1883843.2799999998</c:v>
                </c:pt>
                <c:pt idx="1">
                  <c:v>1938459.9799999995</c:v>
                </c:pt>
                <c:pt idx="2">
                  <c:v>2514179.21</c:v>
                </c:pt>
                <c:pt idx="3">
                  <c:v>2490551.4299999997</c:v>
                </c:pt>
                <c:pt idx="4">
                  <c:v>2477929.9300000002</c:v>
                </c:pt>
                <c:pt idx="5">
                  <c:v>4522055.3500000006</c:v>
                </c:pt>
                <c:pt idx="6">
                  <c:v>3646816.9700000011</c:v>
                </c:pt>
                <c:pt idx="7">
                  <c:v>3172999.9099999992</c:v>
                </c:pt>
                <c:pt idx="8">
                  <c:v>2505130.6700000004</c:v>
                </c:pt>
                <c:pt idx="9">
                  <c:v>3722765.2699999991</c:v>
                </c:pt>
                <c:pt idx="10">
                  <c:v>3161049.0499999993</c:v>
                </c:pt>
                <c:pt idx="11">
                  <c:v>3685259.600000001</c:v>
                </c:pt>
                <c:pt idx="12">
                  <c:v>4132783.7199999993</c:v>
                </c:pt>
                <c:pt idx="13">
                  <c:v>2844209.0799999991</c:v>
                </c:pt>
                <c:pt idx="14">
                  <c:v>2297176.6000000006</c:v>
                </c:pt>
                <c:pt idx="15">
                  <c:v>3266905.7500000005</c:v>
                </c:pt>
                <c:pt idx="16">
                  <c:v>2638065.2000000007</c:v>
                </c:pt>
                <c:pt idx="17">
                  <c:v>2417521.58</c:v>
                </c:pt>
                <c:pt idx="18">
                  <c:v>2875922.8299999996</c:v>
                </c:pt>
                <c:pt idx="19">
                  <c:v>3680177.8000000003</c:v>
                </c:pt>
                <c:pt idx="20">
                  <c:v>2883134.9600000004</c:v>
                </c:pt>
                <c:pt idx="21">
                  <c:v>2666946.1200000006</c:v>
                </c:pt>
                <c:pt idx="22">
                  <c:v>3986691.6800000011</c:v>
                </c:pt>
                <c:pt idx="23">
                  <c:v>2895523.4499999993</c:v>
                </c:pt>
                <c:pt idx="24">
                  <c:v>2907013.32</c:v>
                </c:pt>
              </c:numCache>
            </c:numRef>
          </c:val>
          <c:extLst>
            <c:ext xmlns:c16="http://schemas.microsoft.com/office/drawing/2014/chart" uri="{C3380CC4-5D6E-409C-BE32-E72D297353CC}">
              <c16:uniqueId val="{00000000-88FE-424C-BA71-3768B800FFB3}"/>
            </c:ext>
          </c:extLst>
        </c:ser>
        <c:dLbls>
          <c:showLegendKey val="0"/>
          <c:showVal val="0"/>
          <c:showCatName val="0"/>
          <c:showSerName val="0"/>
          <c:showPercent val="0"/>
          <c:showBubbleSize val="0"/>
        </c:dLbls>
        <c:gapWidth val="182"/>
        <c:axId val="1138972735"/>
        <c:axId val="982864591"/>
      </c:barChart>
      <c:catAx>
        <c:axId val="1138972735"/>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864591"/>
        <c:crosses val="autoZero"/>
        <c:auto val="1"/>
        <c:lblAlgn val="ctr"/>
        <c:lblOffset val="100"/>
        <c:noMultiLvlLbl val="0"/>
      </c:catAx>
      <c:valAx>
        <c:axId val="982864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7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SALES</a:t>
            </a:r>
            <a:r>
              <a:rPr lang="en-US" b="1" baseline="0">
                <a:solidFill>
                  <a:srgbClr val="0070C0"/>
                </a:solidFill>
              </a:rPr>
              <a:t> BY PAYMENT METHOD</a:t>
            </a:r>
            <a:endParaRPr lang="en-US"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Sheet1!$AG$2</c:f>
              <c:strCache>
                <c:ptCount val="1"/>
                <c:pt idx="0">
                  <c:v>Total</c:v>
                </c:pt>
              </c:strCache>
            </c:strRef>
          </c:tx>
          <c:spPr>
            <a:solidFill>
              <a:srgbClr val="003399"/>
            </a:solidFill>
            <a:ln>
              <a:noFill/>
            </a:ln>
            <a:effectLst/>
          </c:spPr>
          <c:invertIfNegative val="0"/>
          <c:cat>
            <c:strRef>
              <c:f>Sheet1!$AF$3:$AF$9</c:f>
              <c:strCache>
                <c:ptCount val="6"/>
                <c:pt idx="0">
                  <c:v>COD</c:v>
                </c:pt>
                <c:pt idx="1">
                  <c:v>CREDIT CARD</c:v>
                </c:pt>
                <c:pt idx="2">
                  <c:v>DEBIT CARD</c:v>
                </c:pt>
                <c:pt idx="3">
                  <c:v>NET BANKING</c:v>
                </c:pt>
                <c:pt idx="4">
                  <c:v>UPI</c:v>
                </c:pt>
                <c:pt idx="5">
                  <c:v>WALLET</c:v>
                </c:pt>
              </c:strCache>
            </c:strRef>
          </c:cat>
          <c:val>
            <c:numRef>
              <c:f>Sheet1!$AG$3:$AG$9</c:f>
              <c:numCache>
                <c:formatCode>General</c:formatCode>
                <c:ptCount val="6"/>
                <c:pt idx="0">
                  <c:v>12457136.549999999</c:v>
                </c:pt>
                <c:pt idx="1">
                  <c:v>11155785.989999998</c:v>
                </c:pt>
                <c:pt idx="2">
                  <c:v>12142559.040000003</c:v>
                </c:pt>
                <c:pt idx="3">
                  <c:v>13219947.52</c:v>
                </c:pt>
                <c:pt idx="4">
                  <c:v>12790919.48</c:v>
                </c:pt>
                <c:pt idx="5">
                  <c:v>13446764.160000002</c:v>
                </c:pt>
              </c:numCache>
            </c:numRef>
          </c:val>
          <c:extLst>
            <c:ext xmlns:c16="http://schemas.microsoft.com/office/drawing/2014/chart" uri="{C3380CC4-5D6E-409C-BE32-E72D297353CC}">
              <c16:uniqueId val="{00000000-65A0-45E5-A975-2FE67843E7EC}"/>
            </c:ext>
          </c:extLst>
        </c:ser>
        <c:dLbls>
          <c:showLegendKey val="0"/>
          <c:showVal val="0"/>
          <c:showCatName val="0"/>
          <c:showSerName val="0"/>
          <c:showPercent val="0"/>
          <c:showBubbleSize val="0"/>
        </c:dLbls>
        <c:gapWidth val="219"/>
        <c:overlap val="-27"/>
        <c:axId val="1235034431"/>
        <c:axId val="982853551"/>
      </c:barChart>
      <c:catAx>
        <c:axId val="123503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853551"/>
        <c:crosses val="autoZero"/>
        <c:auto val="1"/>
        <c:lblAlgn val="ctr"/>
        <c:lblOffset val="100"/>
        <c:noMultiLvlLbl val="0"/>
      </c:catAx>
      <c:valAx>
        <c:axId val="98285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03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ORDER</a:t>
            </a:r>
            <a:r>
              <a:rPr lang="en-US" sz="1600" b="1" baseline="0">
                <a:solidFill>
                  <a:schemeClr val="bg1"/>
                </a:solidFill>
              </a:rPr>
              <a:t> BY PAYMENT METHOD</a:t>
            </a:r>
          </a:p>
        </c:rich>
      </c:tx>
      <c:layout>
        <c:manualLayout>
          <c:xMode val="edge"/>
          <c:yMode val="edge"/>
          <c:x val="0.35938276413155879"/>
          <c:y val="0.102973469361711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Sheet1!$AC$2</c:f>
              <c:strCache>
                <c:ptCount val="1"/>
                <c:pt idx="0">
                  <c:v>Total</c:v>
                </c:pt>
              </c:strCache>
            </c:strRef>
          </c:tx>
          <c:spPr>
            <a:solidFill>
              <a:srgbClr val="000099"/>
            </a:solidFill>
            <a:ln>
              <a:noFill/>
            </a:ln>
            <a:effectLst/>
          </c:spPr>
          <c:invertIfNegative val="0"/>
          <c:cat>
            <c:strRef>
              <c:f>Sheet1!$AB$3:$AB$9</c:f>
              <c:strCache>
                <c:ptCount val="6"/>
                <c:pt idx="0">
                  <c:v>COD</c:v>
                </c:pt>
                <c:pt idx="1">
                  <c:v>CREDIT CARD</c:v>
                </c:pt>
                <c:pt idx="2">
                  <c:v>DEBIT CARD</c:v>
                </c:pt>
                <c:pt idx="3">
                  <c:v>NET BANKING</c:v>
                </c:pt>
                <c:pt idx="4">
                  <c:v>UPI</c:v>
                </c:pt>
                <c:pt idx="5">
                  <c:v>WALLET</c:v>
                </c:pt>
              </c:strCache>
            </c:strRef>
          </c:cat>
          <c:val>
            <c:numRef>
              <c:f>Sheet1!$AC$3:$AC$9</c:f>
              <c:numCache>
                <c:formatCode>General</c:formatCode>
                <c:ptCount val="6"/>
                <c:pt idx="0">
                  <c:v>169</c:v>
                </c:pt>
                <c:pt idx="1">
                  <c:v>146</c:v>
                </c:pt>
                <c:pt idx="2">
                  <c:v>171</c:v>
                </c:pt>
                <c:pt idx="3">
                  <c:v>166</c:v>
                </c:pt>
                <c:pt idx="4">
                  <c:v>176</c:v>
                </c:pt>
                <c:pt idx="5">
                  <c:v>172</c:v>
                </c:pt>
              </c:numCache>
            </c:numRef>
          </c:val>
          <c:extLst>
            <c:ext xmlns:c16="http://schemas.microsoft.com/office/drawing/2014/chart" uri="{C3380CC4-5D6E-409C-BE32-E72D297353CC}">
              <c16:uniqueId val="{00000000-7171-4050-AE4B-A4E605BBE594}"/>
            </c:ext>
          </c:extLst>
        </c:ser>
        <c:dLbls>
          <c:showLegendKey val="0"/>
          <c:showVal val="0"/>
          <c:showCatName val="0"/>
          <c:showSerName val="0"/>
          <c:showPercent val="0"/>
          <c:showBubbleSize val="0"/>
        </c:dLbls>
        <c:gapWidth val="150"/>
        <c:overlap val="100"/>
        <c:axId val="1138919839"/>
        <c:axId val="982859791"/>
      </c:barChart>
      <c:catAx>
        <c:axId val="1138919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859791"/>
        <c:crosses val="autoZero"/>
        <c:auto val="1"/>
        <c:lblAlgn val="ctr"/>
        <c:lblOffset val="100"/>
        <c:noMultiLvlLbl val="0"/>
      </c:catAx>
      <c:valAx>
        <c:axId val="982859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1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[flipkart_sales.PROJECT.xlsx]Sheet1!PivotTable8</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a:solidFill>
                  <a:srgbClr val="0070C0"/>
                </a:solidFill>
              </a:rPr>
              <a:t>AVERAGE</a:t>
            </a:r>
            <a:r>
              <a:rPr lang="en-US" sz="1400" b="1" baseline="0">
                <a:solidFill>
                  <a:srgbClr val="0070C0"/>
                </a:solidFill>
              </a:rPr>
              <a:t> OF PAYMENT METHOD</a:t>
            </a:r>
            <a:endParaRPr lang="en-US" sz="1400" b="1">
              <a:solidFill>
                <a:srgbClr val="0070C0"/>
              </a:solidFill>
            </a:endParaRPr>
          </a:p>
        </c:rich>
      </c:tx>
      <c:layout>
        <c:manualLayout>
          <c:xMode val="edge"/>
          <c:yMode val="edge"/>
          <c:x val="0.16813121297140646"/>
          <c:y val="0.1076832942378084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0099"/>
          </a:solidFill>
          <a:ln>
            <a:noFill/>
          </a:ln>
          <a:effectLst>
            <a:outerShdw blurRad="254000" sx="102000" sy="102000" algn="ctr" rotWithShape="0">
              <a:prstClr val="black">
                <a:alpha val="20000"/>
              </a:prstClr>
            </a:outerShdw>
          </a:effectLst>
          <a:sp3d/>
        </c:spPr>
      </c:pivotFmt>
      <c:pivotFmt>
        <c:idx val="2"/>
        <c:spPr>
          <a:solidFill>
            <a:srgbClr val="00B0F0"/>
          </a:solidFill>
          <a:ln>
            <a:noFill/>
          </a:ln>
          <a:effectLst>
            <a:outerShdw blurRad="254000" sx="102000" sy="102000" algn="ctr" rotWithShape="0">
              <a:prstClr val="black">
                <a:alpha val="20000"/>
              </a:prstClr>
            </a:outerShdw>
          </a:effectLst>
          <a:sp3d/>
        </c:spPr>
      </c:pivotFmt>
      <c:pivotFmt>
        <c:idx val="3"/>
        <c:spPr>
          <a:solidFill>
            <a:srgbClr val="CC9900"/>
          </a:solidFill>
          <a:ln>
            <a:noFill/>
          </a:ln>
          <a:effectLst>
            <a:outerShdw blurRad="254000" sx="102000" sy="102000" algn="ctr" rotWithShape="0">
              <a:prstClr val="black">
                <a:alpha val="20000"/>
              </a:prstClr>
            </a:outerShdw>
          </a:effectLst>
          <a:sp3d/>
        </c:spPr>
      </c:pivotFmt>
      <c:pivotFmt>
        <c:idx val="4"/>
        <c:spPr>
          <a:solidFill>
            <a:srgbClr val="FFCC00"/>
          </a:solidFill>
          <a:ln>
            <a:noFill/>
          </a:ln>
          <a:effectLst>
            <a:outerShdw blurRad="254000" sx="102000" sy="102000" algn="ctr" rotWithShape="0">
              <a:prstClr val="black">
                <a:alpha val="20000"/>
              </a:prstClr>
            </a:outerShdw>
          </a:effectLst>
          <a:sp3d/>
        </c:spPr>
      </c:pivotFmt>
      <c:pivotFmt>
        <c:idx val="5"/>
        <c:spPr>
          <a:solidFill>
            <a:srgbClr val="0070C0"/>
          </a:solidFill>
          <a:ln>
            <a:noFill/>
          </a:ln>
          <a:effectLst>
            <a:outerShdw blurRad="254000" sx="102000" sy="102000" algn="ctr" rotWithShape="0">
              <a:prstClr val="black">
                <a:alpha val="20000"/>
              </a:prstClr>
            </a:outerShdw>
          </a:effectLst>
          <a:sp3d/>
        </c:spPr>
      </c:pivotFmt>
      <c:pivotFmt>
        <c:idx val="6"/>
        <c:spPr>
          <a:solidFill>
            <a:schemeClr val="tx2">
              <a:lumMod val="25000"/>
              <a:lumOff val="7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443797405060714E-2"/>
          <c:y val="0.24045943923253188"/>
          <c:w val="0.68277758696492941"/>
          <c:h val="0.67916743281984315"/>
        </c:manualLayout>
      </c:layout>
      <c:pie3DChart>
        <c:varyColors val="1"/>
        <c:ser>
          <c:idx val="0"/>
          <c:order val="0"/>
          <c:tx>
            <c:strRef>
              <c:f>Sheet1!$AN$2</c:f>
              <c:strCache>
                <c:ptCount val="1"/>
                <c:pt idx="0">
                  <c:v>Total</c:v>
                </c:pt>
              </c:strCache>
            </c:strRef>
          </c:tx>
          <c:dPt>
            <c:idx val="0"/>
            <c:bubble3D val="0"/>
            <c:spPr>
              <a:solidFill>
                <a:srgbClr val="00B0F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5DA-4900-8191-C81CD1EBD9AF}"/>
              </c:ext>
            </c:extLst>
          </c:dPt>
          <c:dPt>
            <c:idx val="1"/>
            <c:bubble3D val="0"/>
            <c:spPr>
              <a:solidFill>
                <a:srgbClr val="CC99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25DA-4900-8191-C81CD1EBD9AF}"/>
              </c:ext>
            </c:extLst>
          </c:dPt>
          <c:dPt>
            <c:idx val="2"/>
            <c:bubble3D val="0"/>
            <c:spPr>
              <a:solidFill>
                <a:srgbClr val="FFCC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5DA-4900-8191-C81CD1EBD9AF}"/>
              </c:ext>
            </c:extLst>
          </c:dPt>
          <c:dPt>
            <c:idx val="3"/>
            <c:bubble3D val="0"/>
            <c:spPr>
              <a:solidFill>
                <a:srgbClr val="0070C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25DA-4900-8191-C81CD1EBD9AF}"/>
              </c:ext>
            </c:extLst>
          </c:dPt>
          <c:dPt>
            <c:idx val="4"/>
            <c:bubble3D val="0"/>
            <c:spPr>
              <a:solidFill>
                <a:schemeClr val="tx2">
                  <a:lumMod val="25000"/>
                  <a:lumOff val="7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5DA-4900-8191-C81CD1EBD9AF}"/>
              </c:ext>
            </c:extLst>
          </c:dPt>
          <c:dPt>
            <c:idx val="5"/>
            <c:bubble3D val="0"/>
            <c:spPr>
              <a:solidFill>
                <a:srgbClr val="000099"/>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25DA-4900-8191-C81CD1EBD9A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Sheet1!$AM$3:$AM$9</c:f>
              <c:strCache>
                <c:ptCount val="6"/>
                <c:pt idx="0">
                  <c:v>COD</c:v>
                </c:pt>
                <c:pt idx="1">
                  <c:v>CREDIT CARD</c:v>
                </c:pt>
                <c:pt idx="2">
                  <c:v>DEBIT CARD</c:v>
                </c:pt>
                <c:pt idx="3">
                  <c:v>NET BANKING</c:v>
                </c:pt>
                <c:pt idx="4">
                  <c:v>UPI</c:v>
                </c:pt>
                <c:pt idx="5">
                  <c:v>WALLET</c:v>
                </c:pt>
              </c:strCache>
            </c:strRef>
          </c:cat>
          <c:val>
            <c:numRef>
              <c:f>Sheet1!$AN$3:$AN$9</c:f>
              <c:numCache>
                <c:formatCode>General</c:formatCode>
                <c:ptCount val="6"/>
                <c:pt idx="0">
                  <c:v>2.9763313609467454</c:v>
                </c:pt>
                <c:pt idx="1">
                  <c:v>3.1191780821917807</c:v>
                </c:pt>
                <c:pt idx="2">
                  <c:v>3.0134502923976605</c:v>
                </c:pt>
                <c:pt idx="3">
                  <c:v>2.9433734939759053</c:v>
                </c:pt>
                <c:pt idx="4">
                  <c:v>3.0715909090909106</c:v>
                </c:pt>
                <c:pt idx="5">
                  <c:v>2.9546511627906971</c:v>
                </c:pt>
              </c:numCache>
            </c:numRef>
          </c:val>
          <c:extLst>
            <c:ext xmlns:c16="http://schemas.microsoft.com/office/drawing/2014/chart" uri="{C3380CC4-5D6E-409C-BE32-E72D297353CC}">
              <c16:uniqueId val="{00000000-25DA-4900-8191-C81CD1EBD9A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[flipkart_sales.PROJECT.xlsx]Sheet1!PivotTable9</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rgbClr val="0070C0"/>
                </a:solidFill>
              </a:rPr>
              <a:t>SALES</a:t>
            </a:r>
            <a:r>
              <a:rPr lang="en-US" baseline="0">
                <a:solidFill>
                  <a:srgbClr val="0070C0"/>
                </a:solidFill>
              </a:rPr>
              <a:t> BY CATEGORY</a:t>
            </a:r>
            <a:endParaRPr lang="en-US">
              <a:solidFill>
                <a:srgbClr val="0070C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CCC00"/>
          </a:solidFill>
          <a:ln>
            <a:noFill/>
          </a:ln>
          <a:effectLst>
            <a:outerShdw blurRad="317500" algn="ctr" rotWithShape="0">
              <a:prstClr val="black">
                <a:alpha val="25000"/>
              </a:prstClr>
            </a:outerShdw>
          </a:effectLst>
        </c:spPr>
      </c:pivotFmt>
      <c:pivotFmt>
        <c:idx val="2"/>
        <c:spPr>
          <a:solidFill>
            <a:srgbClr val="000099"/>
          </a:solidFill>
          <a:ln>
            <a:noFill/>
          </a:ln>
          <a:effectLst>
            <a:outerShdw blurRad="317500" algn="ctr" rotWithShape="0">
              <a:prstClr val="black">
                <a:alpha val="25000"/>
              </a:prstClr>
            </a:outerShdw>
          </a:effectLst>
        </c:spPr>
      </c:pivotFmt>
      <c:pivotFmt>
        <c:idx val="3"/>
        <c:spPr>
          <a:solidFill>
            <a:srgbClr val="0070C0"/>
          </a:solidFill>
          <a:ln>
            <a:noFill/>
          </a:ln>
          <a:effectLst>
            <a:outerShdw blurRad="317500" algn="ctr" rotWithShape="0">
              <a:prstClr val="black">
                <a:alpha val="25000"/>
              </a:prstClr>
            </a:outerShdw>
          </a:effectLst>
        </c:spPr>
      </c:pivotFmt>
      <c:pivotFmt>
        <c:idx val="4"/>
        <c:spPr>
          <a:solidFill>
            <a:srgbClr val="FFC000"/>
          </a:solidFill>
          <a:ln>
            <a:noFill/>
          </a:ln>
          <a:effectLst>
            <a:outerShdw blurRad="317500" algn="ctr" rotWithShape="0">
              <a:prstClr val="black">
                <a:alpha val="25000"/>
              </a:prstClr>
            </a:outerShdw>
          </a:effectLst>
        </c:spPr>
      </c:pivotFmt>
      <c:pivotFmt>
        <c:idx val="5"/>
        <c:spPr>
          <a:solidFill>
            <a:srgbClr val="002060"/>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2060"/>
          </a:solidFill>
          <a:ln>
            <a:noFill/>
          </a:ln>
          <a:effectLst>
            <a:outerShdw blurRad="317500" algn="ctr" rotWithShape="0">
              <a:prstClr val="black">
                <a:alpha val="25000"/>
              </a:prstClr>
            </a:outerShdw>
          </a:effectLst>
        </c:spPr>
      </c:pivotFmt>
      <c:pivotFmt>
        <c:idx val="8"/>
        <c:spPr>
          <a:solidFill>
            <a:srgbClr val="FFC000"/>
          </a:solidFill>
          <a:ln>
            <a:noFill/>
          </a:ln>
          <a:effectLst>
            <a:outerShdw blurRad="317500" algn="ctr" rotWithShape="0">
              <a:prstClr val="black">
                <a:alpha val="25000"/>
              </a:prstClr>
            </a:outerShdw>
          </a:effectLst>
        </c:spPr>
      </c:pivotFmt>
      <c:pivotFmt>
        <c:idx val="9"/>
        <c:spPr>
          <a:solidFill>
            <a:srgbClr val="0070C0"/>
          </a:solidFill>
          <a:ln>
            <a:noFill/>
          </a:ln>
          <a:effectLst>
            <a:outerShdw blurRad="317500" algn="ctr" rotWithShape="0">
              <a:prstClr val="black">
                <a:alpha val="25000"/>
              </a:prstClr>
            </a:outerShdw>
          </a:effectLst>
        </c:spPr>
      </c:pivotFmt>
      <c:pivotFmt>
        <c:idx val="10"/>
        <c:spPr>
          <a:solidFill>
            <a:srgbClr val="000099"/>
          </a:solidFill>
          <a:ln>
            <a:noFill/>
          </a:ln>
          <a:effectLst>
            <a:outerShdw blurRad="317500" algn="ctr" rotWithShape="0">
              <a:prstClr val="black">
                <a:alpha val="25000"/>
              </a:prstClr>
            </a:outerShdw>
          </a:effectLst>
        </c:spPr>
      </c:pivotFmt>
      <c:pivotFmt>
        <c:idx val="11"/>
        <c:spPr>
          <a:solidFill>
            <a:srgbClr val="CCCC00"/>
          </a:solidFill>
          <a:ln>
            <a:noFill/>
          </a:ln>
          <a:effectLst>
            <a:outerShdw blurRad="317500" algn="ctr" rotWithShape="0">
              <a:prstClr val="black">
                <a:alpha val="25000"/>
              </a:prstClr>
            </a:outerShdw>
          </a:effectLst>
        </c:spPr>
      </c:pivotFmt>
      <c:pivotFmt>
        <c:idx val="12"/>
        <c:spPr>
          <a:solidFill>
            <a:schemeClr val="accent1"/>
          </a:solidFill>
          <a:ln>
            <a:solidFill>
              <a:srgbClr val="000099"/>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002060"/>
          </a:solidFill>
          <a:ln>
            <a:solidFill>
              <a:srgbClr val="000099"/>
            </a:solidFill>
          </a:ln>
          <a:effectLst>
            <a:outerShdw blurRad="317500" algn="ctr" rotWithShape="0">
              <a:prstClr val="black">
                <a:alpha val="25000"/>
              </a:prstClr>
            </a:outerShdw>
          </a:effectLst>
        </c:spPr>
      </c:pivotFmt>
      <c:pivotFmt>
        <c:idx val="14"/>
        <c:spPr>
          <a:solidFill>
            <a:srgbClr val="FFC000"/>
          </a:solidFill>
          <a:ln>
            <a:solidFill>
              <a:srgbClr val="000099"/>
            </a:solidFill>
          </a:ln>
          <a:effectLst>
            <a:outerShdw blurRad="317500" algn="ctr" rotWithShape="0">
              <a:prstClr val="black">
                <a:alpha val="25000"/>
              </a:prstClr>
            </a:outerShdw>
          </a:effectLst>
        </c:spPr>
      </c:pivotFmt>
      <c:pivotFmt>
        <c:idx val="15"/>
        <c:spPr>
          <a:solidFill>
            <a:srgbClr val="0070C0"/>
          </a:solidFill>
          <a:ln>
            <a:solidFill>
              <a:srgbClr val="000099"/>
            </a:solidFill>
          </a:ln>
          <a:effectLst>
            <a:outerShdw blurRad="317500" algn="ctr" rotWithShape="0">
              <a:prstClr val="black">
                <a:alpha val="25000"/>
              </a:prstClr>
            </a:outerShdw>
          </a:effectLst>
        </c:spPr>
      </c:pivotFmt>
      <c:pivotFmt>
        <c:idx val="16"/>
        <c:spPr>
          <a:solidFill>
            <a:srgbClr val="000099"/>
          </a:solidFill>
          <a:ln>
            <a:solidFill>
              <a:srgbClr val="000099"/>
            </a:solidFill>
          </a:ln>
          <a:effectLst>
            <a:outerShdw blurRad="317500" algn="ctr" rotWithShape="0">
              <a:prstClr val="black">
                <a:alpha val="25000"/>
              </a:prstClr>
            </a:outerShdw>
          </a:effectLst>
        </c:spPr>
      </c:pivotFmt>
      <c:pivotFmt>
        <c:idx val="17"/>
        <c:spPr>
          <a:solidFill>
            <a:srgbClr val="CC9900"/>
          </a:solidFill>
          <a:ln>
            <a:solidFill>
              <a:srgbClr val="000099"/>
            </a:solidFill>
          </a:ln>
          <a:effectLst>
            <a:outerShdw blurRad="317500" algn="ctr" rotWithShape="0">
              <a:prstClr val="black">
                <a:alpha val="25000"/>
              </a:prstClr>
            </a:outerShdw>
          </a:effectLst>
        </c:spPr>
      </c:pivotFmt>
    </c:pivotFmts>
    <c:plotArea>
      <c:layout>
        <c:manualLayout>
          <c:layoutTarget val="inner"/>
          <c:xMode val="edge"/>
          <c:yMode val="edge"/>
          <c:x val="0.14157617886334359"/>
          <c:y val="0.29613988173238065"/>
          <c:w val="0.44731354662396627"/>
          <c:h val="0.60077459892995966"/>
        </c:manualLayout>
      </c:layout>
      <c:doughnutChart>
        <c:varyColors val="1"/>
        <c:ser>
          <c:idx val="0"/>
          <c:order val="0"/>
          <c:tx>
            <c:strRef>
              <c:f>Sheet1!$E$2</c:f>
              <c:strCache>
                <c:ptCount val="1"/>
                <c:pt idx="0">
                  <c:v>Total</c:v>
                </c:pt>
              </c:strCache>
            </c:strRef>
          </c:tx>
          <c:spPr>
            <a:ln>
              <a:solidFill>
                <a:srgbClr val="000099"/>
              </a:solidFill>
            </a:ln>
          </c:spPr>
          <c:dPt>
            <c:idx val="0"/>
            <c:bubble3D val="0"/>
            <c:spPr>
              <a:solidFill>
                <a:srgbClr val="002060"/>
              </a:solidFill>
              <a:ln>
                <a:solidFill>
                  <a:srgbClr val="000099"/>
                </a:solidFill>
              </a:ln>
              <a:effectLst>
                <a:outerShdw blurRad="317500" algn="ctr" rotWithShape="0">
                  <a:prstClr val="black">
                    <a:alpha val="25000"/>
                  </a:prstClr>
                </a:outerShdw>
              </a:effectLst>
            </c:spPr>
            <c:extLst>
              <c:ext xmlns:c16="http://schemas.microsoft.com/office/drawing/2014/chart" uri="{C3380CC4-5D6E-409C-BE32-E72D297353CC}">
                <c16:uniqueId val="{00000001-8817-41DD-9193-CF49AB76E3EB}"/>
              </c:ext>
            </c:extLst>
          </c:dPt>
          <c:dPt>
            <c:idx val="1"/>
            <c:bubble3D val="0"/>
            <c:spPr>
              <a:solidFill>
                <a:srgbClr val="FFC000"/>
              </a:solidFill>
              <a:ln>
                <a:solidFill>
                  <a:srgbClr val="000099"/>
                </a:solidFill>
              </a:ln>
              <a:effectLst>
                <a:outerShdw blurRad="317500" algn="ctr" rotWithShape="0">
                  <a:prstClr val="black">
                    <a:alpha val="25000"/>
                  </a:prstClr>
                </a:outerShdw>
              </a:effectLst>
            </c:spPr>
            <c:extLst>
              <c:ext xmlns:c16="http://schemas.microsoft.com/office/drawing/2014/chart" uri="{C3380CC4-5D6E-409C-BE32-E72D297353CC}">
                <c16:uniqueId val="{00000003-8817-41DD-9193-CF49AB76E3EB}"/>
              </c:ext>
            </c:extLst>
          </c:dPt>
          <c:dPt>
            <c:idx val="2"/>
            <c:bubble3D val="0"/>
            <c:spPr>
              <a:solidFill>
                <a:srgbClr val="0070C0"/>
              </a:solidFill>
              <a:ln>
                <a:solidFill>
                  <a:srgbClr val="000099"/>
                </a:solidFill>
              </a:ln>
              <a:effectLst>
                <a:outerShdw blurRad="317500" algn="ctr" rotWithShape="0">
                  <a:prstClr val="black">
                    <a:alpha val="25000"/>
                  </a:prstClr>
                </a:outerShdw>
              </a:effectLst>
            </c:spPr>
            <c:extLst>
              <c:ext xmlns:c16="http://schemas.microsoft.com/office/drawing/2014/chart" uri="{C3380CC4-5D6E-409C-BE32-E72D297353CC}">
                <c16:uniqueId val="{00000005-8817-41DD-9193-CF49AB76E3EB}"/>
              </c:ext>
            </c:extLst>
          </c:dPt>
          <c:dPt>
            <c:idx val="3"/>
            <c:bubble3D val="0"/>
            <c:spPr>
              <a:solidFill>
                <a:srgbClr val="000099"/>
              </a:solidFill>
              <a:ln>
                <a:solidFill>
                  <a:srgbClr val="000099"/>
                </a:solidFill>
              </a:ln>
              <a:effectLst>
                <a:outerShdw blurRad="317500" algn="ctr" rotWithShape="0">
                  <a:prstClr val="black">
                    <a:alpha val="25000"/>
                  </a:prstClr>
                </a:outerShdw>
              </a:effectLst>
            </c:spPr>
            <c:extLst>
              <c:ext xmlns:c16="http://schemas.microsoft.com/office/drawing/2014/chart" uri="{C3380CC4-5D6E-409C-BE32-E72D297353CC}">
                <c16:uniqueId val="{00000007-8817-41DD-9193-CF49AB76E3EB}"/>
              </c:ext>
            </c:extLst>
          </c:dPt>
          <c:dPt>
            <c:idx val="4"/>
            <c:bubble3D val="0"/>
            <c:spPr>
              <a:solidFill>
                <a:srgbClr val="CC9900"/>
              </a:solidFill>
              <a:ln>
                <a:solidFill>
                  <a:srgbClr val="000099"/>
                </a:solidFill>
              </a:ln>
              <a:effectLst>
                <a:outerShdw blurRad="317500" algn="ctr" rotWithShape="0">
                  <a:prstClr val="black">
                    <a:alpha val="25000"/>
                  </a:prstClr>
                </a:outerShdw>
              </a:effectLst>
            </c:spPr>
            <c:extLst>
              <c:ext xmlns:c16="http://schemas.microsoft.com/office/drawing/2014/chart" uri="{C3380CC4-5D6E-409C-BE32-E72D297353CC}">
                <c16:uniqueId val="{00000009-8817-41DD-9193-CF49AB76E3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Sheet1!$D$3:$D$8</c:f>
              <c:strCache>
                <c:ptCount val="5"/>
                <c:pt idx="0">
                  <c:v>BEAUTY</c:v>
                </c:pt>
                <c:pt idx="1">
                  <c:v>BOOKS</c:v>
                </c:pt>
                <c:pt idx="2">
                  <c:v>CLOTHING</c:v>
                </c:pt>
                <c:pt idx="3">
                  <c:v>ELECTRONICS</c:v>
                </c:pt>
                <c:pt idx="4">
                  <c:v>HOME &amp; KITCHEN</c:v>
                </c:pt>
              </c:strCache>
            </c:strRef>
          </c:cat>
          <c:val>
            <c:numRef>
              <c:f>Sheet1!$E$3:$E$8</c:f>
              <c:numCache>
                <c:formatCode>General</c:formatCode>
                <c:ptCount val="5"/>
                <c:pt idx="0">
                  <c:v>14680584.049999999</c:v>
                </c:pt>
                <c:pt idx="1">
                  <c:v>14785759.649999995</c:v>
                </c:pt>
                <c:pt idx="2">
                  <c:v>15114386.860000005</c:v>
                </c:pt>
                <c:pt idx="3">
                  <c:v>17307173.070000004</c:v>
                </c:pt>
                <c:pt idx="4">
                  <c:v>13325209.110000007</c:v>
                </c:pt>
              </c:numCache>
            </c:numRef>
          </c:val>
          <c:extLst>
            <c:ext xmlns:c16="http://schemas.microsoft.com/office/drawing/2014/chart" uri="{C3380CC4-5D6E-409C-BE32-E72D297353CC}">
              <c16:uniqueId val="{0000000A-8817-41DD-9193-CF49AB76E3E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75864972198921599"/>
          <c:y val="0.40223821380071284"/>
          <c:w val="0.22948059220697492"/>
          <c:h val="0.5452125779176313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rgbClr val="0000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70C0"/>
                </a:solidFill>
              </a:rPr>
              <a:t>MONTHLY</a:t>
            </a:r>
            <a:r>
              <a:rPr lang="en-US" sz="1600" b="1" baseline="0">
                <a:solidFill>
                  <a:srgbClr val="0070C0"/>
                </a:solidFill>
              </a:rPr>
              <a:t> SALES TREND</a:t>
            </a:r>
            <a:endParaRPr lang="en-US" sz="1600"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Sheet1!$H$3:$H$15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Sheet1!$I$3:$I$15</c:f>
              <c:numCache>
                <c:formatCode>General</c:formatCode>
                <c:ptCount val="12"/>
                <c:pt idx="0">
                  <c:v>7160788.1700000009</c:v>
                </c:pt>
                <c:pt idx="1">
                  <c:v>5416573.21</c:v>
                </c:pt>
                <c:pt idx="2">
                  <c:v>6508879.0399999991</c:v>
                </c:pt>
                <c:pt idx="3">
                  <c:v>7334962.9200000018</c:v>
                </c:pt>
                <c:pt idx="4">
                  <c:v>6706004.9699999979</c:v>
                </c:pt>
                <c:pt idx="5">
                  <c:v>4992364.75</c:v>
                </c:pt>
                <c:pt idx="6">
                  <c:v>7637324.9499999983</c:v>
                </c:pt>
                <c:pt idx="7">
                  <c:v>5418893.9799999995</c:v>
                </c:pt>
                <c:pt idx="8">
                  <c:v>6264222.3100000015</c:v>
                </c:pt>
                <c:pt idx="9">
                  <c:v>5702923.3700000001</c:v>
                </c:pt>
                <c:pt idx="10">
                  <c:v>5578535.0799999991</c:v>
                </c:pt>
                <c:pt idx="11">
                  <c:v>6491639.9899999965</c:v>
                </c:pt>
              </c:numCache>
            </c:numRef>
          </c:val>
          <c:smooth val="0"/>
          <c:extLst>
            <c:ext xmlns:c16="http://schemas.microsoft.com/office/drawing/2014/chart" uri="{C3380CC4-5D6E-409C-BE32-E72D297353CC}">
              <c16:uniqueId val="{00000000-935D-49B0-BE75-CB5F821C09E1}"/>
            </c:ext>
          </c:extLst>
        </c:ser>
        <c:dLbls>
          <c:showLegendKey val="0"/>
          <c:showVal val="0"/>
          <c:showCatName val="0"/>
          <c:showSerName val="0"/>
          <c:showPercent val="0"/>
          <c:showBubbleSize val="0"/>
        </c:dLbls>
        <c:marker val="1"/>
        <c:smooth val="0"/>
        <c:axId val="688562719"/>
        <c:axId val="655459599"/>
      </c:lineChart>
      <c:catAx>
        <c:axId val="68856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459599"/>
        <c:crosses val="autoZero"/>
        <c:auto val="1"/>
        <c:lblAlgn val="ctr"/>
        <c:lblOffset val="100"/>
        <c:noMultiLvlLbl val="0"/>
      </c:catAx>
      <c:valAx>
        <c:axId val="65545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56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rgbClr val="0000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[flipkart_sales.PROJECT.xlsx]Sheet1!PivotTable1</c:name>
    <c:fmtId val="2"/>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sz="1800" b="1">
                <a:solidFill>
                  <a:srgbClr val="0070C0"/>
                </a:solidFill>
              </a:rPr>
              <a:t>YEARLY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0099"/>
          </a:solidFill>
          <a:ln>
            <a:noFill/>
          </a:ln>
          <a:effectLst/>
          <a:sp3d/>
        </c:spPr>
      </c:pivotFmt>
      <c:pivotFmt>
        <c:idx val="4"/>
        <c:spPr>
          <a:solidFill>
            <a:srgbClr val="000099"/>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Sheet1!$M$3</c:f>
              <c:strCache>
                <c:ptCount val="1"/>
                <c:pt idx="0">
                  <c:v>Total</c:v>
                </c:pt>
              </c:strCache>
            </c:strRef>
          </c:tx>
          <c:spPr>
            <a:solidFill>
              <a:schemeClr val="accent1"/>
            </a:solidFill>
            <a:ln>
              <a:noFill/>
            </a:ln>
            <a:effectLst/>
            <a:sp3d/>
          </c:spPr>
          <c:invertIfNegative val="0"/>
          <c:dPt>
            <c:idx val="0"/>
            <c:invertIfNegative val="0"/>
            <c:bubble3D val="0"/>
            <c:spPr>
              <a:solidFill>
                <a:srgbClr val="000099"/>
              </a:solidFill>
              <a:ln>
                <a:noFill/>
              </a:ln>
              <a:effectLst/>
              <a:sp3d/>
            </c:spPr>
            <c:extLst>
              <c:ext xmlns:c16="http://schemas.microsoft.com/office/drawing/2014/chart" uri="{C3380CC4-5D6E-409C-BE32-E72D297353CC}">
                <c16:uniqueId val="{00000001-01E1-4128-A40A-2B1F62469992}"/>
              </c:ext>
            </c:extLst>
          </c:dPt>
          <c:dPt>
            <c:idx val="1"/>
            <c:invertIfNegative val="0"/>
            <c:bubble3D val="0"/>
            <c:spPr>
              <a:solidFill>
                <a:srgbClr val="000099"/>
              </a:solidFill>
              <a:ln>
                <a:noFill/>
              </a:ln>
              <a:effectLst/>
              <a:sp3d/>
            </c:spPr>
            <c:extLst>
              <c:ext xmlns:c16="http://schemas.microsoft.com/office/drawing/2014/chart" uri="{C3380CC4-5D6E-409C-BE32-E72D297353CC}">
                <c16:uniqueId val="{00000002-01E1-4128-A40A-2B1F62469992}"/>
              </c:ext>
            </c:extLst>
          </c:dPt>
          <c:cat>
            <c:strRef>
              <c:f>Sheet1!$L$4:$L$6</c:f>
              <c:strCache>
                <c:ptCount val="2"/>
                <c:pt idx="0">
                  <c:v>2024</c:v>
                </c:pt>
                <c:pt idx="1">
                  <c:v>2025</c:v>
                </c:pt>
              </c:strCache>
            </c:strRef>
          </c:cat>
          <c:val>
            <c:numRef>
              <c:f>Sheet1!$M$4:$M$6</c:f>
              <c:numCache>
                <c:formatCode>General</c:formatCode>
                <c:ptCount val="2"/>
                <c:pt idx="0">
                  <c:v>66546228.370000049</c:v>
                </c:pt>
                <c:pt idx="1">
                  <c:v>8666884.370000001</c:v>
                </c:pt>
              </c:numCache>
            </c:numRef>
          </c:val>
          <c:extLst>
            <c:ext xmlns:c16="http://schemas.microsoft.com/office/drawing/2014/chart" uri="{C3380CC4-5D6E-409C-BE32-E72D297353CC}">
              <c16:uniqueId val="{00000000-01E1-4128-A40A-2B1F62469992}"/>
            </c:ext>
          </c:extLst>
        </c:ser>
        <c:dLbls>
          <c:showLegendKey val="0"/>
          <c:showVal val="0"/>
          <c:showCatName val="0"/>
          <c:showSerName val="0"/>
          <c:showPercent val="0"/>
          <c:showBubbleSize val="0"/>
        </c:dLbls>
        <c:gapWidth val="150"/>
        <c:shape val="box"/>
        <c:axId val="965734559"/>
        <c:axId val="510787759"/>
        <c:axId val="0"/>
      </c:bar3DChart>
      <c:catAx>
        <c:axId val="965734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87759"/>
        <c:crosses val="autoZero"/>
        <c:auto val="1"/>
        <c:lblAlgn val="ctr"/>
        <c:lblOffset val="100"/>
        <c:noMultiLvlLbl val="0"/>
      </c:catAx>
      <c:valAx>
        <c:axId val="51078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73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rgbClr val="0033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70C0"/>
                </a:solidFill>
              </a:rPr>
              <a:t>PRODUCT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Sheet1!$R$3</c:f>
              <c:strCache>
                <c:ptCount val="1"/>
                <c:pt idx="0">
                  <c:v>Total</c:v>
                </c:pt>
              </c:strCache>
            </c:strRef>
          </c:tx>
          <c:spPr>
            <a:solidFill>
              <a:schemeClr val="accent1"/>
            </a:solidFill>
            <a:ln>
              <a:noFill/>
            </a:ln>
            <a:effectLst/>
          </c:spPr>
          <c:invertIfNegative val="0"/>
          <c:cat>
            <c:strRef>
              <c:f>Sheet1!$Q$4:$Q$29</c:f>
              <c:strCache>
                <c:ptCount val="25"/>
                <c:pt idx="0">
                  <c:v>BEDSHEET</c:v>
                </c:pt>
                <c:pt idx="1">
                  <c:v>COMIC BOOK</c:v>
                </c:pt>
                <c:pt idx="2">
                  <c:v>COOKBOOK</c:v>
                </c:pt>
                <c:pt idx="3">
                  <c:v>COOKWARE SET</c:v>
                </c:pt>
                <c:pt idx="4">
                  <c:v>DRESS</c:v>
                </c:pt>
                <c:pt idx="5">
                  <c:v>EDUCATIONAL BOOK</c:v>
                </c:pt>
                <c:pt idx="6">
                  <c:v>FACE CREAM</c:v>
                </c:pt>
                <c:pt idx="7">
                  <c:v>FICTION NOVEL</c:v>
                </c:pt>
                <c:pt idx="8">
                  <c:v>HAIR DRYER</c:v>
                </c:pt>
                <c:pt idx="9">
                  <c:v>HEADPHONES</c:v>
                </c:pt>
                <c:pt idx="10">
                  <c:v>JACKET</c:v>
                </c:pt>
                <c:pt idx="11">
                  <c:v>JEANS</c:v>
                </c:pt>
                <c:pt idx="12">
                  <c:v>LAPTOP</c:v>
                </c:pt>
                <c:pt idx="13">
                  <c:v>LIPSTICK</c:v>
                </c:pt>
                <c:pt idx="14">
                  <c:v>MIXER GRINDER</c:v>
                </c:pt>
                <c:pt idx="15">
                  <c:v>PERFUME</c:v>
                </c:pt>
                <c:pt idx="16">
                  <c:v>SELF-HELP BOOK</c:v>
                </c:pt>
                <c:pt idx="17">
                  <c:v>SHAMPOO</c:v>
                </c:pt>
                <c:pt idx="18">
                  <c:v>SMARTPHONE</c:v>
                </c:pt>
                <c:pt idx="19">
                  <c:v>SMARTWATCH</c:v>
                </c:pt>
                <c:pt idx="20">
                  <c:v>SNEAKERS</c:v>
                </c:pt>
                <c:pt idx="21">
                  <c:v>SOFA COVER</c:v>
                </c:pt>
                <c:pt idx="22">
                  <c:v>TABLE LAMP</c:v>
                </c:pt>
                <c:pt idx="23">
                  <c:v>TABLET</c:v>
                </c:pt>
                <c:pt idx="24">
                  <c:v>T-SHIRT</c:v>
                </c:pt>
              </c:strCache>
            </c:strRef>
          </c:cat>
          <c:val>
            <c:numRef>
              <c:f>Sheet1!$R$4:$R$29</c:f>
              <c:numCache>
                <c:formatCode>General</c:formatCode>
                <c:ptCount val="25"/>
                <c:pt idx="0">
                  <c:v>1883843.2799999998</c:v>
                </c:pt>
                <c:pt idx="1">
                  <c:v>1938459.9799999995</c:v>
                </c:pt>
                <c:pt idx="2">
                  <c:v>2514179.21</c:v>
                </c:pt>
                <c:pt idx="3">
                  <c:v>2490551.4299999997</c:v>
                </c:pt>
                <c:pt idx="4">
                  <c:v>2477929.9300000002</c:v>
                </c:pt>
                <c:pt idx="5">
                  <c:v>4522055.3500000006</c:v>
                </c:pt>
                <c:pt idx="6">
                  <c:v>3646816.9700000011</c:v>
                </c:pt>
                <c:pt idx="7">
                  <c:v>3172999.9099999992</c:v>
                </c:pt>
                <c:pt idx="8">
                  <c:v>2505130.6700000004</c:v>
                </c:pt>
                <c:pt idx="9">
                  <c:v>3722765.2699999991</c:v>
                </c:pt>
                <c:pt idx="10">
                  <c:v>3161049.0499999993</c:v>
                </c:pt>
                <c:pt idx="11">
                  <c:v>3685259.600000001</c:v>
                </c:pt>
                <c:pt idx="12">
                  <c:v>4132783.7199999993</c:v>
                </c:pt>
                <c:pt idx="13">
                  <c:v>2844209.0799999991</c:v>
                </c:pt>
                <c:pt idx="14">
                  <c:v>2297176.6000000006</c:v>
                </c:pt>
                <c:pt idx="15">
                  <c:v>3266905.7500000005</c:v>
                </c:pt>
                <c:pt idx="16">
                  <c:v>2638065.2000000007</c:v>
                </c:pt>
                <c:pt idx="17">
                  <c:v>2417521.58</c:v>
                </c:pt>
                <c:pt idx="18">
                  <c:v>2875922.8299999996</c:v>
                </c:pt>
                <c:pt idx="19">
                  <c:v>3680177.8000000003</c:v>
                </c:pt>
                <c:pt idx="20">
                  <c:v>2883134.9600000004</c:v>
                </c:pt>
                <c:pt idx="21">
                  <c:v>2666946.1200000006</c:v>
                </c:pt>
                <c:pt idx="22">
                  <c:v>3986691.6800000011</c:v>
                </c:pt>
                <c:pt idx="23">
                  <c:v>2895523.4499999993</c:v>
                </c:pt>
                <c:pt idx="24">
                  <c:v>2907013.32</c:v>
                </c:pt>
              </c:numCache>
            </c:numRef>
          </c:val>
          <c:extLst>
            <c:ext xmlns:c16="http://schemas.microsoft.com/office/drawing/2014/chart" uri="{C3380CC4-5D6E-409C-BE32-E72D297353CC}">
              <c16:uniqueId val="{00000000-34A5-4BC4-B7E4-291CEACB96EA}"/>
            </c:ext>
          </c:extLst>
        </c:ser>
        <c:dLbls>
          <c:showLegendKey val="0"/>
          <c:showVal val="0"/>
          <c:showCatName val="0"/>
          <c:showSerName val="0"/>
          <c:showPercent val="0"/>
          <c:showBubbleSize val="0"/>
        </c:dLbls>
        <c:gapWidth val="182"/>
        <c:axId val="1138972735"/>
        <c:axId val="982864591"/>
      </c:barChart>
      <c:catAx>
        <c:axId val="1138972735"/>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82864591"/>
        <c:crosses val="autoZero"/>
        <c:auto val="1"/>
        <c:lblAlgn val="ctr"/>
        <c:lblOffset val="100"/>
        <c:noMultiLvlLbl val="0"/>
      </c:catAx>
      <c:valAx>
        <c:axId val="982864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7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070C0"/>
                </a:solidFill>
              </a:rPr>
              <a:t>QUANTITY SOLD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C9900"/>
          </a:solidFill>
          <a:ln>
            <a:noFill/>
          </a:ln>
          <a:effectLst>
            <a:outerShdw blurRad="254000" sx="102000" sy="102000" algn="ctr" rotWithShape="0">
              <a:prstClr val="black">
                <a:alpha val="20000"/>
              </a:prstClr>
            </a:outerShdw>
          </a:effectLst>
          <a:sp3d/>
        </c:spPr>
      </c:pivotFmt>
      <c:pivotFmt>
        <c:idx val="2"/>
        <c:spPr>
          <a:solidFill>
            <a:srgbClr val="FFCC00"/>
          </a:solidFill>
          <a:ln>
            <a:noFill/>
          </a:ln>
          <a:effectLst>
            <a:outerShdw blurRad="254000" sx="102000" sy="102000" algn="ctr" rotWithShape="0">
              <a:prstClr val="black">
                <a:alpha val="20000"/>
              </a:prstClr>
            </a:outerShdw>
          </a:effectLst>
          <a:sp3d/>
        </c:spPr>
      </c:pivotFmt>
      <c:pivotFmt>
        <c:idx val="3"/>
        <c:spPr>
          <a:solidFill>
            <a:srgbClr val="000099"/>
          </a:solidFill>
          <a:ln>
            <a:noFill/>
          </a:ln>
          <a:effectLst>
            <a:outerShdw blurRad="254000" sx="102000" sy="102000" algn="ctr" rotWithShape="0">
              <a:prstClr val="black">
                <a:alpha val="20000"/>
              </a:prstClr>
            </a:outerShdw>
          </a:effectLst>
          <a:sp3d/>
        </c:spPr>
      </c:pivotFmt>
      <c:pivotFmt>
        <c:idx val="4"/>
        <c:spPr>
          <a:solidFill>
            <a:schemeClr val="tx2">
              <a:lumMod val="75000"/>
              <a:lumOff val="25000"/>
            </a:schemeClr>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CC00"/>
          </a:solidFill>
          <a:ln>
            <a:noFill/>
          </a:ln>
          <a:effectLst>
            <a:outerShdw blurRad="254000" sx="102000" sy="102000" algn="ctr" rotWithShape="0">
              <a:prstClr val="black">
                <a:alpha val="20000"/>
              </a:prstClr>
            </a:outerShdw>
          </a:effectLst>
          <a:sp3d/>
        </c:spPr>
      </c:pivotFmt>
      <c:pivotFmt>
        <c:idx val="7"/>
        <c:spPr>
          <a:solidFill>
            <a:schemeClr val="tx2">
              <a:lumMod val="75000"/>
              <a:lumOff val="25000"/>
            </a:schemeClr>
          </a:solidFill>
          <a:ln>
            <a:noFill/>
          </a:ln>
          <a:effectLst>
            <a:outerShdw blurRad="254000" sx="102000" sy="102000" algn="ctr" rotWithShape="0">
              <a:prstClr val="black">
                <a:alpha val="20000"/>
              </a:prstClr>
            </a:outerShdw>
          </a:effectLst>
          <a:sp3d/>
        </c:spPr>
      </c:pivotFmt>
      <c:pivotFmt>
        <c:idx val="8"/>
        <c:spPr>
          <a:solidFill>
            <a:srgbClr val="000099"/>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rgbClr val="CC9900"/>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FFCC00"/>
          </a:solidFill>
          <a:ln>
            <a:noFill/>
          </a:ln>
          <a:effectLst>
            <a:outerShdw blurRad="254000" sx="102000" sy="102000" algn="ctr" rotWithShape="0">
              <a:prstClr val="black">
                <a:alpha val="20000"/>
              </a:prstClr>
            </a:outerShdw>
          </a:effectLst>
          <a:sp3d/>
        </c:spPr>
      </c:pivotFmt>
      <c:pivotFmt>
        <c:idx val="13"/>
        <c:spPr>
          <a:solidFill>
            <a:schemeClr val="tx2">
              <a:lumMod val="75000"/>
              <a:lumOff val="25000"/>
            </a:schemeClr>
          </a:solidFill>
          <a:ln>
            <a:noFill/>
          </a:ln>
          <a:effectLst>
            <a:outerShdw blurRad="254000" sx="102000" sy="102000" algn="ctr" rotWithShape="0">
              <a:prstClr val="black">
                <a:alpha val="20000"/>
              </a:prstClr>
            </a:outerShdw>
          </a:effectLst>
          <a:sp3d/>
        </c:spPr>
      </c:pivotFmt>
      <c:pivotFmt>
        <c:idx val="14"/>
        <c:spPr>
          <a:solidFill>
            <a:srgbClr val="000099"/>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rgbClr val="CC9900"/>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355234011085685E-2"/>
          <c:y val="0.19907758253506649"/>
          <c:w val="0.69468191547853197"/>
          <c:h val="0.66691794215111999"/>
        </c:manualLayout>
      </c:layout>
      <c:pie3DChart>
        <c:varyColors val="1"/>
        <c:ser>
          <c:idx val="0"/>
          <c:order val="0"/>
          <c:tx>
            <c:strRef>
              <c:f>Sheet1!$V$3</c:f>
              <c:strCache>
                <c:ptCount val="1"/>
                <c:pt idx="0">
                  <c:v>Total</c:v>
                </c:pt>
              </c:strCache>
            </c:strRef>
          </c:tx>
          <c:dPt>
            <c:idx val="0"/>
            <c:bubble3D val="0"/>
            <c:spPr>
              <a:solidFill>
                <a:srgbClr val="FFCC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A5F-46B4-B3FF-4B8E0DFE2378}"/>
              </c:ext>
            </c:extLst>
          </c:dPt>
          <c:dPt>
            <c:idx val="1"/>
            <c:bubble3D val="0"/>
            <c:spPr>
              <a:solidFill>
                <a:schemeClr val="tx2">
                  <a:lumMod val="75000"/>
                  <a:lumOff val="2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A5F-46B4-B3FF-4B8E0DFE2378}"/>
              </c:ext>
            </c:extLst>
          </c:dPt>
          <c:dPt>
            <c:idx val="2"/>
            <c:bubble3D val="0"/>
            <c:spPr>
              <a:solidFill>
                <a:srgbClr val="000099"/>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A5F-46B4-B3FF-4B8E0DFE237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A5F-46B4-B3FF-4B8E0DFE2378}"/>
              </c:ext>
            </c:extLst>
          </c:dPt>
          <c:dPt>
            <c:idx val="4"/>
            <c:bubble3D val="0"/>
            <c:spPr>
              <a:solidFill>
                <a:srgbClr val="CC99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0A5F-46B4-B3FF-4B8E0DFE237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Sheet1!$U$4:$U$9</c:f>
              <c:strCache>
                <c:ptCount val="5"/>
                <c:pt idx="0">
                  <c:v>BEAUTY</c:v>
                </c:pt>
                <c:pt idx="1">
                  <c:v>BOOKS</c:v>
                </c:pt>
                <c:pt idx="2">
                  <c:v>CLOTHING</c:v>
                </c:pt>
                <c:pt idx="3">
                  <c:v>ELECTRONICS</c:v>
                </c:pt>
                <c:pt idx="4">
                  <c:v>HOME &amp; KITCHEN</c:v>
                </c:pt>
              </c:strCache>
            </c:strRef>
          </c:cat>
          <c:val>
            <c:numRef>
              <c:f>Sheet1!$V$4:$V$9</c:f>
              <c:numCache>
                <c:formatCode>General</c:formatCode>
                <c:ptCount val="5"/>
                <c:pt idx="0">
                  <c:v>583</c:v>
                </c:pt>
                <c:pt idx="1">
                  <c:v>653</c:v>
                </c:pt>
                <c:pt idx="2">
                  <c:v>609</c:v>
                </c:pt>
                <c:pt idx="3">
                  <c:v>673</c:v>
                </c:pt>
                <c:pt idx="4">
                  <c:v>579</c:v>
                </c:pt>
              </c:numCache>
            </c:numRef>
          </c:val>
          <c:extLst>
            <c:ext xmlns:c16="http://schemas.microsoft.com/office/drawing/2014/chart" uri="{C3380CC4-5D6E-409C-BE32-E72D297353CC}">
              <c16:uniqueId val="{0000000A-0A5F-46B4-B3FF-4B8E0DFE2378}"/>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3931899037152782"/>
          <c:y val="0.19285084746859452"/>
          <c:w val="0.21147729216833014"/>
          <c:h val="0.4590036984150275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70C0"/>
                </a:solidFill>
              </a:rPr>
              <a:t>CATEGORY</a:t>
            </a:r>
            <a:r>
              <a:rPr lang="en-US" sz="1600" b="1" baseline="0">
                <a:solidFill>
                  <a:srgbClr val="0070C0"/>
                </a:solidFill>
              </a:rPr>
              <a:t> BY RATING</a:t>
            </a:r>
            <a:endParaRPr lang="en-US" sz="1600" b="1">
              <a:solidFill>
                <a:srgbClr val="0070C0"/>
              </a:solidFill>
            </a:endParaRPr>
          </a:p>
        </c:rich>
      </c:tx>
      <c:layout>
        <c:manualLayout>
          <c:xMode val="edge"/>
          <c:yMode val="edge"/>
          <c:x val="0.35263303504450771"/>
          <c:y val="7.73175740118607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Sheet1!$Y$3</c:f>
              <c:strCache>
                <c:ptCount val="1"/>
                <c:pt idx="0">
                  <c:v>Total</c:v>
                </c:pt>
              </c:strCache>
            </c:strRef>
          </c:tx>
          <c:spPr>
            <a:solidFill>
              <a:srgbClr val="000099"/>
            </a:solidFill>
            <a:ln>
              <a:noFill/>
            </a:ln>
            <a:effectLst/>
          </c:spPr>
          <c:invertIfNegative val="0"/>
          <c:cat>
            <c:strRef>
              <c:f>Sheet1!$X$4:$X$9</c:f>
              <c:strCache>
                <c:ptCount val="5"/>
                <c:pt idx="0">
                  <c:v>BEAUTY</c:v>
                </c:pt>
                <c:pt idx="1">
                  <c:v>BOOKS</c:v>
                </c:pt>
                <c:pt idx="2">
                  <c:v>CLOTHING</c:v>
                </c:pt>
                <c:pt idx="3">
                  <c:v>ELECTRONICS</c:v>
                </c:pt>
                <c:pt idx="4">
                  <c:v>HOME &amp; KITCHEN</c:v>
                </c:pt>
              </c:strCache>
            </c:strRef>
          </c:cat>
          <c:val>
            <c:numRef>
              <c:f>Sheet1!$Y$4:$Y$9</c:f>
              <c:numCache>
                <c:formatCode>General</c:formatCode>
                <c:ptCount val="5"/>
                <c:pt idx="0">
                  <c:v>2.8723958333333339</c:v>
                </c:pt>
                <c:pt idx="1">
                  <c:v>3.0799043062200977</c:v>
                </c:pt>
                <c:pt idx="2">
                  <c:v>2.9714285714285702</c:v>
                </c:pt>
                <c:pt idx="3">
                  <c:v>2.9884792626728096</c:v>
                </c:pt>
                <c:pt idx="4">
                  <c:v>3.1388601036269432</c:v>
                </c:pt>
              </c:numCache>
            </c:numRef>
          </c:val>
          <c:extLst>
            <c:ext xmlns:c16="http://schemas.microsoft.com/office/drawing/2014/chart" uri="{C3380CC4-5D6E-409C-BE32-E72D297353CC}">
              <c16:uniqueId val="{00000000-7709-4862-B092-17FED059D376}"/>
            </c:ext>
          </c:extLst>
        </c:ser>
        <c:dLbls>
          <c:showLegendKey val="0"/>
          <c:showVal val="0"/>
          <c:showCatName val="0"/>
          <c:showSerName val="0"/>
          <c:showPercent val="0"/>
          <c:showBubbleSize val="0"/>
        </c:dLbls>
        <c:gapWidth val="219"/>
        <c:overlap val="-27"/>
        <c:axId val="1137413567"/>
        <c:axId val="982836751"/>
      </c:barChart>
      <c:catAx>
        <c:axId val="113741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82836751"/>
        <c:crosses val="autoZero"/>
        <c:auto val="1"/>
        <c:lblAlgn val="ctr"/>
        <c:lblOffset val="100"/>
        <c:noMultiLvlLbl val="0"/>
      </c:catAx>
      <c:valAx>
        <c:axId val="98283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3741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70C0"/>
                </a:solidFill>
              </a:rPr>
              <a:t>ORDER</a:t>
            </a:r>
            <a:r>
              <a:rPr lang="en-US" sz="1600" b="1" baseline="0">
                <a:solidFill>
                  <a:srgbClr val="0070C0"/>
                </a:solidFill>
              </a:rPr>
              <a:t> BY PAYMENT METHOD</a:t>
            </a:r>
          </a:p>
        </c:rich>
      </c:tx>
      <c:layout>
        <c:manualLayout>
          <c:xMode val="edge"/>
          <c:yMode val="edge"/>
          <c:x val="0.31176368578927632"/>
          <c:y val="0.115440161399646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Sheet1!$AC$2</c:f>
              <c:strCache>
                <c:ptCount val="1"/>
                <c:pt idx="0">
                  <c:v>Total</c:v>
                </c:pt>
              </c:strCache>
            </c:strRef>
          </c:tx>
          <c:spPr>
            <a:solidFill>
              <a:srgbClr val="000099"/>
            </a:solidFill>
            <a:ln>
              <a:noFill/>
            </a:ln>
            <a:effectLst/>
          </c:spPr>
          <c:invertIfNegative val="0"/>
          <c:cat>
            <c:strRef>
              <c:f>Sheet1!$AB$3:$AB$9</c:f>
              <c:strCache>
                <c:ptCount val="6"/>
                <c:pt idx="0">
                  <c:v>COD</c:v>
                </c:pt>
                <c:pt idx="1">
                  <c:v>CREDIT CARD</c:v>
                </c:pt>
                <c:pt idx="2">
                  <c:v>DEBIT CARD</c:v>
                </c:pt>
                <c:pt idx="3">
                  <c:v>NET BANKING</c:v>
                </c:pt>
                <c:pt idx="4">
                  <c:v>UPI</c:v>
                </c:pt>
                <c:pt idx="5">
                  <c:v>WALLET</c:v>
                </c:pt>
              </c:strCache>
            </c:strRef>
          </c:cat>
          <c:val>
            <c:numRef>
              <c:f>Sheet1!$AC$3:$AC$9</c:f>
              <c:numCache>
                <c:formatCode>General</c:formatCode>
                <c:ptCount val="6"/>
                <c:pt idx="0">
                  <c:v>169</c:v>
                </c:pt>
                <c:pt idx="1">
                  <c:v>146</c:v>
                </c:pt>
                <c:pt idx="2">
                  <c:v>171</c:v>
                </c:pt>
                <c:pt idx="3">
                  <c:v>166</c:v>
                </c:pt>
                <c:pt idx="4">
                  <c:v>176</c:v>
                </c:pt>
                <c:pt idx="5">
                  <c:v>172</c:v>
                </c:pt>
              </c:numCache>
            </c:numRef>
          </c:val>
          <c:extLst>
            <c:ext xmlns:c16="http://schemas.microsoft.com/office/drawing/2014/chart" uri="{C3380CC4-5D6E-409C-BE32-E72D297353CC}">
              <c16:uniqueId val="{00000000-63C3-47BA-9988-709E9CCFC434}"/>
            </c:ext>
          </c:extLst>
        </c:ser>
        <c:dLbls>
          <c:showLegendKey val="0"/>
          <c:showVal val="0"/>
          <c:showCatName val="0"/>
          <c:showSerName val="0"/>
          <c:showPercent val="0"/>
          <c:showBubbleSize val="0"/>
        </c:dLbls>
        <c:gapWidth val="150"/>
        <c:overlap val="100"/>
        <c:axId val="1138919839"/>
        <c:axId val="982859791"/>
      </c:barChart>
      <c:catAx>
        <c:axId val="1138919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82859791"/>
        <c:crosses val="autoZero"/>
        <c:auto val="1"/>
        <c:lblAlgn val="ctr"/>
        <c:lblOffset val="100"/>
        <c:noMultiLvlLbl val="0"/>
      </c:catAx>
      <c:valAx>
        <c:axId val="982859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1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SALES</a:t>
            </a:r>
            <a:r>
              <a:rPr lang="en-US" b="1" baseline="0">
                <a:solidFill>
                  <a:srgbClr val="0070C0"/>
                </a:solidFill>
              </a:rPr>
              <a:t> BY PAYMENT METHOD</a:t>
            </a:r>
            <a:endParaRPr lang="en-US"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Sheet1!$AG$2</c:f>
              <c:strCache>
                <c:ptCount val="1"/>
                <c:pt idx="0">
                  <c:v>Total</c:v>
                </c:pt>
              </c:strCache>
            </c:strRef>
          </c:tx>
          <c:spPr>
            <a:solidFill>
              <a:srgbClr val="003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Sheet1!$AF$3:$AF$9</c:f>
              <c:strCache>
                <c:ptCount val="6"/>
                <c:pt idx="0">
                  <c:v>COD</c:v>
                </c:pt>
                <c:pt idx="1">
                  <c:v>CREDIT CARD</c:v>
                </c:pt>
                <c:pt idx="2">
                  <c:v>DEBIT CARD</c:v>
                </c:pt>
                <c:pt idx="3">
                  <c:v>NET BANKING</c:v>
                </c:pt>
                <c:pt idx="4">
                  <c:v>UPI</c:v>
                </c:pt>
                <c:pt idx="5">
                  <c:v>WALLET</c:v>
                </c:pt>
              </c:strCache>
            </c:strRef>
          </c:cat>
          <c:val>
            <c:numRef>
              <c:f>Sheet1!$AG$3:$AG$9</c:f>
              <c:numCache>
                <c:formatCode>General</c:formatCode>
                <c:ptCount val="6"/>
                <c:pt idx="0">
                  <c:v>12457136.549999999</c:v>
                </c:pt>
                <c:pt idx="1">
                  <c:v>11155785.989999998</c:v>
                </c:pt>
                <c:pt idx="2">
                  <c:v>12142559.040000003</c:v>
                </c:pt>
                <c:pt idx="3">
                  <c:v>13219947.52</c:v>
                </c:pt>
                <c:pt idx="4">
                  <c:v>12790919.48</c:v>
                </c:pt>
                <c:pt idx="5">
                  <c:v>13446764.160000002</c:v>
                </c:pt>
              </c:numCache>
            </c:numRef>
          </c:val>
          <c:extLst>
            <c:ext xmlns:c16="http://schemas.microsoft.com/office/drawing/2014/chart" uri="{C3380CC4-5D6E-409C-BE32-E72D297353CC}">
              <c16:uniqueId val="{00000000-459E-4CA4-9713-608D8700BD82}"/>
            </c:ext>
          </c:extLst>
        </c:ser>
        <c:dLbls>
          <c:dLblPos val="outEnd"/>
          <c:showLegendKey val="0"/>
          <c:showVal val="1"/>
          <c:showCatName val="0"/>
          <c:showSerName val="0"/>
          <c:showPercent val="0"/>
          <c:showBubbleSize val="0"/>
        </c:dLbls>
        <c:gapWidth val="219"/>
        <c:overlap val="-27"/>
        <c:axId val="1235034431"/>
        <c:axId val="982853551"/>
      </c:barChart>
      <c:catAx>
        <c:axId val="123503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853551"/>
        <c:crosses val="autoZero"/>
        <c:auto val="1"/>
        <c:lblAlgn val="ctr"/>
        <c:lblOffset val="100"/>
        <c:noMultiLvlLbl val="0"/>
      </c:catAx>
      <c:valAx>
        <c:axId val="98285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3503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[flipkart_sales.PROJECT.xlsx]Sheet1!PivotTable8</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a:solidFill>
                  <a:srgbClr val="0070C0"/>
                </a:solidFill>
              </a:rPr>
              <a:t>AVERAGE</a:t>
            </a:r>
            <a:r>
              <a:rPr lang="en-US" sz="1400" b="1" baseline="0">
                <a:solidFill>
                  <a:srgbClr val="0070C0"/>
                </a:solidFill>
              </a:rPr>
              <a:t> OF PAYMENT METHOD</a:t>
            </a:r>
            <a:endParaRPr lang="en-US" sz="1400" b="1">
              <a:solidFill>
                <a:srgbClr val="0070C0"/>
              </a:solidFill>
            </a:endParaRPr>
          </a:p>
        </c:rich>
      </c:tx>
      <c:layout>
        <c:manualLayout>
          <c:xMode val="edge"/>
          <c:yMode val="edge"/>
          <c:x val="0.16813121297140646"/>
          <c:y val="0.1076832942378084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0099"/>
          </a:solidFill>
          <a:ln>
            <a:noFill/>
          </a:ln>
          <a:effectLst>
            <a:outerShdw blurRad="254000" sx="102000" sy="102000" algn="ctr" rotWithShape="0">
              <a:prstClr val="black">
                <a:alpha val="20000"/>
              </a:prstClr>
            </a:outerShdw>
          </a:effectLst>
          <a:sp3d/>
        </c:spPr>
      </c:pivotFmt>
      <c:pivotFmt>
        <c:idx val="2"/>
        <c:spPr>
          <a:solidFill>
            <a:srgbClr val="00B0F0"/>
          </a:solidFill>
          <a:ln>
            <a:noFill/>
          </a:ln>
          <a:effectLst>
            <a:outerShdw blurRad="254000" sx="102000" sy="102000" algn="ctr" rotWithShape="0">
              <a:prstClr val="black">
                <a:alpha val="20000"/>
              </a:prstClr>
            </a:outerShdw>
          </a:effectLst>
          <a:sp3d/>
        </c:spPr>
      </c:pivotFmt>
      <c:pivotFmt>
        <c:idx val="3"/>
        <c:spPr>
          <a:solidFill>
            <a:srgbClr val="CC9900"/>
          </a:solidFill>
          <a:ln>
            <a:noFill/>
          </a:ln>
          <a:effectLst>
            <a:outerShdw blurRad="254000" sx="102000" sy="102000" algn="ctr" rotWithShape="0">
              <a:prstClr val="black">
                <a:alpha val="20000"/>
              </a:prstClr>
            </a:outerShdw>
          </a:effectLst>
          <a:sp3d/>
        </c:spPr>
      </c:pivotFmt>
      <c:pivotFmt>
        <c:idx val="4"/>
        <c:spPr>
          <a:solidFill>
            <a:srgbClr val="FFCC00"/>
          </a:solidFill>
          <a:ln>
            <a:noFill/>
          </a:ln>
          <a:effectLst>
            <a:outerShdw blurRad="254000" sx="102000" sy="102000" algn="ctr" rotWithShape="0">
              <a:prstClr val="black">
                <a:alpha val="20000"/>
              </a:prstClr>
            </a:outerShdw>
          </a:effectLst>
          <a:sp3d/>
        </c:spPr>
      </c:pivotFmt>
      <c:pivotFmt>
        <c:idx val="5"/>
        <c:spPr>
          <a:solidFill>
            <a:srgbClr val="0070C0"/>
          </a:solidFill>
          <a:ln>
            <a:noFill/>
          </a:ln>
          <a:effectLst>
            <a:outerShdw blurRad="254000" sx="102000" sy="102000" algn="ctr" rotWithShape="0">
              <a:prstClr val="black">
                <a:alpha val="20000"/>
              </a:prstClr>
            </a:outerShdw>
          </a:effectLst>
          <a:sp3d/>
        </c:spPr>
      </c:pivotFmt>
      <c:pivotFmt>
        <c:idx val="6"/>
        <c:spPr>
          <a:solidFill>
            <a:schemeClr val="tx2">
              <a:lumMod val="25000"/>
              <a:lumOff val="75000"/>
            </a:schemeClr>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B0F0"/>
          </a:solidFill>
          <a:ln>
            <a:noFill/>
          </a:ln>
          <a:effectLst>
            <a:outerShdw blurRad="254000" sx="102000" sy="102000" algn="ctr" rotWithShape="0">
              <a:prstClr val="black">
                <a:alpha val="20000"/>
              </a:prstClr>
            </a:outerShdw>
          </a:effectLst>
          <a:sp3d/>
        </c:spPr>
      </c:pivotFmt>
      <c:pivotFmt>
        <c:idx val="9"/>
        <c:spPr>
          <a:solidFill>
            <a:srgbClr val="CC9900"/>
          </a:solidFill>
          <a:ln>
            <a:noFill/>
          </a:ln>
          <a:effectLst>
            <a:outerShdw blurRad="254000" sx="102000" sy="102000" algn="ctr" rotWithShape="0">
              <a:prstClr val="black">
                <a:alpha val="20000"/>
              </a:prstClr>
            </a:outerShdw>
          </a:effectLst>
          <a:sp3d/>
        </c:spPr>
      </c:pivotFmt>
      <c:pivotFmt>
        <c:idx val="10"/>
        <c:spPr>
          <a:solidFill>
            <a:srgbClr val="FFCC00"/>
          </a:solidFill>
          <a:ln>
            <a:noFill/>
          </a:ln>
          <a:effectLst>
            <a:outerShdw blurRad="254000" sx="102000" sy="102000" algn="ctr" rotWithShape="0">
              <a:prstClr val="black">
                <a:alpha val="20000"/>
              </a:prstClr>
            </a:outerShdw>
          </a:effectLst>
          <a:sp3d/>
        </c:spPr>
      </c:pivotFmt>
      <c:pivotFmt>
        <c:idx val="11"/>
        <c:spPr>
          <a:solidFill>
            <a:srgbClr val="0070C0"/>
          </a:solidFill>
          <a:ln>
            <a:noFill/>
          </a:ln>
          <a:effectLst>
            <a:outerShdw blurRad="254000" sx="102000" sy="102000" algn="ctr" rotWithShape="0">
              <a:prstClr val="black">
                <a:alpha val="20000"/>
              </a:prstClr>
            </a:outerShdw>
          </a:effectLst>
          <a:sp3d/>
        </c:spPr>
      </c:pivotFmt>
      <c:pivotFmt>
        <c:idx val="12"/>
        <c:spPr>
          <a:solidFill>
            <a:schemeClr val="tx2">
              <a:lumMod val="25000"/>
              <a:lumOff val="75000"/>
            </a:schemeClr>
          </a:solidFill>
          <a:ln>
            <a:noFill/>
          </a:ln>
          <a:effectLst>
            <a:outerShdw blurRad="254000" sx="102000" sy="102000" algn="ctr" rotWithShape="0">
              <a:prstClr val="black">
                <a:alpha val="20000"/>
              </a:prstClr>
            </a:outerShdw>
          </a:effectLst>
          <a:sp3d/>
        </c:spPr>
      </c:pivotFmt>
      <c:pivotFmt>
        <c:idx val="13"/>
        <c:spPr>
          <a:solidFill>
            <a:srgbClr val="000099"/>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00B0F0"/>
          </a:solidFill>
          <a:ln>
            <a:noFill/>
          </a:ln>
          <a:effectLst>
            <a:outerShdw blurRad="254000" sx="102000" sy="102000" algn="ctr" rotWithShape="0">
              <a:prstClr val="black">
                <a:alpha val="20000"/>
              </a:prstClr>
            </a:outerShdw>
          </a:effectLst>
          <a:sp3d/>
        </c:spPr>
      </c:pivotFmt>
      <c:pivotFmt>
        <c:idx val="16"/>
        <c:spPr>
          <a:solidFill>
            <a:srgbClr val="CC9900"/>
          </a:solidFill>
          <a:ln>
            <a:noFill/>
          </a:ln>
          <a:effectLst>
            <a:outerShdw blurRad="254000" sx="102000" sy="102000" algn="ctr" rotWithShape="0">
              <a:prstClr val="black">
                <a:alpha val="20000"/>
              </a:prstClr>
            </a:outerShdw>
          </a:effectLst>
          <a:sp3d/>
        </c:spPr>
      </c:pivotFmt>
      <c:pivotFmt>
        <c:idx val="17"/>
        <c:spPr>
          <a:solidFill>
            <a:srgbClr val="FFCC00"/>
          </a:solidFill>
          <a:ln>
            <a:noFill/>
          </a:ln>
          <a:effectLst>
            <a:outerShdw blurRad="254000" sx="102000" sy="102000" algn="ctr" rotWithShape="0">
              <a:prstClr val="black">
                <a:alpha val="20000"/>
              </a:prstClr>
            </a:outerShdw>
          </a:effectLst>
          <a:sp3d/>
        </c:spPr>
      </c:pivotFmt>
      <c:pivotFmt>
        <c:idx val="18"/>
        <c:spPr>
          <a:solidFill>
            <a:srgbClr val="0070C0"/>
          </a:solidFill>
          <a:ln>
            <a:noFill/>
          </a:ln>
          <a:effectLst>
            <a:outerShdw blurRad="254000" sx="102000" sy="102000" algn="ctr" rotWithShape="0">
              <a:prstClr val="black">
                <a:alpha val="20000"/>
              </a:prstClr>
            </a:outerShdw>
          </a:effectLst>
          <a:sp3d/>
        </c:spPr>
      </c:pivotFmt>
      <c:pivotFmt>
        <c:idx val="19"/>
        <c:spPr>
          <a:solidFill>
            <a:schemeClr val="tx2">
              <a:lumMod val="25000"/>
              <a:lumOff val="75000"/>
            </a:schemeClr>
          </a:solidFill>
          <a:ln>
            <a:noFill/>
          </a:ln>
          <a:effectLst>
            <a:outerShdw blurRad="254000" sx="102000" sy="102000" algn="ctr" rotWithShape="0">
              <a:prstClr val="black">
                <a:alpha val="20000"/>
              </a:prstClr>
            </a:outerShdw>
          </a:effectLst>
          <a:sp3d/>
        </c:spPr>
      </c:pivotFmt>
      <c:pivotFmt>
        <c:idx val="20"/>
        <c:spPr>
          <a:solidFill>
            <a:srgbClr val="000099"/>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7558131502637426E-2"/>
          <c:y val="0.22219936117665798"/>
          <c:w val="0.68277758696492941"/>
          <c:h val="0.67916743281984315"/>
        </c:manualLayout>
      </c:layout>
      <c:pie3DChart>
        <c:varyColors val="1"/>
        <c:ser>
          <c:idx val="0"/>
          <c:order val="0"/>
          <c:tx>
            <c:strRef>
              <c:f>Sheet1!$AN$2</c:f>
              <c:strCache>
                <c:ptCount val="1"/>
                <c:pt idx="0">
                  <c:v>Total</c:v>
                </c:pt>
              </c:strCache>
            </c:strRef>
          </c:tx>
          <c:dPt>
            <c:idx val="0"/>
            <c:bubble3D val="0"/>
            <c:spPr>
              <a:solidFill>
                <a:srgbClr val="00B0F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FE2-4E5C-9C7A-EA0D5F037B18}"/>
              </c:ext>
            </c:extLst>
          </c:dPt>
          <c:dPt>
            <c:idx val="1"/>
            <c:bubble3D val="0"/>
            <c:spPr>
              <a:solidFill>
                <a:srgbClr val="CC99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FE2-4E5C-9C7A-EA0D5F037B18}"/>
              </c:ext>
            </c:extLst>
          </c:dPt>
          <c:dPt>
            <c:idx val="2"/>
            <c:bubble3D val="0"/>
            <c:spPr>
              <a:solidFill>
                <a:srgbClr val="FFCC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FE2-4E5C-9C7A-EA0D5F037B18}"/>
              </c:ext>
            </c:extLst>
          </c:dPt>
          <c:dPt>
            <c:idx val="3"/>
            <c:bubble3D val="0"/>
            <c:spPr>
              <a:solidFill>
                <a:srgbClr val="0070C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FE2-4E5C-9C7A-EA0D5F037B18}"/>
              </c:ext>
            </c:extLst>
          </c:dPt>
          <c:dPt>
            <c:idx val="4"/>
            <c:bubble3D val="0"/>
            <c:spPr>
              <a:solidFill>
                <a:schemeClr val="tx2">
                  <a:lumMod val="25000"/>
                  <a:lumOff val="7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5FE2-4E5C-9C7A-EA0D5F037B18}"/>
              </c:ext>
            </c:extLst>
          </c:dPt>
          <c:dPt>
            <c:idx val="5"/>
            <c:bubble3D val="0"/>
            <c:spPr>
              <a:solidFill>
                <a:srgbClr val="000099"/>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5FE2-4E5C-9C7A-EA0D5F037B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Sheet1!$AM$3:$AM$9</c:f>
              <c:strCache>
                <c:ptCount val="6"/>
                <c:pt idx="0">
                  <c:v>COD</c:v>
                </c:pt>
                <c:pt idx="1">
                  <c:v>CREDIT CARD</c:v>
                </c:pt>
                <c:pt idx="2">
                  <c:v>DEBIT CARD</c:v>
                </c:pt>
                <c:pt idx="3">
                  <c:v>NET BANKING</c:v>
                </c:pt>
                <c:pt idx="4">
                  <c:v>UPI</c:v>
                </c:pt>
                <c:pt idx="5">
                  <c:v>WALLET</c:v>
                </c:pt>
              </c:strCache>
            </c:strRef>
          </c:cat>
          <c:val>
            <c:numRef>
              <c:f>Sheet1!$AN$3:$AN$9</c:f>
              <c:numCache>
                <c:formatCode>General</c:formatCode>
                <c:ptCount val="6"/>
                <c:pt idx="0">
                  <c:v>2.9763313609467454</c:v>
                </c:pt>
                <c:pt idx="1">
                  <c:v>3.1191780821917807</c:v>
                </c:pt>
                <c:pt idx="2">
                  <c:v>3.0134502923976605</c:v>
                </c:pt>
                <c:pt idx="3">
                  <c:v>2.9433734939759053</c:v>
                </c:pt>
                <c:pt idx="4">
                  <c:v>3.0715909090909106</c:v>
                </c:pt>
                <c:pt idx="5">
                  <c:v>2.9546511627906971</c:v>
                </c:pt>
              </c:numCache>
            </c:numRef>
          </c:val>
          <c:extLst>
            <c:ext xmlns:c16="http://schemas.microsoft.com/office/drawing/2014/chart" uri="{C3380CC4-5D6E-409C-BE32-E72D297353CC}">
              <c16:uniqueId val="{0000000C-5FE2-4E5C-9C7A-EA0D5F037B1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00"/>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jpeg"/><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chart" Target="../charts/chart10.xml"/><Relationship Id="rId2" Type="http://schemas.microsoft.com/office/2007/relationships/hdphoto" Target="../media/hdphoto1.wdp"/><Relationship Id="rId1" Type="http://schemas.openxmlformats.org/officeDocument/2006/relationships/image" Target="../media/image2.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image" Target="../media/image7.png"/><Relationship Id="rId4" Type="http://schemas.openxmlformats.org/officeDocument/2006/relationships/image" Target="../media/image4.svg"/><Relationship Id="rId9"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10.png"/><Relationship Id="rId7" Type="http://schemas.openxmlformats.org/officeDocument/2006/relationships/chart" Target="../charts/chart15.xml"/><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image" Target="../media/image11.svg"/><Relationship Id="rId9" Type="http://schemas.openxmlformats.org/officeDocument/2006/relationships/image" Target="../media/image13.jpg"/></Relationships>
</file>

<file path=xl/drawings/_rels/drawing4.xml.rels><?xml version="1.0" encoding="UTF-8" standalone="yes"?>
<Relationships xmlns="http://schemas.openxmlformats.org/package/2006/relationships"><Relationship Id="rId8" Type="http://schemas.openxmlformats.org/officeDocument/2006/relationships/image" Target="../media/image18.jpeg"/><Relationship Id="rId3" Type="http://schemas.openxmlformats.org/officeDocument/2006/relationships/image" Target="../media/image16.png"/><Relationship Id="rId7" Type="http://schemas.openxmlformats.org/officeDocument/2006/relationships/chart" Target="../charts/chart18.xml"/><Relationship Id="rId2" Type="http://schemas.openxmlformats.org/officeDocument/2006/relationships/image" Target="../media/image15.svg"/><Relationship Id="rId1" Type="http://schemas.openxmlformats.org/officeDocument/2006/relationships/image" Target="../media/image14.png"/><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image" Target="../media/image17.svg"/></Relationships>
</file>

<file path=xl/drawings/drawing1.xml><?xml version="1.0" encoding="utf-8"?>
<xdr:wsDr xmlns:xdr="http://schemas.openxmlformats.org/drawingml/2006/spreadsheetDrawing" xmlns:a="http://schemas.openxmlformats.org/drawingml/2006/main">
  <xdr:twoCellAnchor>
    <xdr:from>
      <xdr:col>5</xdr:col>
      <xdr:colOff>16549</xdr:colOff>
      <xdr:row>21</xdr:row>
      <xdr:rowOff>71718</xdr:rowOff>
    </xdr:from>
    <xdr:to>
      <xdr:col>8</xdr:col>
      <xdr:colOff>977152</xdr:colOff>
      <xdr:row>38</xdr:row>
      <xdr:rowOff>98611</xdr:rowOff>
    </xdr:to>
    <xdr:graphicFrame macro="">
      <xdr:nvGraphicFramePr>
        <xdr:cNvPr id="6" name="Chart 5">
          <a:extLst>
            <a:ext uri="{FF2B5EF4-FFF2-40B4-BE49-F238E27FC236}">
              <a16:creationId xmlns:a16="http://schemas.microsoft.com/office/drawing/2014/main" id="{5A9A1825-5249-BA82-337A-2503ACB98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118532</xdr:colOff>
      <xdr:row>13</xdr:row>
      <xdr:rowOff>29309</xdr:rowOff>
    </xdr:from>
    <xdr:to>
      <xdr:col>14</xdr:col>
      <xdr:colOff>1250461</xdr:colOff>
      <xdr:row>30</xdr:row>
      <xdr:rowOff>25401</xdr:rowOff>
    </xdr:to>
    <xdr:graphicFrame macro="">
      <xdr:nvGraphicFramePr>
        <xdr:cNvPr id="2" name="Chart 1">
          <a:extLst>
            <a:ext uri="{FF2B5EF4-FFF2-40B4-BE49-F238E27FC236}">
              <a16:creationId xmlns:a16="http://schemas.microsoft.com/office/drawing/2014/main" id="{B48CC79C-FBE7-18FB-6063-1EF17B305F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398124</xdr:colOff>
      <xdr:row>12</xdr:row>
      <xdr:rowOff>23973</xdr:rowOff>
    </xdr:from>
    <xdr:to>
      <xdr:col>22</xdr:col>
      <xdr:colOff>560798</xdr:colOff>
      <xdr:row>27</xdr:row>
      <xdr:rowOff>70207</xdr:rowOff>
    </xdr:to>
    <xdr:graphicFrame macro="">
      <xdr:nvGraphicFramePr>
        <xdr:cNvPr id="7" name="Chart 6">
          <a:extLst>
            <a:ext uri="{FF2B5EF4-FFF2-40B4-BE49-F238E27FC236}">
              <a16:creationId xmlns:a16="http://schemas.microsoft.com/office/drawing/2014/main" id="{0766E53A-5D29-6944-7168-D08C9A8ED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595923</xdr:colOff>
      <xdr:row>11</xdr:row>
      <xdr:rowOff>160961</xdr:rowOff>
    </xdr:from>
    <xdr:to>
      <xdr:col>26</xdr:col>
      <xdr:colOff>1151561</xdr:colOff>
      <xdr:row>34</xdr:row>
      <xdr:rowOff>48846</xdr:rowOff>
    </xdr:to>
    <xdr:graphicFrame macro="">
      <xdr:nvGraphicFramePr>
        <xdr:cNvPr id="8" name="Chart 7">
          <a:extLst>
            <a:ext uri="{FF2B5EF4-FFF2-40B4-BE49-F238E27FC236}">
              <a16:creationId xmlns:a16="http://schemas.microsoft.com/office/drawing/2014/main" id="{3E56304D-789F-1556-DBAB-77F4E2ED6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703385</xdr:colOff>
      <xdr:row>21</xdr:row>
      <xdr:rowOff>87923</xdr:rowOff>
    </xdr:from>
    <xdr:to>
      <xdr:col>4</xdr:col>
      <xdr:colOff>1089323</xdr:colOff>
      <xdr:row>38</xdr:row>
      <xdr:rowOff>115321</xdr:rowOff>
    </xdr:to>
    <xdr:graphicFrame macro="">
      <xdr:nvGraphicFramePr>
        <xdr:cNvPr id="12" name="Chart 11">
          <a:extLst>
            <a:ext uri="{FF2B5EF4-FFF2-40B4-BE49-F238E27FC236}">
              <a16:creationId xmlns:a16="http://schemas.microsoft.com/office/drawing/2014/main" id="{00B35CBA-5DE7-CA23-2B90-D5CBCBEAC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999687</xdr:colOff>
      <xdr:row>30</xdr:row>
      <xdr:rowOff>0</xdr:rowOff>
    </xdr:from>
    <xdr:to>
      <xdr:col>21</xdr:col>
      <xdr:colOff>488461</xdr:colOff>
      <xdr:row>61</xdr:row>
      <xdr:rowOff>41945</xdr:rowOff>
    </xdr:to>
    <xdr:graphicFrame macro="">
      <xdr:nvGraphicFramePr>
        <xdr:cNvPr id="15" name="Chart 14">
          <a:extLst>
            <a:ext uri="{FF2B5EF4-FFF2-40B4-BE49-F238E27FC236}">
              <a16:creationId xmlns:a16="http://schemas.microsoft.com/office/drawing/2014/main" id="{EC51AC4C-1BF3-FB79-6716-91FDAA0F2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411703</xdr:colOff>
      <xdr:row>12</xdr:row>
      <xdr:rowOff>50521</xdr:rowOff>
    </xdr:from>
    <xdr:to>
      <xdr:col>37</xdr:col>
      <xdr:colOff>274934</xdr:colOff>
      <xdr:row>29</xdr:row>
      <xdr:rowOff>54428</xdr:rowOff>
    </xdr:to>
    <xdr:graphicFrame macro="">
      <xdr:nvGraphicFramePr>
        <xdr:cNvPr id="18" name="Chart 17">
          <a:extLst>
            <a:ext uri="{FF2B5EF4-FFF2-40B4-BE49-F238E27FC236}">
              <a16:creationId xmlns:a16="http://schemas.microsoft.com/office/drawing/2014/main" id="{5410039F-9080-A508-E755-3DB73C93A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1341176</xdr:colOff>
      <xdr:row>12</xdr:row>
      <xdr:rowOff>149330</xdr:rowOff>
    </xdr:from>
    <xdr:to>
      <xdr:col>31</xdr:col>
      <xdr:colOff>178637</xdr:colOff>
      <xdr:row>29</xdr:row>
      <xdr:rowOff>114161</xdr:rowOff>
    </xdr:to>
    <xdr:graphicFrame macro="">
      <xdr:nvGraphicFramePr>
        <xdr:cNvPr id="20" name="Chart 19">
          <a:extLst>
            <a:ext uri="{FF2B5EF4-FFF2-40B4-BE49-F238E27FC236}">
              <a16:creationId xmlns:a16="http://schemas.microsoft.com/office/drawing/2014/main" id="{C9F22515-B958-C64C-D15D-6ECF1DE43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38</xdr:col>
      <xdr:colOff>293077</xdr:colOff>
      <xdr:row>12</xdr:row>
      <xdr:rowOff>85412</xdr:rowOff>
    </xdr:from>
    <xdr:to>
      <xdr:col>42</xdr:col>
      <xdr:colOff>89319</xdr:colOff>
      <xdr:row>27</xdr:row>
      <xdr:rowOff>44382</xdr:rowOff>
    </xdr:to>
    <xdr:graphicFrame macro="">
      <xdr:nvGraphicFramePr>
        <xdr:cNvPr id="21" name="Chart 20">
          <a:extLst>
            <a:ext uri="{FF2B5EF4-FFF2-40B4-BE49-F238E27FC236}">
              <a16:creationId xmlns:a16="http://schemas.microsoft.com/office/drawing/2014/main" id="{73C5C53B-6069-C5F1-33DE-3F1D2710B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47</xdr:col>
      <xdr:colOff>134471</xdr:colOff>
      <xdr:row>126</xdr:row>
      <xdr:rowOff>89647</xdr:rowOff>
    </xdr:from>
    <xdr:to>
      <xdr:col>51</xdr:col>
      <xdr:colOff>806824</xdr:colOff>
      <xdr:row>149</xdr:row>
      <xdr:rowOff>89647</xdr:rowOff>
    </xdr:to>
    <xdr:pic>
      <xdr:nvPicPr>
        <xdr:cNvPr id="22" name="Picture 21">
          <a:extLst>
            <a:ext uri="{FF2B5EF4-FFF2-40B4-BE49-F238E27FC236}">
              <a16:creationId xmlns:a16="http://schemas.microsoft.com/office/drawing/2014/main" id="{4FF1B075-F454-95E6-6329-3DCC43073B24}"/>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1345353" y="22680706"/>
          <a:ext cx="6723529" cy="4123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3004</xdr:rowOff>
    </xdr:from>
    <xdr:ext cx="20529176" cy="1329906"/>
    <xdr:sp macro="" textlink="">
      <xdr:nvSpPr>
        <xdr:cNvPr id="2" name="TextBox 1">
          <a:extLst>
            <a:ext uri="{FF2B5EF4-FFF2-40B4-BE49-F238E27FC236}">
              <a16:creationId xmlns:a16="http://schemas.microsoft.com/office/drawing/2014/main" id="{30E35677-D247-F580-76C8-04A079402F4F}"/>
            </a:ext>
          </a:extLst>
        </xdr:cNvPr>
        <xdr:cNvSpPr txBox="1"/>
      </xdr:nvSpPr>
      <xdr:spPr>
        <a:xfrm>
          <a:off x="0" y="3004"/>
          <a:ext cx="20529176" cy="1329906"/>
        </a:xfrm>
        <a:prstGeom prst="rect">
          <a:avLst/>
        </a:prstGeom>
        <a:gradFill flip="none" rotWithShape="1">
          <a:gsLst>
            <a:gs pos="13000">
              <a:srgbClr val="0070C0"/>
            </a:gs>
            <a:gs pos="100000">
              <a:srgbClr val="CCCC00"/>
            </a:gs>
          </a:gsLst>
          <a:lin ang="10800000" scaled="1"/>
          <a:tileRect/>
        </a:gra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b="1">
              <a:solidFill>
                <a:schemeClr val="bg1"/>
              </a:solidFill>
            </a:rPr>
            <a:t>                                                                                    </a:t>
          </a:r>
        </a:p>
        <a:p>
          <a:pPr algn="l"/>
          <a:r>
            <a:rPr lang="en-IN" sz="3200" b="1">
              <a:solidFill>
                <a:schemeClr val="bg1"/>
              </a:solidFill>
            </a:rPr>
            <a:t>                                                                                                  </a:t>
          </a:r>
          <a:r>
            <a:rPr lang="en-IN" sz="4000" b="1">
              <a:solidFill>
                <a:schemeClr val="bg1"/>
              </a:solidFill>
            </a:rPr>
            <a:t>SALES</a:t>
          </a:r>
          <a:r>
            <a:rPr lang="en-IN" sz="4000" b="1" baseline="0">
              <a:solidFill>
                <a:schemeClr val="bg1"/>
              </a:solidFill>
            </a:rPr>
            <a:t> OVERVIEW ANALYSIS</a:t>
          </a:r>
          <a:endParaRPr lang="en-IN" sz="4000" b="1">
            <a:solidFill>
              <a:schemeClr val="bg1"/>
            </a:solidFill>
          </a:endParaRPr>
        </a:p>
      </xdr:txBody>
    </xdr:sp>
    <xdr:clientData/>
  </xdr:oneCellAnchor>
  <xdr:twoCellAnchor editAs="oneCell">
    <xdr:from>
      <xdr:col>0</xdr:col>
      <xdr:colOff>147850</xdr:colOff>
      <xdr:row>0</xdr:row>
      <xdr:rowOff>0</xdr:rowOff>
    </xdr:from>
    <xdr:to>
      <xdr:col>9</xdr:col>
      <xdr:colOff>76364</xdr:colOff>
      <xdr:row>7</xdr:row>
      <xdr:rowOff>91709</xdr:rowOff>
    </xdr:to>
    <xdr:pic>
      <xdr:nvPicPr>
        <xdr:cNvPr id="8" name="Picture 7">
          <a:extLst>
            <a:ext uri="{FF2B5EF4-FFF2-40B4-BE49-F238E27FC236}">
              <a16:creationId xmlns:a16="http://schemas.microsoft.com/office/drawing/2014/main" id="{BA9A1730-F7B5-4077-A599-9DAECAB18EAF}"/>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9645" b="89848" l="3687" r="94470">
                      <a14:foregroundMark x1="17972" y1="55330" x2="17972" y2="55330"/>
                      <a14:foregroundMark x1="22811" y1="65990" x2="22811" y2="65990"/>
                      <a14:foregroundMark x1="19124" y1="47208" x2="19124" y2="47208"/>
                      <a14:foregroundMark x1="3687" y1="56345" x2="3687" y2="56345"/>
                      <a14:foregroundMark x1="12673" y1="56345" x2="12673" y2="56345"/>
                      <a14:foregroundMark x1="18664" y1="46701" x2="18664" y2="46701"/>
                      <a14:foregroundMark x1="19585" y1="43655" x2="19585" y2="43655"/>
                      <a14:foregroundMark x1="35945" y1="58883" x2="35945" y2="58883"/>
                      <a14:foregroundMark x1="46544" y1="59898" x2="46544" y2="59898"/>
                      <a14:foregroundMark x1="52304" y1="56345" x2="52304" y2="56345"/>
                      <a14:foregroundMark x1="61290" y1="56853" x2="61290" y2="56853"/>
                      <a14:foregroundMark x1="88479" y1="66497" x2="88479" y2="66497"/>
                      <a14:foregroundMark x1="94470" y1="49239" x2="94470" y2="49239"/>
                    </a14:backgroundRemoval>
                  </a14:imgEffect>
                </a14:imgLayer>
              </a14:imgProps>
            </a:ext>
            <a:ext uri="{28A0092B-C50C-407E-A947-70E740481C1C}">
              <a14:useLocalDpi xmlns:a14="http://schemas.microsoft.com/office/drawing/2010/main" val="0"/>
            </a:ext>
          </a:extLst>
        </a:blip>
        <a:srcRect/>
        <a:stretch>
          <a:fillRect/>
        </a:stretch>
      </xdr:blipFill>
      <xdr:spPr bwMode="auto">
        <a:xfrm>
          <a:off x="147850" y="0"/>
          <a:ext cx="5455857" cy="136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226975</xdr:colOff>
      <xdr:row>8</xdr:row>
      <xdr:rowOff>8758</xdr:rowOff>
    </xdr:from>
    <xdr:ext cx="4026089" cy="1025384"/>
    <xdr:sp macro="" textlink="">
      <xdr:nvSpPr>
        <xdr:cNvPr id="11" name="TextBox 10">
          <a:extLst>
            <a:ext uri="{FF2B5EF4-FFF2-40B4-BE49-F238E27FC236}">
              <a16:creationId xmlns:a16="http://schemas.microsoft.com/office/drawing/2014/main" id="{C3DC6BE5-0646-7F44-B194-3FC3AA4B658F}"/>
            </a:ext>
          </a:extLst>
        </xdr:cNvPr>
        <xdr:cNvSpPr txBox="1"/>
      </xdr:nvSpPr>
      <xdr:spPr>
        <a:xfrm>
          <a:off x="226975" y="1489215"/>
          <a:ext cx="4026089" cy="1025384"/>
        </a:xfrm>
        <a:prstGeom prst="roundRect">
          <a:avLst/>
        </a:prstGeom>
        <a:solidFill>
          <a:srgbClr val="CCCC00"/>
        </a:solidFill>
        <a:ln>
          <a:solidFill>
            <a:srgbClr val="000099"/>
          </a:solidFill>
        </a:ln>
        <a:effectLst>
          <a:glow rad="101600">
            <a:srgbClr val="FFFF00">
              <a:alpha val="60000"/>
            </a:srgb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0070C0"/>
              </a:solidFill>
            </a:rPr>
            <a:t>                       </a:t>
          </a:r>
          <a:r>
            <a:rPr lang="en-IN" sz="1800" b="1">
              <a:solidFill>
                <a:srgbClr val="0070C0"/>
              </a:solidFill>
            </a:rPr>
            <a:t>TOTAL SALES(INR)</a:t>
          </a:r>
        </a:p>
        <a:p>
          <a:r>
            <a:rPr lang="en-IN" sz="1800" b="1">
              <a:solidFill>
                <a:srgbClr val="0070C0"/>
              </a:solidFill>
            </a:rPr>
            <a:t>                             </a:t>
          </a:r>
          <a:r>
            <a:rPr lang="en-IN" sz="1800" b="1" i="0" u="none" strike="noStrike">
              <a:solidFill>
                <a:srgbClr val="0070C0"/>
              </a:solidFill>
              <a:effectLst/>
              <a:latin typeface="+mn-lt"/>
              <a:ea typeface="+mn-ea"/>
              <a:cs typeface="+mn-cs"/>
            </a:rPr>
            <a:t>75,213112.7</a:t>
          </a:r>
          <a:r>
            <a:rPr lang="en-IN" sz="1800" b="1">
              <a:solidFill>
                <a:srgbClr val="0070C0"/>
              </a:solidFill>
              <a:effectLst/>
            </a:rPr>
            <a:t> </a:t>
          </a:r>
          <a:endParaRPr lang="en-IN" sz="1800" b="1">
            <a:solidFill>
              <a:srgbClr val="0070C0"/>
            </a:solidFill>
          </a:endParaRPr>
        </a:p>
      </xdr:txBody>
    </xdr:sp>
    <xdr:clientData/>
  </xdr:oneCellAnchor>
  <xdr:twoCellAnchor editAs="oneCell">
    <xdr:from>
      <xdr:col>0</xdr:col>
      <xdr:colOff>571945</xdr:colOff>
      <xdr:row>9</xdr:row>
      <xdr:rowOff>21629</xdr:rowOff>
    </xdr:from>
    <xdr:to>
      <xdr:col>1</xdr:col>
      <xdr:colOff>439034</xdr:colOff>
      <xdr:row>11</xdr:row>
      <xdr:rowOff>133066</xdr:rowOff>
    </xdr:to>
    <xdr:pic>
      <xdr:nvPicPr>
        <xdr:cNvPr id="13" name="Graphic 12" descr="Money with solid fill">
          <a:extLst>
            <a:ext uri="{FF2B5EF4-FFF2-40B4-BE49-F238E27FC236}">
              <a16:creationId xmlns:a16="http://schemas.microsoft.com/office/drawing/2014/main" id="{3EB33885-1FAC-FC67-A529-2BA325D7D75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1945" y="1711281"/>
          <a:ext cx="474480" cy="486915"/>
        </a:xfrm>
        <a:prstGeom prst="rect">
          <a:avLst/>
        </a:prstGeom>
      </xdr:spPr>
    </xdr:pic>
    <xdr:clientData/>
  </xdr:twoCellAnchor>
  <xdr:twoCellAnchor>
    <xdr:from>
      <xdr:col>8</xdr:col>
      <xdr:colOff>391886</xdr:colOff>
      <xdr:row>8</xdr:row>
      <xdr:rowOff>34119</xdr:rowOff>
    </xdr:from>
    <xdr:to>
      <xdr:col>15</xdr:col>
      <xdr:colOff>344607</xdr:colOff>
      <xdr:row>13</xdr:row>
      <xdr:rowOff>90985</xdr:rowOff>
    </xdr:to>
    <xdr:sp macro="" textlink="">
      <xdr:nvSpPr>
        <xdr:cNvPr id="20" name="TextBox 19">
          <a:extLst>
            <a:ext uri="{FF2B5EF4-FFF2-40B4-BE49-F238E27FC236}">
              <a16:creationId xmlns:a16="http://schemas.microsoft.com/office/drawing/2014/main" id="{70E3F03F-5A74-39C2-CF8C-09E00C36367C}"/>
            </a:ext>
          </a:extLst>
        </xdr:cNvPr>
        <xdr:cNvSpPr txBox="1"/>
      </xdr:nvSpPr>
      <xdr:spPr>
        <a:xfrm>
          <a:off x="5268686" y="1514576"/>
          <a:ext cx="4219921" cy="982152"/>
        </a:xfrm>
        <a:prstGeom prst="roundRect">
          <a:avLst/>
        </a:prstGeom>
        <a:solidFill>
          <a:srgbClr val="CCCC00"/>
        </a:solidFill>
        <a:ln w="9525" cmpd="sng">
          <a:solidFill>
            <a:srgbClr val="000099"/>
          </a:solidFill>
        </a:ln>
        <a:effectLst>
          <a:glow rad="101600">
            <a:srgbClr val="FFFF00">
              <a:alpha val="6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                         </a:t>
          </a:r>
          <a:r>
            <a:rPr lang="en-IN" sz="1800" b="1">
              <a:solidFill>
                <a:srgbClr val="0070C0"/>
              </a:solidFill>
            </a:rPr>
            <a:t>TOTAL ORDERS</a:t>
          </a:r>
        </a:p>
        <a:p>
          <a:r>
            <a:rPr lang="en-IN" sz="1800" b="1">
              <a:solidFill>
                <a:srgbClr val="0070C0"/>
              </a:solidFill>
            </a:rPr>
            <a:t>                            1,000</a:t>
          </a:r>
        </a:p>
        <a:p>
          <a:r>
            <a:rPr lang="en-IN" sz="1600" b="1">
              <a:solidFill>
                <a:srgbClr val="0070C0"/>
              </a:solidFill>
            </a:rPr>
            <a:t>    </a:t>
          </a:r>
        </a:p>
        <a:p>
          <a:endParaRPr lang="en-IN" sz="1600" b="1">
            <a:solidFill>
              <a:srgbClr val="0070C0"/>
            </a:solidFill>
          </a:endParaRPr>
        </a:p>
      </xdr:txBody>
    </xdr:sp>
    <xdr:clientData/>
  </xdr:twoCellAnchor>
  <xdr:twoCellAnchor editAs="oneCell">
    <xdr:from>
      <xdr:col>9</xdr:col>
      <xdr:colOff>258985</xdr:colOff>
      <xdr:row>9</xdr:row>
      <xdr:rowOff>5993</xdr:rowOff>
    </xdr:from>
    <xdr:to>
      <xdr:col>10</xdr:col>
      <xdr:colOff>194128</xdr:colOff>
      <xdr:row>11</xdr:row>
      <xdr:rowOff>78883</xdr:rowOff>
    </xdr:to>
    <xdr:pic>
      <xdr:nvPicPr>
        <xdr:cNvPr id="22" name="Graphic 21" descr="Shopping cart with solid fill">
          <a:extLst>
            <a:ext uri="{FF2B5EF4-FFF2-40B4-BE49-F238E27FC236}">
              <a16:creationId xmlns:a16="http://schemas.microsoft.com/office/drawing/2014/main" id="{F3DC8410-A818-3827-3D8D-EA666D5D6CB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45385" y="1671507"/>
          <a:ext cx="544743" cy="443005"/>
        </a:xfrm>
        <a:prstGeom prst="rect">
          <a:avLst/>
        </a:prstGeom>
      </xdr:spPr>
    </xdr:pic>
    <xdr:clientData/>
  </xdr:twoCellAnchor>
  <xdr:twoCellAnchor>
    <xdr:from>
      <xdr:col>17</xdr:col>
      <xdr:colOff>151101</xdr:colOff>
      <xdr:row>8</xdr:row>
      <xdr:rowOff>48864</xdr:rowOff>
    </xdr:from>
    <xdr:to>
      <xdr:col>19</xdr:col>
      <xdr:colOff>817567</xdr:colOff>
      <xdr:row>13</xdr:row>
      <xdr:rowOff>101870</xdr:rowOff>
    </xdr:to>
    <xdr:sp macro="" textlink="">
      <xdr:nvSpPr>
        <xdr:cNvPr id="23" name="TextBox 22">
          <a:extLst>
            <a:ext uri="{FF2B5EF4-FFF2-40B4-BE49-F238E27FC236}">
              <a16:creationId xmlns:a16="http://schemas.microsoft.com/office/drawing/2014/main" id="{8914D3F8-D132-687A-DEEB-96292BED1780}"/>
            </a:ext>
          </a:extLst>
        </xdr:cNvPr>
        <xdr:cNvSpPr txBox="1"/>
      </xdr:nvSpPr>
      <xdr:spPr>
        <a:xfrm>
          <a:off x="10514301" y="1529321"/>
          <a:ext cx="4149895" cy="978292"/>
        </a:xfrm>
        <a:prstGeom prst="roundRect">
          <a:avLst/>
        </a:prstGeom>
        <a:solidFill>
          <a:srgbClr val="CCCC00"/>
        </a:solidFill>
        <a:ln w="9525" cmpd="sng">
          <a:solidFill>
            <a:srgbClr val="000099"/>
          </a:solidFill>
        </a:ln>
        <a:effectLst>
          <a:glow rad="101600">
            <a:srgbClr val="FFFF00">
              <a:alpha val="6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800" b="1">
              <a:solidFill>
                <a:srgbClr val="0070C0"/>
              </a:solidFill>
            </a:rPr>
            <a:t>TOTAL QUANTITY SOLD</a:t>
          </a:r>
        </a:p>
        <a:p>
          <a:r>
            <a:rPr lang="en-IN" sz="1800" b="1">
              <a:solidFill>
                <a:srgbClr val="0070C0"/>
              </a:solidFill>
            </a:rPr>
            <a:t>                               3,097</a:t>
          </a:r>
        </a:p>
      </xdr:txBody>
    </xdr:sp>
    <xdr:clientData/>
  </xdr:twoCellAnchor>
  <xdr:twoCellAnchor>
    <xdr:from>
      <xdr:col>17</xdr:col>
      <xdr:colOff>793209</xdr:colOff>
      <xdr:row>9</xdr:row>
      <xdr:rowOff>74927</xdr:rowOff>
    </xdr:from>
    <xdr:to>
      <xdr:col>17</xdr:col>
      <xdr:colOff>1087594</xdr:colOff>
      <xdr:row>10</xdr:row>
      <xdr:rowOff>141515</xdr:rowOff>
    </xdr:to>
    <xdr:sp macro="" textlink="">
      <xdr:nvSpPr>
        <xdr:cNvPr id="24" name="Cube 23">
          <a:extLst>
            <a:ext uri="{FF2B5EF4-FFF2-40B4-BE49-F238E27FC236}">
              <a16:creationId xmlns:a16="http://schemas.microsoft.com/office/drawing/2014/main" id="{5CBFA0F2-A20A-A9A1-9131-141958350CAC}"/>
            </a:ext>
          </a:extLst>
        </xdr:cNvPr>
        <xdr:cNvSpPr/>
      </xdr:nvSpPr>
      <xdr:spPr>
        <a:xfrm>
          <a:off x="11156409" y="1740441"/>
          <a:ext cx="294385" cy="251645"/>
        </a:xfrm>
        <a:prstGeom prst="cube">
          <a:avLst/>
        </a:prstGeom>
        <a:solidFill>
          <a:srgbClr val="0000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1907763</xdr:colOff>
      <xdr:row>8</xdr:row>
      <xdr:rowOff>10154</xdr:rowOff>
    </xdr:from>
    <xdr:to>
      <xdr:col>22</xdr:col>
      <xdr:colOff>2431678</xdr:colOff>
      <xdr:row>13</xdr:row>
      <xdr:rowOff>69214</xdr:rowOff>
    </xdr:to>
    <xdr:sp macro="" textlink="">
      <xdr:nvSpPr>
        <xdr:cNvPr id="25" name="TextBox 24">
          <a:extLst>
            <a:ext uri="{FF2B5EF4-FFF2-40B4-BE49-F238E27FC236}">
              <a16:creationId xmlns:a16="http://schemas.microsoft.com/office/drawing/2014/main" id="{31F4758E-DAC6-A28D-B36F-502C3783B291}"/>
            </a:ext>
          </a:extLst>
        </xdr:cNvPr>
        <xdr:cNvSpPr txBox="1"/>
      </xdr:nvSpPr>
      <xdr:spPr>
        <a:xfrm>
          <a:off x="15623763" y="1444507"/>
          <a:ext cx="3829650" cy="955531"/>
        </a:xfrm>
        <a:prstGeom prst="roundRect">
          <a:avLst/>
        </a:prstGeom>
        <a:solidFill>
          <a:srgbClr val="CCCC00"/>
        </a:solidFill>
        <a:ln w="9525" cmpd="sng">
          <a:solidFill>
            <a:srgbClr val="000099"/>
          </a:solidFill>
        </a:ln>
        <a:effectLst>
          <a:glow rad="101600">
            <a:srgbClr val="FFFF00">
              <a:alpha val="6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                            </a:t>
          </a:r>
          <a:r>
            <a:rPr lang="en-IN" sz="1800" b="1">
              <a:solidFill>
                <a:srgbClr val="0070C0"/>
              </a:solidFill>
            </a:rPr>
            <a:t>AVERAGE ORDER</a:t>
          </a:r>
          <a:r>
            <a:rPr lang="en-IN" sz="1800" b="1" baseline="0">
              <a:solidFill>
                <a:srgbClr val="0070C0"/>
              </a:solidFill>
            </a:rPr>
            <a:t> VALUE</a:t>
          </a:r>
        </a:p>
        <a:p>
          <a:r>
            <a:rPr lang="en-IN" sz="1800" b="1" baseline="0">
              <a:solidFill>
                <a:srgbClr val="0070C0"/>
              </a:solidFill>
            </a:rPr>
            <a:t>                                  </a:t>
          </a:r>
          <a:r>
            <a:rPr lang="en-IN" sz="1800" b="1" i="0" u="none" strike="noStrike">
              <a:solidFill>
                <a:srgbClr val="0070C0"/>
              </a:solidFill>
              <a:effectLst/>
              <a:latin typeface="+mn-lt"/>
              <a:ea typeface="+mn-ea"/>
              <a:cs typeface="+mn-cs"/>
            </a:rPr>
            <a:t>75,213.1127</a:t>
          </a:r>
          <a:r>
            <a:rPr lang="en-IN" sz="1800" b="1">
              <a:solidFill>
                <a:srgbClr val="0070C0"/>
              </a:solidFill>
              <a:effectLst/>
            </a:rPr>
            <a:t> </a:t>
          </a:r>
          <a:endParaRPr lang="en-IN" sz="1800" b="1">
            <a:solidFill>
              <a:srgbClr val="0070C0"/>
            </a:solidFill>
          </a:endParaRPr>
        </a:p>
      </xdr:txBody>
    </xdr:sp>
    <xdr:clientData/>
  </xdr:twoCellAnchor>
  <xdr:twoCellAnchor>
    <xdr:from>
      <xdr:col>0</xdr:col>
      <xdr:colOff>228514</xdr:colOff>
      <xdr:row>15</xdr:row>
      <xdr:rowOff>37846</xdr:rowOff>
    </xdr:from>
    <xdr:to>
      <xdr:col>10</xdr:col>
      <xdr:colOff>506736</xdr:colOff>
      <xdr:row>32</xdr:row>
      <xdr:rowOff>119103</xdr:rowOff>
    </xdr:to>
    <xdr:graphicFrame macro="">
      <xdr:nvGraphicFramePr>
        <xdr:cNvPr id="28" name="Chart 27">
          <a:extLst>
            <a:ext uri="{FF2B5EF4-FFF2-40B4-BE49-F238E27FC236}">
              <a16:creationId xmlns:a16="http://schemas.microsoft.com/office/drawing/2014/main" id="{A1E58FC8-A3ED-467D-B3CF-40556D147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240172</xdr:colOff>
      <xdr:row>33</xdr:row>
      <xdr:rowOff>74779</xdr:rowOff>
    </xdr:from>
    <xdr:to>
      <xdr:col>10</xdr:col>
      <xdr:colOff>555357</xdr:colOff>
      <xdr:row>49</xdr:row>
      <xdr:rowOff>21770</xdr:rowOff>
    </xdr:to>
    <xdr:graphicFrame macro="">
      <xdr:nvGraphicFramePr>
        <xdr:cNvPr id="29" name="Chart 28">
          <a:extLst>
            <a:ext uri="{FF2B5EF4-FFF2-40B4-BE49-F238E27FC236}">
              <a16:creationId xmlns:a16="http://schemas.microsoft.com/office/drawing/2014/main" id="{937B3400-2C32-44B9-B70D-7499329A0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429743</xdr:colOff>
      <xdr:row>16</xdr:row>
      <xdr:rowOff>24696</xdr:rowOff>
    </xdr:from>
    <xdr:to>
      <xdr:col>22</xdr:col>
      <xdr:colOff>2487706</xdr:colOff>
      <xdr:row>34</xdr:row>
      <xdr:rowOff>17710</xdr:rowOff>
    </xdr:to>
    <xdr:graphicFrame macro="">
      <xdr:nvGraphicFramePr>
        <xdr:cNvPr id="30" name="Chart 29">
          <a:extLst>
            <a:ext uri="{FF2B5EF4-FFF2-40B4-BE49-F238E27FC236}">
              <a16:creationId xmlns:a16="http://schemas.microsoft.com/office/drawing/2014/main" id="{F7A9FB3A-8510-4C76-A4BC-4EAD32EB7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545373</xdr:colOff>
      <xdr:row>16</xdr:row>
      <xdr:rowOff>31570</xdr:rowOff>
    </xdr:from>
    <xdr:to>
      <xdr:col>16</xdr:col>
      <xdr:colOff>10884</xdr:colOff>
      <xdr:row>25</xdr:row>
      <xdr:rowOff>78442</xdr:rowOff>
    </xdr:to>
    <mc:AlternateContent xmlns:mc="http://schemas.openxmlformats.org/markup-compatibility/2006" xmlns:a14="http://schemas.microsoft.com/office/drawing/2010/main">
      <mc:Choice Requires="a14">
        <xdr:graphicFrame macro="">
          <xdr:nvGraphicFramePr>
            <xdr:cNvPr id="3" name="Years (Order Date) 1">
              <a:extLst>
                <a:ext uri="{FF2B5EF4-FFF2-40B4-BE49-F238E27FC236}">
                  <a16:creationId xmlns:a16="http://schemas.microsoft.com/office/drawing/2014/main" id="{A9C64F9F-AF86-72FF-1608-D2B95C4A1356}"/>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7274584" y="2779062"/>
              <a:ext cx="2524244" cy="2545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555171</xdr:colOff>
      <xdr:row>27</xdr:row>
      <xdr:rowOff>152400</xdr:rowOff>
    </xdr:from>
    <xdr:to>
      <xdr:col>15</xdr:col>
      <xdr:colOff>578031</xdr:colOff>
      <xdr:row>49</xdr:row>
      <xdr:rowOff>65314</xdr:rowOff>
    </xdr:to>
    <mc:AlternateContent xmlns:mc="http://schemas.openxmlformats.org/markup-compatibility/2006" xmlns:a14="http://schemas.microsoft.com/office/drawing/2010/main">
      <mc:Choice Requires="a14">
        <xdr:graphicFrame macro="">
          <xdr:nvGraphicFramePr>
            <xdr:cNvPr id="4" name="Product Name 1">
              <a:extLst>
                <a:ext uri="{FF2B5EF4-FFF2-40B4-BE49-F238E27FC236}">
                  <a16:creationId xmlns:a16="http://schemas.microsoft.com/office/drawing/2014/main" id="{8B97A704-5D3E-B7BF-AAE2-544AB8B395BB}"/>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7284382" y="5379076"/>
              <a:ext cx="2469846" cy="4613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382263</xdr:colOff>
      <xdr:row>36</xdr:row>
      <xdr:rowOff>138568</xdr:rowOff>
    </xdr:from>
    <xdr:to>
      <xdr:col>20</xdr:col>
      <xdr:colOff>323526</xdr:colOff>
      <xdr:row>47</xdr:row>
      <xdr:rowOff>161700</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B0106097-1F9C-DA35-D7C6-A42A98BDA9B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197654" y="7261611"/>
              <a:ext cx="2039524" cy="2607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342349</xdr:colOff>
      <xdr:row>8</xdr:row>
      <xdr:rowOff>165652</xdr:rowOff>
    </xdr:from>
    <xdr:to>
      <xdr:col>21</xdr:col>
      <xdr:colOff>254001</xdr:colOff>
      <xdr:row>11</xdr:row>
      <xdr:rowOff>11043</xdr:rowOff>
    </xdr:to>
    <xdr:pic>
      <xdr:nvPicPr>
        <xdr:cNvPr id="10" name="Picture 9">
          <a:extLst>
            <a:ext uri="{FF2B5EF4-FFF2-40B4-BE49-F238E27FC236}">
              <a16:creationId xmlns:a16="http://schemas.microsoft.com/office/drawing/2014/main" id="{51767151-AD27-D8D5-7DC4-87D546DAFE87}"/>
            </a:ext>
          </a:extLst>
        </xdr:cNvPr>
        <xdr:cNvPicPr>
          <a:picLocks noChangeAspect="1"/>
        </xdr:cNvPicPr>
      </xdr:nvPicPr>
      <xdr:blipFill>
        <a:blip xmlns:r="http://schemas.openxmlformats.org/officeDocument/2006/relationships" r:embed="rId10"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6189740" y="1667565"/>
          <a:ext cx="519043" cy="4086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124131</xdr:colOff>
      <xdr:row>7</xdr:row>
      <xdr:rowOff>102229</xdr:rowOff>
    </xdr:from>
    <xdr:to>
      <xdr:col>5</xdr:col>
      <xdr:colOff>535459</xdr:colOff>
      <xdr:row>12</xdr:row>
      <xdr:rowOff>85390</xdr:rowOff>
    </xdr:to>
    <xdr:sp macro="" textlink="">
      <xdr:nvSpPr>
        <xdr:cNvPr id="5" name="TextBox 4">
          <a:extLst>
            <a:ext uri="{FF2B5EF4-FFF2-40B4-BE49-F238E27FC236}">
              <a16:creationId xmlns:a16="http://schemas.microsoft.com/office/drawing/2014/main" id="{CF1FDC00-28ED-F6BA-B247-A5095AEC1604}"/>
            </a:ext>
          </a:extLst>
        </xdr:cNvPr>
        <xdr:cNvSpPr txBox="1"/>
      </xdr:nvSpPr>
      <xdr:spPr>
        <a:xfrm>
          <a:off x="124131" y="1399688"/>
          <a:ext cx="3449031" cy="909918"/>
        </a:xfrm>
        <a:prstGeom prst="roundRect">
          <a:avLst/>
        </a:prstGeom>
        <a:solidFill>
          <a:srgbClr val="CCCC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0070C0"/>
              </a:solidFill>
            </a:rPr>
            <a:t>                           AVERAGE</a:t>
          </a:r>
          <a:r>
            <a:rPr lang="en-IN" sz="1600" b="1" baseline="0">
              <a:solidFill>
                <a:srgbClr val="0070C0"/>
              </a:solidFill>
            </a:rPr>
            <a:t> SALES</a:t>
          </a:r>
        </a:p>
        <a:p>
          <a:r>
            <a:rPr lang="en-IN" sz="1600" b="1" baseline="0">
              <a:solidFill>
                <a:srgbClr val="0070C0"/>
              </a:solidFill>
            </a:rPr>
            <a:t>                                   75213.113</a:t>
          </a:r>
          <a:endParaRPr lang="en-IN" sz="1600" b="1">
            <a:solidFill>
              <a:srgbClr val="0070C0"/>
            </a:solidFill>
          </a:endParaRPr>
        </a:p>
      </xdr:txBody>
    </xdr:sp>
    <xdr:clientData/>
  </xdr:twoCellAnchor>
  <xdr:twoCellAnchor editAs="oneCell">
    <xdr:from>
      <xdr:col>1</xdr:col>
      <xdr:colOff>131649</xdr:colOff>
      <xdr:row>8</xdr:row>
      <xdr:rowOff>112257</xdr:rowOff>
    </xdr:from>
    <xdr:to>
      <xdr:col>1</xdr:col>
      <xdr:colOff>578034</xdr:colOff>
      <xdr:row>10</xdr:row>
      <xdr:rowOff>136909</xdr:rowOff>
    </xdr:to>
    <xdr:pic>
      <xdr:nvPicPr>
        <xdr:cNvPr id="11" name="Graphic 10" descr="Bar graph with upward trend with solid fill">
          <a:extLst>
            <a:ext uri="{FF2B5EF4-FFF2-40B4-BE49-F238E27FC236}">
              <a16:creationId xmlns:a16="http://schemas.microsoft.com/office/drawing/2014/main" id="{1B47F5ED-C257-24C2-2423-7E0A2F7F6D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9190" y="1595068"/>
          <a:ext cx="446385" cy="395355"/>
        </a:xfrm>
        <a:prstGeom prst="rect">
          <a:avLst/>
        </a:prstGeom>
      </xdr:spPr>
    </xdr:pic>
    <xdr:clientData/>
  </xdr:twoCellAnchor>
  <xdr:twoCellAnchor>
    <xdr:from>
      <xdr:col>6</xdr:col>
      <xdr:colOff>319217</xdr:colOff>
      <xdr:row>7</xdr:row>
      <xdr:rowOff>86255</xdr:rowOff>
    </xdr:from>
    <xdr:to>
      <xdr:col>11</xdr:col>
      <xdr:colOff>61784</xdr:colOff>
      <xdr:row>12</xdr:row>
      <xdr:rowOff>62608</xdr:rowOff>
    </xdr:to>
    <xdr:sp macro="" textlink="">
      <xdr:nvSpPr>
        <xdr:cNvPr id="12" name="TextBox 11">
          <a:extLst>
            <a:ext uri="{FF2B5EF4-FFF2-40B4-BE49-F238E27FC236}">
              <a16:creationId xmlns:a16="http://schemas.microsoft.com/office/drawing/2014/main" id="{A93D641A-139D-B1C9-91D6-7518C0579567}"/>
            </a:ext>
          </a:extLst>
        </xdr:cNvPr>
        <xdr:cNvSpPr txBox="1"/>
      </xdr:nvSpPr>
      <xdr:spPr>
        <a:xfrm>
          <a:off x="3964460" y="1383714"/>
          <a:ext cx="3459892" cy="903110"/>
        </a:xfrm>
        <a:prstGeom prst="roundRect">
          <a:avLst/>
        </a:prstGeom>
        <a:solidFill>
          <a:srgbClr val="CCCC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0070C0"/>
              </a:solidFill>
            </a:rPr>
            <a:t>                         AVERAGE</a:t>
          </a:r>
          <a:r>
            <a:rPr lang="en-IN" sz="1600" b="1" baseline="0">
              <a:solidFill>
                <a:srgbClr val="0070C0"/>
              </a:solidFill>
            </a:rPr>
            <a:t> QUANTITY</a:t>
          </a:r>
        </a:p>
        <a:p>
          <a:r>
            <a:rPr lang="en-IN" sz="1600" b="1">
              <a:solidFill>
                <a:srgbClr val="0070C0"/>
              </a:solidFill>
            </a:rPr>
            <a:t>                             </a:t>
          </a:r>
          <a:r>
            <a:rPr lang="en-IN" sz="1600" b="1" i="0" u="none" strike="noStrike">
              <a:solidFill>
                <a:srgbClr val="0070C0"/>
              </a:solidFill>
              <a:effectLst/>
              <a:latin typeface="+mn-lt"/>
              <a:ea typeface="+mn-ea"/>
              <a:cs typeface="+mn-cs"/>
            </a:rPr>
            <a:t>3.097</a:t>
          </a:r>
          <a:r>
            <a:rPr lang="en-IN" sz="1600" b="1">
              <a:solidFill>
                <a:srgbClr val="0070C0"/>
              </a:solidFill>
              <a:effectLst/>
            </a:rPr>
            <a:t> </a:t>
          </a:r>
          <a:endParaRPr lang="en-IN" sz="1600" b="1">
            <a:solidFill>
              <a:srgbClr val="0070C0"/>
            </a:solidFill>
          </a:endParaRPr>
        </a:p>
      </xdr:txBody>
    </xdr:sp>
    <xdr:clientData/>
  </xdr:twoCellAnchor>
  <xdr:twoCellAnchor>
    <xdr:from>
      <xdr:col>7</xdr:col>
      <xdr:colOff>236836</xdr:colOff>
      <xdr:row>8</xdr:row>
      <xdr:rowOff>85566</xdr:rowOff>
    </xdr:from>
    <xdr:to>
      <xdr:col>7</xdr:col>
      <xdr:colOff>494270</xdr:colOff>
      <xdr:row>10</xdr:row>
      <xdr:rowOff>20594</xdr:rowOff>
    </xdr:to>
    <xdr:sp macro="" textlink="">
      <xdr:nvSpPr>
        <xdr:cNvPr id="15" name="Cube 14">
          <a:extLst>
            <a:ext uri="{FF2B5EF4-FFF2-40B4-BE49-F238E27FC236}">
              <a16:creationId xmlns:a16="http://schemas.microsoft.com/office/drawing/2014/main" id="{1D571558-DA4F-7E69-28F9-A6262B36FDBA}"/>
            </a:ext>
          </a:extLst>
        </xdr:cNvPr>
        <xdr:cNvSpPr/>
      </xdr:nvSpPr>
      <xdr:spPr>
        <a:xfrm flipH="1">
          <a:off x="4489620" y="1568377"/>
          <a:ext cx="257434" cy="305731"/>
        </a:xfrm>
        <a:prstGeom prst="cube">
          <a:avLst/>
        </a:prstGeom>
        <a:solidFill>
          <a:srgbClr val="0000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432486</xdr:colOff>
      <xdr:row>7</xdr:row>
      <xdr:rowOff>102974</xdr:rowOff>
    </xdr:from>
    <xdr:to>
      <xdr:col>13</xdr:col>
      <xdr:colOff>216242</xdr:colOff>
      <xdr:row>12</xdr:row>
      <xdr:rowOff>72081</xdr:rowOff>
    </xdr:to>
    <xdr:sp macro="" textlink="">
      <xdr:nvSpPr>
        <xdr:cNvPr id="16" name="TextBox 15">
          <a:extLst>
            <a:ext uri="{FF2B5EF4-FFF2-40B4-BE49-F238E27FC236}">
              <a16:creationId xmlns:a16="http://schemas.microsoft.com/office/drawing/2014/main" id="{4268710C-7151-7F6E-7D1D-EA833EB4E7DB}"/>
            </a:ext>
          </a:extLst>
        </xdr:cNvPr>
        <xdr:cNvSpPr txBox="1"/>
      </xdr:nvSpPr>
      <xdr:spPr>
        <a:xfrm>
          <a:off x="7795054" y="1400433"/>
          <a:ext cx="3253945" cy="895864"/>
        </a:xfrm>
        <a:prstGeom prst="roundRect">
          <a:avLst/>
        </a:prstGeom>
        <a:solidFill>
          <a:srgbClr val="CCCC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0070C0"/>
              </a:solidFill>
            </a:rPr>
            <a:t>                </a:t>
          </a:r>
          <a:r>
            <a:rPr lang="en-IN" sz="1100" baseline="0">
              <a:solidFill>
                <a:srgbClr val="0070C0"/>
              </a:solidFill>
            </a:rPr>
            <a:t>               </a:t>
          </a:r>
          <a:r>
            <a:rPr lang="en-IN" sz="1100">
              <a:solidFill>
                <a:srgbClr val="0070C0"/>
              </a:solidFill>
            </a:rPr>
            <a:t>  </a:t>
          </a:r>
          <a:r>
            <a:rPr lang="en-IN" sz="1600" b="1">
              <a:solidFill>
                <a:srgbClr val="0070C0"/>
              </a:solidFill>
            </a:rPr>
            <a:t>TOTAL</a:t>
          </a:r>
          <a:r>
            <a:rPr lang="en-IN" sz="1600" b="1" baseline="0">
              <a:solidFill>
                <a:srgbClr val="0070C0"/>
              </a:solidFill>
            </a:rPr>
            <a:t> PRODUCT SOLD</a:t>
          </a:r>
        </a:p>
        <a:p>
          <a:r>
            <a:rPr lang="en-IN" sz="1600" b="1" baseline="0">
              <a:solidFill>
                <a:srgbClr val="0070C0"/>
              </a:solidFill>
            </a:rPr>
            <a:t>                               1000</a:t>
          </a:r>
          <a:endParaRPr lang="en-IN" sz="1600" b="1">
            <a:solidFill>
              <a:srgbClr val="0070C0"/>
            </a:solidFill>
          </a:endParaRPr>
        </a:p>
      </xdr:txBody>
    </xdr:sp>
    <xdr:clientData/>
  </xdr:twoCellAnchor>
  <xdr:twoCellAnchor editAs="oneCell">
    <xdr:from>
      <xdr:col>11</xdr:col>
      <xdr:colOff>860342</xdr:colOff>
      <xdr:row>8</xdr:row>
      <xdr:rowOff>13937</xdr:rowOff>
    </xdr:from>
    <xdr:to>
      <xdr:col>12</xdr:col>
      <xdr:colOff>84596</xdr:colOff>
      <xdr:row>10</xdr:row>
      <xdr:rowOff>91072</xdr:rowOff>
    </xdr:to>
    <xdr:pic>
      <xdr:nvPicPr>
        <xdr:cNvPr id="22" name="Graphic 21" descr="Shopping cart with solid fill">
          <a:extLst>
            <a:ext uri="{FF2B5EF4-FFF2-40B4-BE49-F238E27FC236}">
              <a16:creationId xmlns:a16="http://schemas.microsoft.com/office/drawing/2014/main" id="{1303A785-A14D-9E39-C947-AF3874313AC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22910" y="1496748"/>
          <a:ext cx="552605" cy="447838"/>
        </a:xfrm>
        <a:prstGeom prst="rect">
          <a:avLst/>
        </a:prstGeom>
      </xdr:spPr>
    </xdr:pic>
    <xdr:clientData/>
  </xdr:twoCellAnchor>
  <xdr:twoCellAnchor>
    <xdr:from>
      <xdr:col>0</xdr:col>
      <xdr:colOff>0</xdr:colOff>
      <xdr:row>13</xdr:row>
      <xdr:rowOff>10294</xdr:rowOff>
    </xdr:from>
    <xdr:to>
      <xdr:col>8</xdr:col>
      <xdr:colOff>339811</xdr:colOff>
      <xdr:row>52</xdr:row>
      <xdr:rowOff>158749</xdr:rowOff>
    </xdr:to>
    <xdr:graphicFrame macro="">
      <xdr:nvGraphicFramePr>
        <xdr:cNvPr id="23" name="Chart 22">
          <a:extLst>
            <a:ext uri="{FF2B5EF4-FFF2-40B4-BE49-F238E27FC236}">
              <a16:creationId xmlns:a16="http://schemas.microsoft.com/office/drawing/2014/main" id="{48985C85-D242-41BF-8322-C25D72E46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889558</xdr:colOff>
      <xdr:row>30</xdr:row>
      <xdr:rowOff>20767</xdr:rowOff>
    </xdr:from>
    <xdr:to>
      <xdr:col>17</xdr:col>
      <xdr:colOff>2190750</xdr:colOff>
      <xdr:row>52</xdr:row>
      <xdr:rowOff>39759</xdr:rowOff>
    </xdr:to>
    <xdr:graphicFrame macro="">
      <xdr:nvGraphicFramePr>
        <xdr:cNvPr id="25" name="Chart 24">
          <a:extLst>
            <a:ext uri="{FF2B5EF4-FFF2-40B4-BE49-F238E27FC236}">
              <a16:creationId xmlns:a16="http://schemas.microsoft.com/office/drawing/2014/main" id="{1AECCAEA-4DD4-4A9C-9626-104531871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839026</xdr:colOff>
      <xdr:row>7</xdr:row>
      <xdr:rowOff>102736</xdr:rowOff>
    </xdr:from>
    <xdr:to>
      <xdr:col>17</xdr:col>
      <xdr:colOff>2137834</xdr:colOff>
      <xdr:row>28</xdr:row>
      <xdr:rowOff>64745</xdr:rowOff>
    </xdr:to>
    <xdr:graphicFrame macro="">
      <xdr:nvGraphicFramePr>
        <xdr:cNvPr id="27" name="Chart 26">
          <a:extLst>
            <a:ext uri="{FF2B5EF4-FFF2-40B4-BE49-F238E27FC236}">
              <a16:creationId xmlns:a16="http://schemas.microsoft.com/office/drawing/2014/main" id="{010E9B8C-30E6-4193-8450-67738E2BD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42931</xdr:colOff>
      <xdr:row>0</xdr:row>
      <xdr:rowOff>0</xdr:rowOff>
    </xdr:from>
    <xdr:to>
      <xdr:col>18</xdr:col>
      <xdr:colOff>0</xdr:colOff>
      <xdr:row>7</xdr:row>
      <xdr:rowOff>0</xdr:rowOff>
    </xdr:to>
    <xdr:sp macro="" textlink="">
      <xdr:nvSpPr>
        <xdr:cNvPr id="6" name="TextBox 5">
          <a:extLst>
            <a:ext uri="{FF2B5EF4-FFF2-40B4-BE49-F238E27FC236}">
              <a16:creationId xmlns:a16="http://schemas.microsoft.com/office/drawing/2014/main" id="{160981E3-F131-6E12-9AE6-D4C602008AC3}"/>
            </a:ext>
          </a:extLst>
        </xdr:cNvPr>
        <xdr:cNvSpPr txBox="1"/>
      </xdr:nvSpPr>
      <xdr:spPr>
        <a:xfrm>
          <a:off x="42931" y="0"/>
          <a:ext cx="19820555" cy="1297459"/>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t>                                       </a:t>
          </a:r>
          <a:r>
            <a:rPr lang="en-IN" sz="4000" baseline="0"/>
            <a:t>                                                                                                                    </a:t>
          </a:r>
          <a:endParaRPr lang="en-IN" sz="3200" baseline="0"/>
        </a:p>
      </xdr:txBody>
    </xdr:sp>
    <xdr:clientData/>
  </xdr:twoCellAnchor>
  <xdr:oneCellAnchor>
    <xdr:from>
      <xdr:col>10</xdr:col>
      <xdr:colOff>128789</xdr:colOff>
      <xdr:row>1</xdr:row>
      <xdr:rowOff>128789</xdr:rowOff>
    </xdr:from>
    <xdr:ext cx="6568225" cy="765466"/>
    <xdr:sp macro="" textlink="">
      <xdr:nvSpPr>
        <xdr:cNvPr id="7" name="TextBox 6">
          <a:extLst>
            <a:ext uri="{FF2B5EF4-FFF2-40B4-BE49-F238E27FC236}">
              <a16:creationId xmlns:a16="http://schemas.microsoft.com/office/drawing/2014/main" id="{F1169EBF-C300-0C15-FDDE-59C23D11A434}"/>
            </a:ext>
          </a:extLst>
        </xdr:cNvPr>
        <xdr:cNvSpPr txBox="1"/>
      </xdr:nvSpPr>
      <xdr:spPr>
        <a:xfrm>
          <a:off x="6246254" y="311240"/>
          <a:ext cx="6568225" cy="765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200" b="1">
              <a:solidFill>
                <a:schemeClr val="bg1"/>
              </a:solidFill>
            </a:rPr>
            <a:t>PRODUCT &amp; CATEGORY ANALYSIS</a:t>
          </a:r>
        </a:p>
        <a:p>
          <a:endParaRPr lang="en-IN" sz="1100"/>
        </a:p>
      </xdr:txBody>
    </xdr:sp>
    <xdr:clientData/>
  </xdr:oneCellAnchor>
  <xdr:twoCellAnchor editAs="oneCell">
    <xdr:from>
      <xdr:col>0</xdr:col>
      <xdr:colOff>0</xdr:colOff>
      <xdr:row>0</xdr:row>
      <xdr:rowOff>1</xdr:rowOff>
    </xdr:from>
    <xdr:to>
      <xdr:col>6</xdr:col>
      <xdr:colOff>128790</xdr:colOff>
      <xdr:row>7</xdr:row>
      <xdr:rowOff>20596</xdr:rowOff>
    </xdr:to>
    <xdr:pic>
      <xdr:nvPicPr>
        <xdr:cNvPr id="9" name="Picture 8">
          <a:extLst>
            <a:ext uri="{FF2B5EF4-FFF2-40B4-BE49-F238E27FC236}">
              <a16:creationId xmlns:a16="http://schemas.microsoft.com/office/drawing/2014/main" id="{67864C70-EB3A-197F-990E-F208A25307C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1"/>
          <a:ext cx="3774033" cy="1318054"/>
        </a:xfrm>
        <a:prstGeom prst="rect">
          <a:avLst/>
        </a:prstGeom>
      </xdr:spPr>
    </xdr:pic>
    <xdr:clientData/>
  </xdr:twoCellAnchor>
  <xdr:twoCellAnchor editAs="oneCell">
    <xdr:from>
      <xdr:col>16</xdr:col>
      <xdr:colOff>10298</xdr:colOff>
      <xdr:row>0</xdr:row>
      <xdr:rowOff>0</xdr:rowOff>
    </xdr:from>
    <xdr:to>
      <xdr:col>17</xdr:col>
      <xdr:colOff>2316892</xdr:colOff>
      <xdr:row>7</xdr:row>
      <xdr:rowOff>10732</xdr:rowOff>
    </xdr:to>
    <xdr:pic>
      <xdr:nvPicPr>
        <xdr:cNvPr id="19" name="Picture 18">
          <a:extLst>
            <a:ext uri="{FF2B5EF4-FFF2-40B4-BE49-F238E27FC236}">
              <a16:creationId xmlns:a16="http://schemas.microsoft.com/office/drawing/2014/main" id="{405B653A-84F5-EAFF-27A8-45F6808A9F1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177055" y="0"/>
          <a:ext cx="3634945" cy="1308191"/>
        </a:xfrm>
        <a:prstGeom prst="rect">
          <a:avLst/>
        </a:prstGeom>
      </xdr:spPr>
    </xdr:pic>
    <xdr:clientData/>
  </xdr:twoCellAnchor>
  <xdr:twoCellAnchor editAs="oneCell">
    <xdr:from>
      <xdr:col>8</xdr:col>
      <xdr:colOff>562849</xdr:colOff>
      <xdr:row>13</xdr:row>
      <xdr:rowOff>51280</xdr:rowOff>
    </xdr:from>
    <xdr:to>
      <xdr:col>10</xdr:col>
      <xdr:colOff>1009134</xdr:colOff>
      <xdr:row>32</xdr:row>
      <xdr:rowOff>154459</xdr:rowOff>
    </xdr:to>
    <mc:AlternateContent xmlns:mc="http://schemas.openxmlformats.org/markup-compatibility/2006" xmlns:a14="http://schemas.microsoft.com/office/drawing/2010/main">
      <mc:Choice Requires="a14">
        <xdr:graphicFrame macro="">
          <xdr:nvGraphicFramePr>
            <xdr:cNvPr id="30" name="Months (Order Date) 1">
              <a:extLst>
                <a:ext uri="{FF2B5EF4-FFF2-40B4-BE49-F238E27FC236}">
                  <a16:creationId xmlns:a16="http://schemas.microsoft.com/office/drawing/2014/main" id="{EA43476E-5D18-EFA4-DACE-A777A0D29C5A}"/>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5473516" y="2390197"/>
              <a:ext cx="1673951" cy="3638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556054</xdr:colOff>
      <xdr:row>7</xdr:row>
      <xdr:rowOff>157549</xdr:rowOff>
    </xdr:from>
    <xdr:to>
      <xdr:col>15</xdr:col>
      <xdr:colOff>391297</xdr:colOff>
      <xdr:row>39</xdr:row>
      <xdr:rowOff>175054</xdr:rowOff>
    </xdr:to>
    <mc:AlternateContent xmlns:mc="http://schemas.openxmlformats.org/markup-compatibility/2006" xmlns:a14="http://schemas.microsoft.com/office/drawing/2010/main">
      <mc:Choice Requires="a14">
        <xdr:graphicFrame macro="">
          <xdr:nvGraphicFramePr>
            <xdr:cNvPr id="33" name="Product Name">
              <a:extLst>
                <a:ext uri="{FF2B5EF4-FFF2-40B4-BE49-F238E27FC236}">
                  <a16:creationId xmlns:a16="http://schemas.microsoft.com/office/drawing/2014/main" id="{BCBD2F99-1C87-8E13-022F-BCE404854E3B}"/>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1446304" y="1416966"/>
              <a:ext cx="2936160" cy="5891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67150</xdr:colOff>
      <xdr:row>40</xdr:row>
      <xdr:rowOff>175136</xdr:rowOff>
    </xdr:from>
    <xdr:to>
      <xdr:col>15</xdr:col>
      <xdr:colOff>801758</xdr:colOff>
      <xdr:row>52</xdr:row>
      <xdr:rowOff>74084</xdr:rowOff>
    </xdr:to>
    <mc:AlternateContent xmlns:mc="http://schemas.openxmlformats.org/markup-compatibility/2006" xmlns:a14="http://schemas.microsoft.com/office/drawing/2010/main">
      <mc:Choice Requires="a14">
        <xdr:graphicFrame macro="">
          <xdr:nvGraphicFramePr>
            <xdr:cNvPr id="35" name="Years (Order Date)">
              <a:extLst>
                <a:ext uri="{FF2B5EF4-FFF2-40B4-BE49-F238E27FC236}">
                  <a16:creationId xmlns:a16="http://schemas.microsoft.com/office/drawing/2014/main" id="{91ADC0A9-9AF4-757B-6BAE-D0A62226DD99}"/>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2724817" y="7488219"/>
              <a:ext cx="2068108" cy="1315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0</xdr:col>
      <xdr:colOff>30479</xdr:colOff>
      <xdr:row>0</xdr:row>
      <xdr:rowOff>30480</xdr:rowOff>
    </xdr:from>
    <xdr:ext cx="15569117" cy="1249680"/>
    <xdr:sp macro="" textlink="">
      <xdr:nvSpPr>
        <xdr:cNvPr id="2" name="TextBox 1">
          <a:extLst>
            <a:ext uri="{FF2B5EF4-FFF2-40B4-BE49-F238E27FC236}">
              <a16:creationId xmlns:a16="http://schemas.microsoft.com/office/drawing/2014/main" id="{C2781291-62EC-2AEE-2AB8-3A39C0913C38}"/>
            </a:ext>
          </a:extLst>
        </xdr:cNvPr>
        <xdr:cNvSpPr txBox="1"/>
      </xdr:nvSpPr>
      <xdr:spPr>
        <a:xfrm>
          <a:off x="30479" y="30480"/>
          <a:ext cx="15569117" cy="1249680"/>
        </a:xfrm>
        <a:prstGeom prst="rect">
          <a:avLst/>
        </a:prstGeom>
        <a:solidFill>
          <a:srgbClr val="0070C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100" baseline="0"/>
            <a:t>                                                                                                                                                                                                                                                                                                                                                                                                                     </a:t>
          </a:r>
        </a:p>
        <a:p>
          <a:endParaRPr lang="en-IN" sz="1100" b="1" baseline="0">
            <a:solidFill>
              <a:schemeClr val="bg1"/>
            </a:solidFill>
          </a:endParaRPr>
        </a:p>
        <a:p>
          <a:r>
            <a:rPr lang="en-IN" sz="2800" b="1">
              <a:solidFill>
                <a:schemeClr val="bg1"/>
              </a:solidFill>
            </a:rPr>
            <a:t>                                                                                   CUSTOMER AND PAYMENT ANALYSIS</a:t>
          </a:r>
        </a:p>
      </xdr:txBody>
    </xdr:sp>
    <xdr:clientData/>
  </xdr:oneCellAnchor>
  <xdr:twoCellAnchor>
    <xdr:from>
      <xdr:col>0</xdr:col>
      <xdr:colOff>131380</xdr:colOff>
      <xdr:row>7</xdr:row>
      <xdr:rowOff>99417</xdr:rowOff>
    </xdr:from>
    <xdr:to>
      <xdr:col>5</xdr:col>
      <xdr:colOff>105105</xdr:colOff>
      <xdr:row>11</xdr:row>
      <xdr:rowOff>141610</xdr:rowOff>
    </xdr:to>
    <xdr:sp macro="" textlink="">
      <xdr:nvSpPr>
        <xdr:cNvPr id="5" name="TextBox 4">
          <a:extLst>
            <a:ext uri="{FF2B5EF4-FFF2-40B4-BE49-F238E27FC236}">
              <a16:creationId xmlns:a16="http://schemas.microsoft.com/office/drawing/2014/main" id="{01F40EEB-66E3-F174-6FE4-B9EABA288165}"/>
            </a:ext>
          </a:extLst>
        </xdr:cNvPr>
        <xdr:cNvSpPr txBox="1"/>
      </xdr:nvSpPr>
      <xdr:spPr>
        <a:xfrm>
          <a:off x="131380" y="1386934"/>
          <a:ext cx="3039242" cy="777917"/>
        </a:xfrm>
        <a:prstGeom prst="rect">
          <a:avLst/>
        </a:prstGeom>
        <a:solidFill>
          <a:srgbClr val="CCCC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600" b="1">
              <a:solidFill>
                <a:srgbClr val="0070C0"/>
              </a:solidFill>
            </a:rPr>
            <a:t>AVERAGE RATING  </a:t>
          </a:r>
        </a:p>
        <a:p>
          <a:r>
            <a:rPr lang="en-IN" sz="1600" b="1" i="0" u="none" strike="noStrike">
              <a:solidFill>
                <a:srgbClr val="0070C0"/>
              </a:solidFill>
              <a:effectLst/>
              <a:latin typeface="+mn-lt"/>
              <a:ea typeface="+mn-ea"/>
              <a:cs typeface="+mn-cs"/>
            </a:rPr>
            <a:t>                           3.0111</a:t>
          </a:r>
          <a:r>
            <a:rPr lang="en-IN" sz="1600" b="1">
              <a:solidFill>
                <a:srgbClr val="0070C0"/>
              </a:solidFill>
              <a:effectLst/>
            </a:rPr>
            <a:t> </a:t>
          </a:r>
          <a:endParaRPr lang="en-IN" sz="1600" b="1">
            <a:solidFill>
              <a:srgbClr val="0070C0"/>
            </a:solidFill>
          </a:endParaRPr>
        </a:p>
      </xdr:txBody>
    </xdr:sp>
    <xdr:clientData/>
  </xdr:twoCellAnchor>
  <xdr:twoCellAnchor editAs="oneCell">
    <xdr:from>
      <xdr:col>1</xdr:col>
      <xdr:colOff>529711</xdr:colOff>
      <xdr:row>10</xdr:row>
      <xdr:rowOff>55469</xdr:rowOff>
    </xdr:from>
    <xdr:to>
      <xdr:col>2</xdr:col>
      <xdr:colOff>226800</xdr:colOff>
      <xdr:row>11</xdr:row>
      <xdr:rowOff>153658</xdr:rowOff>
    </xdr:to>
    <xdr:pic>
      <xdr:nvPicPr>
        <xdr:cNvPr id="7" name="Graphic 6" descr="Star with solid fill">
          <a:extLst>
            <a:ext uri="{FF2B5EF4-FFF2-40B4-BE49-F238E27FC236}">
              <a16:creationId xmlns:a16="http://schemas.microsoft.com/office/drawing/2014/main" id="{CF75CE90-DB64-60E4-EEA3-8C41911B388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2814" y="1894779"/>
          <a:ext cx="310193" cy="282120"/>
        </a:xfrm>
        <a:prstGeom prst="rect">
          <a:avLst/>
        </a:prstGeom>
      </xdr:spPr>
    </xdr:pic>
    <xdr:clientData/>
  </xdr:twoCellAnchor>
  <xdr:twoCellAnchor>
    <xdr:from>
      <xdr:col>6</xdr:col>
      <xdr:colOff>0</xdr:colOff>
      <xdr:row>7</xdr:row>
      <xdr:rowOff>101150</xdr:rowOff>
    </xdr:from>
    <xdr:to>
      <xdr:col>10</xdr:col>
      <xdr:colOff>437932</xdr:colOff>
      <xdr:row>11</xdr:row>
      <xdr:rowOff>128124</xdr:rowOff>
    </xdr:to>
    <xdr:sp macro="" textlink="">
      <xdr:nvSpPr>
        <xdr:cNvPr id="8" name="TextBox 7">
          <a:extLst>
            <a:ext uri="{FF2B5EF4-FFF2-40B4-BE49-F238E27FC236}">
              <a16:creationId xmlns:a16="http://schemas.microsoft.com/office/drawing/2014/main" id="{972A0268-1FEA-8DA6-F6FB-4C2DD5F914C4}"/>
            </a:ext>
          </a:extLst>
        </xdr:cNvPr>
        <xdr:cNvSpPr txBox="1"/>
      </xdr:nvSpPr>
      <xdr:spPr>
        <a:xfrm>
          <a:off x="3678621" y="1388667"/>
          <a:ext cx="2890345" cy="762698"/>
        </a:xfrm>
        <a:prstGeom prst="rect">
          <a:avLst/>
        </a:prstGeom>
        <a:solidFill>
          <a:srgbClr val="CCCC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70C0"/>
              </a:solidFill>
            </a:rPr>
            <a:t>        </a:t>
          </a:r>
          <a:r>
            <a:rPr lang="en-IN" sz="1400" b="1" baseline="0">
              <a:solidFill>
                <a:srgbClr val="0070C0"/>
              </a:solidFill>
            </a:rPr>
            <a:t>            </a:t>
          </a:r>
          <a:r>
            <a:rPr lang="en-IN" sz="1600" b="1">
              <a:solidFill>
                <a:srgbClr val="0070C0"/>
              </a:solidFill>
            </a:rPr>
            <a:t>HIGHEST RATING</a:t>
          </a:r>
        </a:p>
        <a:p>
          <a:r>
            <a:rPr lang="en-IN" sz="1600" b="1">
              <a:solidFill>
                <a:srgbClr val="0070C0"/>
              </a:solidFill>
            </a:rPr>
            <a:t>                                 5</a:t>
          </a:r>
        </a:p>
      </xdr:txBody>
    </xdr:sp>
    <xdr:clientData/>
  </xdr:twoCellAnchor>
  <xdr:twoCellAnchor>
    <xdr:from>
      <xdr:col>11</xdr:col>
      <xdr:colOff>429173</xdr:colOff>
      <xdr:row>7</xdr:row>
      <xdr:rowOff>94408</xdr:rowOff>
    </xdr:from>
    <xdr:to>
      <xdr:col>14</xdr:col>
      <xdr:colOff>251113</xdr:colOff>
      <xdr:row>11</xdr:row>
      <xdr:rowOff>128124</xdr:rowOff>
    </xdr:to>
    <xdr:sp macro="" textlink="">
      <xdr:nvSpPr>
        <xdr:cNvPr id="9" name="TextBox 8">
          <a:extLst>
            <a:ext uri="{FF2B5EF4-FFF2-40B4-BE49-F238E27FC236}">
              <a16:creationId xmlns:a16="http://schemas.microsoft.com/office/drawing/2014/main" id="{6A2BE1A9-9B92-2FD5-FB94-6DDEFAF48B7A}"/>
            </a:ext>
          </a:extLst>
        </xdr:cNvPr>
        <xdr:cNvSpPr txBox="1"/>
      </xdr:nvSpPr>
      <xdr:spPr>
        <a:xfrm>
          <a:off x="7050690" y="1381925"/>
          <a:ext cx="2668492" cy="769440"/>
        </a:xfrm>
        <a:prstGeom prst="rect">
          <a:avLst/>
        </a:prstGeom>
        <a:solidFill>
          <a:srgbClr val="CCCC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70C0"/>
              </a:solidFill>
            </a:rPr>
            <a:t>                     LOWEST RATING</a:t>
          </a:r>
        </a:p>
        <a:p>
          <a:r>
            <a:rPr lang="en-IN" sz="1400" b="1">
              <a:solidFill>
                <a:srgbClr val="0070C0"/>
              </a:solidFill>
            </a:rPr>
            <a:t>                                    1</a:t>
          </a:r>
        </a:p>
      </xdr:txBody>
    </xdr:sp>
    <xdr:clientData/>
  </xdr:twoCellAnchor>
  <xdr:twoCellAnchor editAs="oneCell">
    <xdr:from>
      <xdr:col>7</xdr:col>
      <xdr:colOff>178540</xdr:colOff>
      <xdr:row>10</xdr:row>
      <xdr:rowOff>71504</xdr:rowOff>
    </xdr:from>
    <xdr:to>
      <xdr:col>7</xdr:col>
      <xdr:colOff>495477</xdr:colOff>
      <xdr:row>11</xdr:row>
      <xdr:rowOff>140021</xdr:rowOff>
    </xdr:to>
    <xdr:pic>
      <xdr:nvPicPr>
        <xdr:cNvPr id="11" name="Graphic 10" descr="Star with solid fill">
          <a:extLst>
            <a:ext uri="{FF2B5EF4-FFF2-40B4-BE49-F238E27FC236}">
              <a16:creationId xmlns:a16="http://schemas.microsoft.com/office/drawing/2014/main" id="{39044B6B-F610-15EC-4079-535863388BB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0264" y="1910814"/>
          <a:ext cx="316937" cy="252448"/>
        </a:xfrm>
        <a:prstGeom prst="rect">
          <a:avLst/>
        </a:prstGeom>
      </xdr:spPr>
    </xdr:pic>
    <xdr:clientData/>
  </xdr:twoCellAnchor>
  <xdr:twoCellAnchor editAs="oneCell">
    <xdr:from>
      <xdr:col>7</xdr:col>
      <xdr:colOff>495107</xdr:colOff>
      <xdr:row>10</xdr:row>
      <xdr:rowOff>66364</xdr:rowOff>
    </xdr:from>
    <xdr:to>
      <xdr:col>8</xdr:col>
      <xdr:colOff>157940</xdr:colOff>
      <xdr:row>11</xdr:row>
      <xdr:rowOff>141626</xdr:rowOff>
    </xdr:to>
    <xdr:pic>
      <xdr:nvPicPr>
        <xdr:cNvPr id="13" name="Graphic 12" descr="Star with solid fill">
          <a:extLst>
            <a:ext uri="{FF2B5EF4-FFF2-40B4-BE49-F238E27FC236}">
              <a16:creationId xmlns:a16="http://schemas.microsoft.com/office/drawing/2014/main" id="{780FAC5F-63EB-B4DB-4DB3-97E7D3D52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86831" y="1905674"/>
          <a:ext cx="275937" cy="259193"/>
        </a:xfrm>
        <a:prstGeom prst="rect">
          <a:avLst/>
        </a:prstGeom>
      </xdr:spPr>
    </xdr:pic>
    <xdr:clientData/>
  </xdr:twoCellAnchor>
  <xdr:twoCellAnchor editAs="oneCell">
    <xdr:from>
      <xdr:col>8</xdr:col>
      <xdr:colOff>185611</xdr:colOff>
      <xdr:row>10</xdr:row>
      <xdr:rowOff>65297</xdr:rowOff>
    </xdr:from>
    <xdr:to>
      <xdr:col>8</xdr:col>
      <xdr:colOff>468833</xdr:colOff>
      <xdr:row>11</xdr:row>
      <xdr:rowOff>129771</xdr:rowOff>
    </xdr:to>
    <xdr:pic>
      <xdr:nvPicPr>
        <xdr:cNvPr id="15" name="Graphic 14" descr="Star with solid fill">
          <a:extLst>
            <a:ext uri="{FF2B5EF4-FFF2-40B4-BE49-F238E27FC236}">
              <a16:creationId xmlns:a16="http://schemas.microsoft.com/office/drawing/2014/main" id="{F1937656-2151-3EE6-E6E4-FFC3CA360A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090439" y="1904607"/>
          <a:ext cx="283222" cy="248405"/>
        </a:xfrm>
        <a:prstGeom prst="rect">
          <a:avLst/>
        </a:prstGeom>
      </xdr:spPr>
    </xdr:pic>
    <xdr:clientData/>
  </xdr:twoCellAnchor>
  <xdr:twoCellAnchor editAs="oneCell">
    <xdr:from>
      <xdr:col>8</xdr:col>
      <xdr:colOff>463201</xdr:colOff>
      <xdr:row>10</xdr:row>
      <xdr:rowOff>45066</xdr:rowOff>
    </xdr:from>
    <xdr:to>
      <xdr:col>9</xdr:col>
      <xdr:colOff>146262</xdr:colOff>
      <xdr:row>11</xdr:row>
      <xdr:rowOff>147301</xdr:rowOff>
    </xdr:to>
    <xdr:pic>
      <xdr:nvPicPr>
        <xdr:cNvPr id="17" name="Graphic 16" descr="Star with solid fill">
          <a:extLst>
            <a:ext uri="{FF2B5EF4-FFF2-40B4-BE49-F238E27FC236}">
              <a16:creationId xmlns:a16="http://schemas.microsoft.com/office/drawing/2014/main" id="{CCE10E6A-81B8-BC30-D15B-F6430DD6807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68029" y="1884376"/>
          <a:ext cx="296164" cy="286166"/>
        </a:xfrm>
        <a:prstGeom prst="rect">
          <a:avLst/>
        </a:prstGeom>
      </xdr:spPr>
    </xdr:pic>
    <xdr:clientData/>
  </xdr:twoCellAnchor>
  <xdr:twoCellAnchor editAs="oneCell">
    <xdr:from>
      <xdr:col>9</xdr:col>
      <xdr:colOff>131989</xdr:colOff>
      <xdr:row>10</xdr:row>
      <xdr:rowOff>56950</xdr:rowOff>
    </xdr:from>
    <xdr:to>
      <xdr:col>9</xdr:col>
      <xdr:colOff>415209</xdr:colOff>
      <xdr:row>11</xdr:row>
      <xdr:rowOff>152441</xdr:rowOff>
    </xdr:to>
    <xdr:pic>
      <xdr:nvPicPr>
        <xdr:cNvPr id="19" name="Graphic 18" descr="Star with solid fill">
          <a:extLst>
            <a:ext uri="{FF2B5EF4-FFF2-40B4-BE49-F238E27FC236}">
              <a16:creationId xmlns:a16="http://schemas.microsoft.com/office/drawing/2014/main" id="{3F4AA531-2A17-9D38-3DE8-4FF9CDEE359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49920" y="1896260"/>
          <a:ext cx="283220" cy="279422"/>
        </a:xfrm>
        <a:prstGeom prst="rect">
          <a:avLst/>
        </a:prstGeom>
      </xdr:spPr>
    </xdr:pic>
    <xdr:clientData/>
  </xdr:twoCellAnchor>
  <xdr:twoCellAnchor editAs="oneCell">
    <xdr:from>
      <xdr:col>13</xdr:col>
      <xdr:colOff>121811</xdr:colOff>
      <xdr:row>10</xdr:row>
      <xdr:rowOff>6736</xdr:rowOff>
    </xdr:from>
    <xdr:to>
      <xdr:col>13</xdr:col>
      <xdr:colOff>421077</xdr:colOff>
      <xdr:row>11</xdr:row>
      <xdr:rowOff>116489</xdr:rowOff>
    </xdr:to>
    <xdr:pic>
      <xdr:nvPicPr>
        <xdr:cNvPr id="21" name="Graphic 20" descr="Star with solid fill">
          <a:extLst>
            <a:ext uri="{FF2B5EF4-FFF2-40B4-BE49-F238E27FC236}">
              <a16:creationId xmlns:a16="http://schemas.microsoft.com/office/drawing/2014/main" id="{62CA2112-2D6C-9BD3-D204-8CC027C2626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23535" y="1846046"/>
          <a:ext cx="299266" cy="293684"/>
        </a:xfrm>
        <a:prstGeom prst="rect">
          <a:avLst/>
        </a:prstGeom>
      </xdr:spPr>
    </xdr:pic>
    <xdr:clientData/>
  </xdr:twoCellAnchor>
  <xdr:twoCellAnchor editAs="oneCell">
    <xdr:from>
      <xdr:col>2</xdr:col>
      <xdr:colOff>224664</xdr:colOff>
      <xdr:row>10</xdr:row>
      <xdr:rowOff>65296</xdr:rowOff>
    </xdr:from>
    <xdr:to>
      <xdr:col>2</xdr:col>
      <xdr:colOff>574777</xdr:colOff>
      <xdr:row>11</xdr:row>
      <xdr:rowOff>147302</xdr:rowOff>
    </xdr:to>
    <xdr:pic>
      <xdr:nvPicPr>
        <xdr:cNvPr id="23" name="Graphic 22" descr="Star with solid fill">
          <a:extLst>
            <a:ext uri="{FF2B5EF4-FFF2-40B4-BE49-F238E27FC236}">
              <a16:creationId xmlns:a16="http://schemas.microsoft.com/office/drawing/2014/main" id="{A928CAE4-BB54-FE02-7329-43005115D26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50871" y="1904606"/>
          <a:ext cx="350113" cy="265937"/>
        </a:xfrm>
        <a:prstGeom prst="rect">
          <a:avLst/>
        </a:prstGeom>
      </xdr:spPr>
    </xdr:pic>
    <xdr:clientData/>
  </xdr:twoCellAnchor>
  <xdr:twoCellAnchor editAs="oneCell">
    <xdr:from>
      <xdr:col>2</xdr:col>
      <xdr:colOff>599078</xdr:colOff>
      <xdr:row>10</xdr:row>
      <xdr:rowOff>61309</xdr:rowOff>
    </xdr:from>
    <xdr:to>
      <xdr:col>3</xdr:col>
      <xdr:colOff>302914</xdr:colOff>
      <xdr:row>11</xdr:row>
      <xdr:rowOff>147613</xdr:rowOff>
    </xdr:to>
    <xdr:pic>
      <xdr:nvPicPr>
        <xdr:cNvPr id="25" name="Graphic 24" descr="Star with solid fill">
          <a:extLst>
            <a:ext uri="{FF2B5EF4-FFF2-40B4-BE49-F238E27FC236}">
              <a16:creationId xmlns:a16="http://schemas.microsoft.com/office/drawing/2014/main" id="{1761F6B6-98DE-65E2-9446-BC15465B6B4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25285" y="1900619"/>
          <a:ext cx="316939" cy="270235"/>
        </a:xfrm>
        <a:prstGeom prst="rect">
          <a:avLst/>
        </a:prstGeom>
      </xdr:spPr>
    </xdr:pic>
    <xdr:clientData/>
  </xdr:twoCellAnchor>
  <xdr:twoCellAnchor>
    <xdr:from>
      <xdr:col>0</xdr:col>
      <xdr:colOff>113863</xdr:colOff>
      <xdr:row>13</xdr:row>
      <xdr:rowOff>6593</xdr:rowOff>
    </xdr:from>
    <xdr:to>
      <xdr:col>7</xdr:col>
      <xdr:colOff>420415</xdr:colOff>
      <xdr:row>27</xdr:row>
      <xdr:rowOff>77592</xdr:rowOff>
    </xdr:to>
    <xdr:graphicFrame macro="">
      <xdr:nvGraphicFramePr>
        <xdr:cNvPr id="26" name="Chart 25">
          <a:extLst>
            <a:ext uri="{FF2B5EF4-FFF2-40B4-BE49-F238E27FC236}">
              <a16:creationId xmlns:a16="http://schemas.microsoft.com/office/drawing/2014/main" id="{3FF704D0-F45B-465B-89A6-F93FCE96C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751611</xdr:colOff>
      <xdr:row>7</xdr:row>
      <xdr:rowOff>84282</xdr:rowOff>
    </xdr:from>
    <xdr:to>
      <xdr:col>21</xdr:col>
      <xdr:colOff>394138</xdr:colOff>
      <xdr:row>24</xdr:row>
      <xdr:rowOff>12950</xdr:rowOff>
    </xdr:to>
    <xdr:graphicFrame macro="">
      <xdr:nvGraphicFramePr>
        <xdr:cNvPr id="27" name="Chart 26">
          <a:extLst>
            <a:ext uri="{FF2B5EF4-FFF2-40B4-BE49-F238E27FC236}">
              <a16:creationId xmlns:a16="http://schemas.microsoft.com/office/drawing/2014/main" id="{B570F4B4-439D-411F-89E7-4FB28EA57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105103</xdr:colOff>
      <xdr:row>28</xdr:row>
      <xdr:rowOff>109102</xdr:rowOff>
    </xdr:from>
    <xdr:to>
      <xdr:col>7</xdr:col>
      <xdr:colOff>472966</xdr:colOff>
      <xdr:row>43</xdr:row>
      <xdr:rowOff>100819</xdr:rowOff>
    </xdr:to>
    <xdr:graphicFrame macro="">
      <xdr:nvGraphicFramePr>
        <xdr:cNvPr id="28" name="Chart 27">
          <a:extLst>
            <a:ext uri="{FF2B5EF4-FFF2-40B4-BE49-F238E27FC236}">
              <a16:creationId xmlns:a16="http://schemas.microsoft.com/office/drawing/2014/main" id="{1C218815-B754-48E5-9759-6784A3789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0</xdr:row>
      <xdr:rowOff>0</xdr:rowOff>
    </xdr:from>
    <xdr:to>
      <xdr:col>2</xdr:col>
      <xdr:colOff>472109</xdr:colOff>
      <xdr:row>6</xdr:row>
      <xdr:rowOff>176561</xdr:rowOff>
    </xdr:to>
    <xdr:pic>
      <xdr:nvPicPr>
        <xdr:cNvPr id="3" name="Picture 2">
          <a:extLst>
            <a:ext uri="{FF2B5EF4-FFF2-40B4-BE49-F238E27FC236}">
              <a16:creationId xmlns:a16="http://schemas.microsoft.com/office/drawing/2014/main" id="{78C02FE8-77C4-4CE4-BBA0-E2A40A122EE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97935" cy="1269865"/>
        </a:xfrm>
        <a:prstGeom prst="rect">
          <a:avLst/>
        </a:prstGeom>
      </xdr:spPr>
    </xdr:pic>
    <xdr:clientData/>
  </xdr:twoCellAnchor>
  <xdr:twoCellAnchor editAs="oneCell">
    <xdr:from>
      <xdr:col>7</xdr:col>
      <xdr:colOff>576545</xdr:colOff>
      <xdr:row>12</xdr:row>
      <xdr:rowOff>158321</xdr:rowOff>
    </xdr:from>
    <xdr:to>
      <xdr:col>11</xdr:col>
      <xdr:colOff>441011</xdr:colOff>
      <xdr:row>27</xdr:row>
      <xdr:rowOff>4622</xdr:rowOff>
    </xdr:to>
    <mc:AlternateContent xmlns:mc="http://schemas.openxmlformats.org/markup-compatibility/2006" xmlns:a14="http://schemas.microsoft.com/office/drawing/2010/main">
      <mc:Choice Requires="a14">
        <xdr:graphicFrame macro="">
          <xdr:nvGraphicFramePr>
            <xdr:cNvPr id="10" name="Product Name 2">
              <a:extLst>
                <a:ext uri="{FF2B5EF4-FFF2-40B4-BE49-F238E27FC236}">
                  <a16:creationId xmlns:a16="http://schemas.microsoft.com/office/drawing/2014/main" id="{807B4D2B-34FC-7BAA-805D-A867E92F3136}"/>
                </a:ext>
              </a:extLst>
            </xdr:cNvPr>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mlns="">
        <xdr:sp macro="" textlink="">
          <xdr:nvSpPr>
            <xdr:cNvPr id="0" name=""/>
            <xdr:cNvSpPr>
              <a:spLocks noTextEdit="1"/>
            </xdr:cNvSpPr>
          </xdr:nvSpPr>
          <xdr:spPr>
            <a:xfrm>
              <a:off x="4831758" y="2315894"/>
              <a:ext cx="2176152" cy="2543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25217</xdr:colOff>
      <xdr:row>29</xdr:row>
      <xdr:rowOff>52993</xdr:rowOff>
    </xdr:from>
    <xdr:to>
      <xdr:col>11</xdr:col>
      <xdr:colOff>506011</xdr:colOff>
      <xdr:row>43</xdr:row>
      <xdr:rowOff>113863</xdr:rowOff>
    </xdr:to>
    <mc:AlternateContent xmlns:mc="http://schemas.openxmlformats.org/markup-compatibility/2006" xmlns:a14="http://schemas.microsoft.com/office/drawing/2010/main">
      <mc:Choice Requires="a14">
        <xdr:graphicFrame macro="">
          <xdr:nvGraphicFramePr>
            <xdr:cNvPr id="16" name="Category 2">
              <a:extLst>
                <a:ext uri="{FF2B5EF4-FFF2-40B4-BE49-F238E27FC236}">
                  <a16:creationId xmlns:a16="http://schemas.microsoft.com/office/drawing/2014/main" id="{848E96E2-DDC5-0F05-F982-36B899361ADB}"/>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4888318" y="5267128"/>
              <a:ext cx="2184592" cy="2578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789677</xdr:colOff>
      <xdr:row>24</xdr:row>
      <xdr:rowOff>155096</xdr:rowOff>
    </xdr:from>
    <xdr:to>
      <xdr:col>18</xdr:col>
      <xdr:colOff>271516</xdr:colOff>
      <xdr:row>44</xdr:row>
      <xdr:rowOff>111304</xdr:rowOff>
    </xdr:to>
    <mc:AlternateContent xmlns:mc="http://schemas.openxmlformats.org/markup-compatibility/2006">
      <mc:Choice xmlns:a14="http://schemas.microsoft.com/office/drawing/2010/main" Requires="a14">
        <xdr:graphicFrame macro="">
          <xdr:nvGraphicFramePr>
            <xdr:cNvPr id="18" name="Months (Order Date)">
              <a:extLst>
                <a:ext uri="{FF2B5EF4-FFF2-40B4-BE49-F238E27FC236}">
                  <a16:creationId xmlns:a16="http://schemas.microsoft.com/office/drawing/2014/main" id="{08003AC8-936C-42AA-1AA8-3FDDECE2D8FD}"/>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10164846" y="4470242"/>
              <a:ext cx="2255861" cy="3552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2.439460648151" createdVersion="8" refreshedVersion="8" minRefreshableVersion="3" recordCount="1000" xr:uid="{0D129942-72D6-485F-953F-EB708EE9334E}">
  <cacheSource type="worksheet">
    <worksheetSource name="Table1_1"/>
  </cacheSource>
  <cacheFields count="15">
    <cacheField name="Order ID" numFmtId="0">
      <sharedItems count="1000">
        <s v="ORD00132"/>
        <s v="ORD00426"/>
        <s v="ORD00723"/>
        <s v="ORD00769"/>
        <s v="ORD00996"/>
        <s v="ORD00083"/>
        <s v="ORD00145"/>
        <s v="ORD00185"/>
        <s v="ORD00258"/>
        <s v="ORD00266"/>
        <s v="ORD00310"/>
        <s v="ORD00350"/>
        <s v="ORD00377"/>
        <s v="ORD00468"/>
        <s v="ORD00489"/>
        <s v="ORD00497"/>
        <s v="ORD00506"/>
        <s v="ORD00533"/>
        <s v="ORD00637"/>
        <s v="ORD00638"/>
        <s v="ORD00665"/>
        <s v="ORD00694"/>
        <s v="ORD00720"/>
        <s v="ORD00735"/>
        <s v="ORD00774"/>
        <s v="ORD00869"/>
        <s v="ORD00970"/>
        <s v="ORD00991"/>
        <s v="ORD00112"/>
        <s v="ORD00156"/>
        <s v="ORD00217"/>
        <s v="ORD00245"/>
        <s v="ORD00371"/>
        <s v="ORD00407"/>
        <s v="ORD00419"/>
        <s v="ORD00446"/>
        <s v="ORD00469"/>
        <s v="ORD00509"/>
        <s v="ORD00523"/>
        <s v="ORD00599"/>
        <s v="ORD00603"/>
        <s v="ORD00640"/>
        <s v="ORD00717"/>
        <s v="ORD00837"/>
        <s v="ORD00839"/>
        <s v="ORD00856"/>
        <s v="ORD00860"/>
        <s v="ORD00906"/>
        <s v="ORD00942"/>
        <s v="ORD00960"/>
        <s v="ORD00047"/>
        <s v="ORD00068"/>
        <s v="ORD00085"/>
        <s v="ORD00158"/>
        <s v="ORD00163"/>
        <s v="ORD00214"/>
        <s v="ORD00240"/>
        <s v="ORD00535"/>
        <s v="ORD00539"/>
        <s v="ORD00585"/>
        <s v="ORD00634"/>
        <s v="ORD00678"/>
        <s v="ORD00688"/>
        <s v="ORD00707"/>
        <s v="ORD00787"/>
        <s v="ORD00882"/>
        <s v="ORD00957"/>
        <s v="ORD00074"/>
        <s v="ORD00127"/>
        <s v="ORD00139"/>
        <s v="ORD00162"/>
        <s v="ORD00197"/>
        <s v="ORD00204"/>
        <s v="ORD00213"/>
        <s v="ORD00261"/>
        <s v="ORD00262"/>
        <s v="ORD00295"/>
        <s v="ORD00311"/>
        <s v="ORD00319"/>
        <s v="ORD00363"/>
        <s v="ORD00536"/>
        <s v="ORD00547"/>
        <s v="ORD00573"/>
        <s v="ORD00574"/>
        <s v="ORD00610"/>
        <s v="ORD00612"/>
        <s v="ORD00722"/>
        <s v="ORD00783"/>
        <s v="ORD00796"/>
        <s v="ORD00816"/>
        <s v="ORD00823"/>
        <s v="ORD00915"/>
        <s v="ORD00986"/>
        <s v="ORD00021"/>
        <s v="ORD00050"/>
        <s v="ORD00203"/>
        <s v="ORD00300"/>
        <s v="ORD00338"/>
        <s v="ORD00351"/>
        <s v="ORD00382"/>
        <s v="ORD00404"/>
        <s v="ORD00420"/>
        <s v="ORD00487"/>
        <s v="ORD00488"/>
        <s v="ORD00525"/>
        <s v="ORD00541"/>
        <s v="ORD00577"/>
        <s v="ORD00594"/>
        <s v="ORD00607"/>
        <s v="ORD00608"/>
        <s v="ORD00611"/>
        <s v="ORD00636"/>
        <s v="ORD00732"/>
        <s v="ORD00766"/>
        <s v="ORD00804"/>
        <s v="ORD00838"/>
        <s v="ORD00894"/>
        <s v="ORD00902"/>
        <s v="ORD00003"/>
        <s v="ORD00020"/>
        <s v="ORD00091"/>
        <s v="ORD00104"/>
        <s v="ORD00124"/>
        <s v="ORD00138"/>
        <s v="ORD00148"/>
        <s v="ORD00169"/>
        <s v="ORD00220"/>
        <s v="ORD00226"/>
        <s v="ORD00274"/>
        <s v="ORD00276"/>
        <s v="ORD00297"/>
        <s v="ORD00323"/>
        <s v="ORD00335"/>
        <s v="ORD00342"/>
        <s v="ORD00379"/>
        <s v="ORD00405"/>
        <s v="ORD00438"/>
        <s v="ORD00465"/>
        <s v="ORD00520"/>
        <s v="ORD00537"/>
        <s v="ORD00561"/>
        <s v="ORD00628"/>
        <s v="ORD00642"/>
        <s v="ORD00686"/>
        <s v="ORD00743"/>
        <s v="ORD00834"/>
        <s v="ORD00848"/>
        <s v="ORD00879"/>
        <s v="ORD00890"/>
        <s v="ORD00930"/>
        <s v="ORD00022"/>
        <s v="ORD00106"/>
        <s v="ORD00141"/>
        <s v="ORD00153"/>
        <s v="ORD00154"/>
        <s v="ORD00176"/>
        <s v="ORD00238"/>
        <s v="ORD00249"/>
        <s v="ORD00333"/>
        <s v="ORD00344"/>
        <s v="ORD00386"/>
        <s v="ORD00444"/>
        <s v="ORD00445"/>
        <s v="ORD00480"/>
        <s v="ORD00494"/>
        <s v="ORD00505"/>
        <s v="ORD00566"/>
        <s v="ORD00580"/>
        <s v="ORD00629"/>
        <s v="ORD00646"/>
        <s v="ORD00689"/>
        <s v="ORD00731"/>
        <s v="ORD00750"/>
        <s v="ORD00813"/>
        <s v="ORD00913"/>
        <s v="ORD00043"/>
        <s v="ORD00133"/>
        <s v="ORD00149"/>
        <s v="ORD00166"/>
        <s v="ORD00186"/>
        <s v="ORD00228"/>
        <s v="ORD00273"/>
        <s v="ORD00286"/>
        <s v="ORD00396"/>
        <s v="ORD00431"/>
        <s v="ORD00443"/>
        <s v="ORD00447"/>
        <s v="ORD00472"/>
        <s v="ORD00477"/>
        <s v="ORD00481"/>
        <s v="ORD00493"/>
        <s v="ORD00511"/>
        <s v="ORD00515"/>
        <s v="ORD00532"/>
        <s v="ORD00548"/>
        <s v="ORD00568"/>
        <s v="ORD00597"/>
        <s v="ORD00602"/>
        <s v="ORD00630"/>
        <s v="ORD00675"/>
        <s v="ORD00705"/>
        <s v="ORD00715"/>
        <s v="ORD00727"/>
        <s v="ORD00744"/>
        <s v="ORD00836"/>
        <s v="ORD00850"/>
        <s v="ORD00891"/>
        <s v="ORD00892"/>
        <s v="ORD00912"/>
        <s v="ORD00988"/>
        <s v="ORD00052"/>
        <s v="ORD00056"/>
        <s v="ORD00171"/>
        <s v="ORD00174"/>
        <s v="ORD00177"/>
        <s v="ORD00183"/>
        <s v="ORD00190"/>
        <s v="ORD00269"/>
        <s v="ORD00280"/>
        <s v="ORD00283"/>
        <s v="ORD00290"/>
        <s v="ORD00320"/>
        <s v="ORD00412"/>
        <s v="ORD00424"/>
        <s v="ORD00440"/>
        <s v="ORD00462"/>
        <s v="ORD00476"/>
        <s v="ORD00502"/>
        <s v="ORD00589"/>
        <s v="ORD00614"/>
        <s v="ORD00668"/>
        <s v="ORD00708"/>
        <s v="ORD00718"/>
        <s v="ORD00824"/>
        <s v="ORD00881"/>
        <s v="ORD00911"/>
        <s v="ORD00916"/>
        <s v="ORD00935"/>
        <s v="ORD00010"/>
        <s v="ORD00019"/>
        <s v="ORD00039"/>
        <s v="ORD00040"/>
        <s v="ORD00079"/>
        <s v="ORD00090"/>
        <s v="ORD00103"/>
        <s v="ORD00130"/>
        <s v="ORD00144"/>
        <s v="ORD00281"/>
        <s v="ORD00287"/>
        <s v="ORD00366"/>
        <s v="ORD00372"/>
        <s v="ORD00373"/>
        <s v="ORD00433"/>
        <s v="ORD00451"/>
        <s v="ORD00452"/>
        <s v="ORD00466"/>
        <s v="ORD00484"/>
        <s v="ORD00510"/>
        <s v="ORD00512"/>
        <s v="ORD00534"/>
        <s v="ORD00622"/>
        <s v="ORD00667"/>
        <s v="ORD00684"/>
        <s v="ORD00713"/>
        <s v="ORD00793"/>
        <s v="ORD00800"/>
        <s v="ORD00864"/>
        <s v="ORD00880"/>
        <s v="ORD00939"/>
        <s v="ORD00941"/>
        <s v="ORD00943"/>
        <s v="ORD00952"/>
        <s v="ORD00002"/>
        <s v="ORD00062"/>
        <s v="ORD00096"/>
        <s v="ORD00110"/>
        <s v="ORD00114"/>
        <s v="ORD00179"/>
        <s v="ORD00194"/>
        <s v="ORD00288"/>
        <s v="ORD00307"/>
        <s v="ORD00385"/>
        <s v="ORD00398"/>
        <s v="ORD00413"/>
        <s v="ORD00421"/>
        <s v="ORD00463"/>
        <s v="ORD00499"/>
        <s v="ORD00553"/>
        <s v="ORD00650"/>
        <s v="ORD00653"/>
        <s v="ORD00669"/>
        <s v="ORD00682"/>
        <s v="ORD00699"/>
        <s v="ORD00971"/>
        <s v="ORD00060"/>
        <s v="ORD00076"/>
        <s v="ORD00113"/>
        <s v="ORD00135"/>
        <s v="ORD00137"/>
        <s v="ORD00178"/>
        <s v="ORD00239"/>
        <s v="ORD00294"/>
        <s v="ORD00328"/>
        <s v="ORD00361"/>
        <s v="ORD00368"/>
        <s v="ORD00378"/>
        <s v="ORD00449"/>
        <s v="ORD00479"/>
        <s v="ORD00483"/>
        <s v="ORD00679"/>
        <s v="ORD00697"/>
        <s v="ORD00700"/>
        <s v="ORD00721"/>
        <s v="ORD00756"/>
        <s v="ORD00777"/>
        <s v="ORD00806"/>
        <s v="ORD00821"/>
        <s v="ORD00872"/>
        <s v="ORD00888"/>
        <s v="ORD00920"/>
        <s v="ORD00956"/>
        <s v="ORD00014"/>
        <s v="ORD00030"/>
        <s v="ORD00038"/>
        <s v="ORD00041"/>
        <s v="ORD00105"/>
        <s v="ORD00116"/>
        <s v="ORD00134"/>
        <s v="ORD00292"/>
        <s v="ORD00336"/>
        <s v="ORD00353"/>
        <s v="ORD00355"/>
        <s v="ORD00475"/>
        <s v="ORD00575"/>
        <s v="ORD00586"/>
        <s v="ORD00587"/>
        <s v="ORD00639"/>
        <s v="ORD00687"/>
        <s v="ORD00733"/>
        <s v="ORD00815"/>
        <s v="ORD00819"/>
        <s v="ORD00833"/>
        <s v="ORD00898"/>
        <s v="ORD00928"/>
        <s v="ORD00929"/>
        <s v="ORD00972"/>
        <s v="ORD00978"/>
        <s v="ORD00993"/>
        <s v="ORD00031"/>
        <s v="ORD00055"/>
        <s v="ORD00058"/>
        <s v="ORD00092"/>
        <s v="ORD00126"/>
        <s v="ORD00211"/>
        <s v="ORD00244"/>
        <s v="ORD00278"/>
        <s v="ORD00299"/>
        <s v="ORD00369"/>
        <s v="ORD00485"/>
        <s v="ORD00521"/>
        <s v="ORD00529"/>
        <s v="ORD00554"/>
        <s v="ORD00557"/>
        <s v="ORD00616"/>
        <s v="ORD00620"/>
        <s v="ORD00695"/>
        <s v="ORD00729"/>
        <s v="ORD00740"/>
        <s v="ORD00753"/>
        <s v="ORD00827"/>
        <s v="ORD00847"/>
        <s v="ORD00904"/>
        <s v="ORD00919"/>
        <s v="ORD00936"/>
        <s v="ORD00955"/>
        <s v="ORD00973"/>
        <s v="ORD00001"/>
        <s v="ORD00035"/>
        <s v="ORD00042"/>
        <s v="ORD00107"/>
        <s v="ORD00188"/>
        <s v="ORD00219"/>
        <s v="ORD00221"/>
        <s v="ORD00231"/>
        <s v="ORD00237"/>
        <s v="ORD00243"/>
        <s v="ORD00246"/>
        <s v="ORD00293"/>
        <s v="ORD00308"/>
        <s v="ORD00329"/>
        <s v="ORD00334"/>
        <s v="ORD00401"/>
        <s v="ORD00403"/>
        <s v="ORD00442"/>
        <s v="ORD00491"/>
        <s v="ORD00500"/>
        <s v="ORD00569"/>
        <s v="ORD00596"/>
        <s v="ORD00649"/>
        <s v="ORD00680"/>
        <s v="ORD00698"/>
        <s v="ORD00719"/>
        <s v="ORD00748"/>
        <s v="ORD00776"/>
        <s v="ORD00790"/>
        <s v="ORD00868"/>
        <s v="ORD00938"/>
        <s v="ORD00948"/>
        <s v="ORD00962"/>
        <s v="ORD00965"/>
        <s v="ORD00974"/>
        <s v="ORD00026"/>
        <s v="ORD00064"/>
        <s v="ORD00069"/>
        <s v="ORD00077"/>
        <s v="ORD00087"/>
        <s v="ORD00088"/>
        <s v="ORD00209"/>
        <s v="ORD00232"/>
        <s v="ORD00406"/>
        <s v="ORD00434"/>
        <s v="ORD00455"/>
        <s v="ORD00538"/>
        <s v="ORD00592"/>
        <s v="ORD00595"/>
        <s v="ORD00643"/>
        <s v="ORD00677"/>
        <s v="ORD00692"/>
        <s v="ORD00922"/>
        <s v="ORD00954"/>
        <s v="ORD00049"/>
        <s v="ORD00080"/>
        <s v="ORD00101"/>
        <s v="ORD00168"/>
        <s v="ORD00184"/>
        <s v="ORD00251"/>
        <s v="ORD00339"/>
        <s v="ORD00346"/>
        <s v="ORD00414"/>
        <s v="ORD00490"/>
        <s v="ORD00507"/>
        <s v="ORD00519"/>
        <s v="ORD00567"/>
        <s v="ORD00709"/>
        <s v="ORD00716"/>
        <s v="ORD00724"/>
        <s v="ORD00749"/>
        <s v="ORD00830"/>
        <s v="ORD00854"/>
        <s v="ORD00885"/>
        <s v="ORD00918"/>
        <s v="ORD00004"/>
        <s v="ORD00033"/>
        <s v="ORD00081"/>
        <s v="ORD00201"/>
        <s v="ORD00279"/>
        <s v="ORD00321"/>
        <s v="ORD00358"/>
        <s v="ORD00387"/>
        <s v="ORD00393"/>
        <s v="ORD00429"/>
        <s v="ORD00450"/>
        <s v="ORD00543"/>
        <s v="ORD00621"/>
        <s v="ORD00631"/>
        <s v="ORD00690"/>
        <s v="ORD00747"/>
        <s v="ORD00820"/>
        <s v="ORD00843"/>
        <s v="ORD00844"/>
        <s v="ORD00873"/>
        <s v="ORD00874"/>
        <s v="ORD00893"/>
        <s v="ORD00910"/>
        <s v="ORD00999"/>
        <s v="ORD00005"/>
        <s v="ORD00034"/>
        <s v="ORD00061"/>
        <s v="ORD00098"/>
        <s v="ORD00136"/>
        <s v="ORD00143"/>
        <s v="ORD00146"/>
        <s v="ORD00265"/>
        <s v="ORD00270"/>
        <s v="ORD00303"/>
        <s v="ORD00326"/>
        <s v="ORD00474"/>
        <s v="ORD00495"/>
        <s v="ORD00609"/>
        <s v="ORD00632"/>
        <s v="ORD00654"/>
        <s v="ORD00736"/>
        <s v="ORD00781"/>
        <s v="ORD00808"/>
        <s v="ORD00867"/>
        <s v="ORD00886"/>
        <s v="ORD00889"/>
        <s v="ORD00923"/>
        <s v="ORD00925"/>
        <s v="ORD00945"/>
        <s v="ORD00958"/>
        <s v="ORD00998"/>
        <s v="ORD00073"/>
        <s v="ORD00102"/>
        <s v="ORD00118"/>
        <s v="ORD00172"/>
        <s v="ORD00225"/>
        <s v="ORD00268"/>
        <s v="ORD00316"/>
        <s v="ORD00337"/>
        <s v="ORD00348"/>
        <s v="ORD00399"/>
        <s v="ORD00437"/>
        <s v="ORD00454"/>
        <s v="ORD00459"/>
        <s v="ORD00473"/>
        <s v="ORD00578"/>
        <s v="ORD00604"/>
        <s v="ORD00658"/>
        <s v="ORD00702"/>
        <s v="ORD00728"/>
        <s v="ORD00730"/>
        <s v="ORD00759"/>
        <s v="ORD00767"/>
        <s v="ORD00773"/>
        <s v="ORD00825"/>
        <s v="ORD00831"/>
        <s v="ORD00858"/>
        <s v="ORD00940"/>
        <s v="ORD00963"/>
        <s v="ORD00984"/>
        <s v="ORD00093"/>
        <s v="ORD00187"/>
        <s v="ORD00199"/>
        <s v="ORD00210"/>
        <s v="ORD00236"/>
        <s v="ORD00272"/>
        <s v="ORD00282"/>
        <s v="ORD00331"/>
        <s v="ORD00347"/>
        <s v="ORD00357"/>
        <s v="ORD00364"/>
        <s v="ORD00370"/>
        <s v="ORD00374"/>
        <s v="ORD00390"/>
        <s v="ORD00432"/>
        <s v="ORD00457"/>
        <s v="ORD00496"/>
        <s v="ORD00544"/>
        <s v="ORD00555"/>
        <s v="ORD00641"/>
        <s v="ORD00666"/>
        <s v="ORD00734"/>
        <s v="ORD00739"/>
        <s v="ORD00802"/>
        <s v="ORD00866"/>
        <s v="ORD00917"/>
        <s v="ORD00926"/>
        <s v="ORD00964"/>
        <s v="ORD00982"/>
        <s v="ORD00024"/>
        <s v="ORD00045"/>
        <s v="ORD00117"/>
        <s v="ORD00180"/>
        <s v="ORD00255"/>
        <s v="ORD00285"/>
        <s v="ORD00478"/>
        <s v="ORD00486"/>
        <s v="ORD00503"/>
        <s v="ORD00591"/>
        <s v="ORD00601"/>
        <s v="ORD00605"/>
        <s v="ORD00660"/>
        <s v="ORD00757"/>
        <s v="ORD00770"/>
        <s v="ORD00778"/>
        <s v="ORD00908"/>
        <s v="ORD00937"/>
        <s v="ORD00063"/>
        <s v="ORD00082"/>
        <s v="ORD00150"/>
        <s v="ORD00206"/>
        <s v="ORD00241"/>
        <s v="ORD00248"/>
        <s v="ORD00425"/>
        <s v="ORD00436"/>
        <s v="ORD00453"/>
        <s v="ORD00464"/>
        <s v="ORD00552"/>
        <s v="ORD00570"/>
        <s v="ORD00579"/>
        <s v="ORD00582"/>
        <s v="ORD00648"/>
        <s v="ORD00662"/>
        <s v="ORD00711"/>
        <s v="ORD00742"/>
        <s v="ORD00762"/>
        <s v="ORD00851"/>
        <s v="ORD00852"/>
        <s v="ORD00903"/>
        <s v="ORD00921"/>
        <s v="ORD00927"/>
        <s v="ORD00946"/>
        <s v="ORD00949"/>
        <s v="ORD00967"/>
        <s v="ORD00987"/>
        <s v="ORD00009"/>
        <s v="ORD00155"/>
        <s v="ORD00165"/>
        <s v="ORD00181"/>
        <s v="ORD00208"/>
        <s v="ORD00227"/>
        <s v="ORD00230"/>
        <s v="ORD00257"/>
        <s v="ORD00277"/>
        <s v="ORD00330"/>
        <s v="ORD00354"/>
        <s v="ORD00411"/>
        <s v="ORD00428"/>
        <s v="ORD00504"/>
        <s v="ORD00546"/>
        <s v="ORD00550"/>
        <s v="ORD00617"/>
        <s v="ORD00714"/>
        <s v="ORD00859"/>
        <s v="ORD00018"/>
        <s v="ORD00027"/>
        <s v="ORD00067"/>
        <s v="ORD00089"/>
        <s v="ORD00097"/>
        <s v="ORD00128"/>
        <s v="ORD00175"/>
        <s v="ORD00193"/>
        <s v="ORD00205"/>
        <s v="ORD00216"/>
        <s v="ORD00318"/>
        <s v="ORD00325"/>
        <s v="ORD00409"/>
        <s v="ORD00456"/>
        <s v="ORD00482"/>
        <s v="ORD00513"/>
        <s v="ORD00527"/>
        <s v="ORD00576"/>
        <s v="ORD00661"/>
        <s v="ORD00664"/>
        <s v="ORD00673"/>
        <s v="ORD00701"/>
        <s v="ORD00772"/>
        <s v="ORD00814"/>
        <s v="ORD00840"/>
        <s v="ORD00900"/>
        <s v="ORD00990"/>
        <s v="ORD00995"/>
        <s v="ORD00008"/>
        <s v="ORD00046"/>
        <s v="ORD00051"/>
        <s v="ORD00078"/>
        <s v="ORD00086"/>
        <s v="ORD00100"/>
        <s v="ORD00122"/>
        <s v="ORD00167"/>
        <s v="ORD00192"/>
        <s v="ORD00359"/>
        <s v="ORD00416"/>
        <s v="ORD00417"/>
        <s v="ORD00439"/>
        <s v="ORD00458"/>
        <s v="ORD00518"/>
        <s v="ORD00659"/>
        <s v="ORD00706"/>
        <s v="ORD00738"/>
        <s v="ORD00745"/>
        <s v="ORD00779"/>
        <s v="ORD00832"/>
        <s v="ORD00997"/>
        <s v="ORD00011"/>
        <s v="ORD00017"/>
        <s v="ORD00028"/>
        <s v="ORD00048"/>
        <s v="ORD00129"/>
        <s v="ORD00170"/>
        <s v="ORD00191"/>
        <s v="ORD00215"/>
        <s v="ORD00301"/>
        <s v="ORD00394"/>
        <s v="ORD00402"/>
        <s v="ORD00542"/>
        <s v="ORD00624"/>
        <s v="ORD00691"/>
        <s v="ORD00746"/>
        <s v="ORD00782"/>
        <s v="ORD00784"/>
        <s v="ORD00828"/>
        <s v="ORD00841"/>
        <s v="ORD00905"/>
        <s v="ORD00953"/>
        <s v="ORD00029"/>
        <s v="ORD00054"/>
        <s v="ORD00332"/>
        <s v="ORD00430"/>
        <s v="ORD00516"/>
        <s v="ORD00558"/>
        <s v="ORD00572"/>
        <s v="ORD00644"/>
        <s v="ORD00647"/>
        <s v="ORD00760"/>
        <s v="ORD00797"/>
        <s v="ORD00818"/>
        <s v="ORD00865"/>
        <s v="ORD00887"/>
        <s v="ORD00994"/>
        <s v="ORD00099"/>
        <s v="ORD00115"/>
        <s v="ORD00151"/>
        <s v="ORD00173"/>
        <s v="ORD00312"/>
        <s v="ORD00341"/>
        <s v="ORD00470"/>
        <s v="ORD00551"/>
        <s v="ORD00564"/>
        <s v="ORD00663"/>
        <s v="ORD00786"/>
        <s v="ORD00789"/>
        <s v="ORD00801"/>
        <s v="ORD00826"/>
        <s v="ORD00842"/>
        <s v="ORD00845"/>
        <s v="ORD00853"/>
        <s v="ORD00924"/>
        <s v="ORD00983"/>
        <s v="ORD00992"/>
        <s v="ORD00007"/>
        <s v="ORD00059"/>
        <s v="ORD00071"/>
        <s v="ORD00094"/>
        <s v="ORD00157"/>
        <s v="ORD00233"/>
        <s v="ORD00250"/>
        <s v="ORD00253"/>
        <s v="ORD00284"/>
        <s v="ORD00289"/>
        <s v="ORD00362"/>
        <s v="ORD00365"/>
        <s v="ORD00367"/>
        <s v="ORD00380"/>
        <s v="ORD00435"/>
        <s v="ORD00471"/>
        <s v="ORD00522"/>
        <s v="ORD00531"/>
        <s v="ORD00540"/>
        <s v="ORD00545"/>
        <s v="ORD00645"/>
        <s v="ORD00651"/>
        <s v="ORD00655"/>
        <s v="ORD00693"/>
        <s v="ORD00737"/>
        <s v="ORD00764"/>
        <s v="ORD00765"/>
        <s v="ORD00771"/>
        <s v="ORD00780"/>
        <s v="ORD00862"/>
        <s v="ORD00969"/>
        <s v="ORD00066"/>
        <s v="ORD00111"/>
        <s v="ORD00147"/>
        <s v="ORD00159"/>
        <s v="ORD00271"/>
        <s v="ORD00291"/>
        <s v="ORD00315"/>
        <s v="ORD00389"/>
        <s v="ORD00397"/>
        <s v="ORD00410"/>
        <s v="ORD00492"/>
        <s v="ORD00524"/>
        <s v="ORD00526"/>
        <s v="ORD00528"/>
        <s v="ORD00590"/>
        <s v="ORD00600"/>
        <s v="ORD00606"/>
        <s v="ORD00625"/>
        <s v="ORD00726"/>
        <s v="ORD00754"/>
        <s v="ORD00761"/>
        <s v="ORD00799"/>
        <s v="ORD00822"/>
        <s v="ORD00871"/>
        <s v="ORD00877"/>
        <s v="ORD00878"/>
        <s v="ORD00884"/>
        <s v="ORD00950"/>
        <s v="ORD00975"/>
        <s v="ORD00985"/>
        <s v="ORD00072"/>
        <s v="ORD00131"/>
        <s v="ORD00195"/>
        <s v="ORD00223"/>
        <s v="ORD00229"/>
        <s v="ORD00235"/>
        <s v="ORD00252"/>
        <s v="ORD00302"/>
        <s v="ORD00306"/>
        <s v="ORD00317"/>
        <s v="ORD00322"/>
        <s v="ORD00562"/>
        <s v="ORD00588"/>
        <s v="ORD00627"/>
        <s v="ORD00652"/>
        <s v="ORD00670"/>
        <s v="ORD00671"/>
        <s v="ORD00768"/>
        <s v="ORD00775"/>
        <s v="ORD00803"/>
        <s v="ORD00807"/>
        <s v="ORD00876"/>
        <s v="ORD00883"/>
        <s v="ORD00933"/>
        <s v="ORD00968"/>
        <s v="ORD00979"/>
        <s v="ORD00006"/>
        <s v="ORD00057"/>
        <s v="ORD00119"/>
        <s v="ORD00224"/>
        <s v="ORD00242"/>
        <s v="ORD00313"/>
        <s v="ORD00376"/>
        <s v="ORD00514"/>
        <s v="ORD00549"/>
        <s v="ORD00618"/>
        <s v="ORD00703"/>
        <s v="ORD00741"/>
        <s v="ORD00755"/>
        <s v="ORD00812"/>
        <s v="ORD00835"/>
        <s v="ORD00907"/>
        <s v="ORD00909"/>
        <s v="ORD00015"/>
        <s v="ORD00016"/>
        <s v="ORD00023"/>
        <s v="ORD00109"/>
        <s v="ORD00160"/>
        <s v="ORD00200"/>
        <s v="ORD00304"/>
        <s v="ORD00395"/>
        <s v="ORD00422"/>
        <s v="ORD00467"/>
        <s v="ORD00501"/>
        <s v="ORD00517"/>
        <s v="ORD00593"/>
        <s v="ORD00633"/>
        <s v="ORD00635"/>
        <s v="ORD00683"/>
        <s v="ORD00758"/>
        <s v="ORD00763"/>
        <s v="ORD00788"/>
        <s v="ORD00792"/>
        <s v="ORD00795"/>
        <s v="ORD00817"/>
        <s v="ORD00863"/>
        <s v="ORD00897"/>
        <s v="ORD00951"/>
        <s v="ORD01000"/>
        <s v="ORD00121"/>
        <s v="ORD00140"/>
        <s v="ORD00161"/>
        <s v="ORD00164"/>
        <s v="ORD00189"/>
        <s v="ORD00202"/>
        <s v="ORD00267"/>
        <s v="ORD00275"/>
        <s v="ORD00296"/>
        <s v="ORD00314"/>
        <s v="ORD00349"/>
        <s v="ORD00352"/>
        <s v="ORD00360"/>
        <s v="ORD00415"/>
        <s v="ORD00441"/>
        <s v="ORD00560"/>
        <s v="ORD00563"/>
        <s v="ORD00565"/>
        <s v="ORD00613"/>
        <s v="ORD00656"/>
        <s v="ORD00696"/>
        <s v="ORD00710"/>
        <s v="ORD00810"/>
        <s v="ORD00855"/>
        <s v="ORD00931"/>
        <s v="ORD00966"/>
        <s v="ORD00981"/>
        <s v="ORD00036"/>
        <s v="ORD00095"/>
        <s v="ORD00125"/>
        <s v="ORD00142"/>
        <s v="ORD00212"/>
        <s v="ORD00218"/>
        <s v="ORD00247"/>
        <s v="ORD00256"/>
        <s v="ORD00327"/>
        <s v="ORD00356"/>
        <s v="ORD00375"/>
        <s v="ORD00383"/>
        <s v="ORD00423"/>
        <s v="ORD00498"/>
        <s v="ORD00530"/>
        <s v="ORD00626"/>
        <s v="ORD00681"/>
        <s v="ORD00798"/>
        <s v="ORD00809"/>
        <s v="ORD00811"/>
        <s v="ORD00895"/>
        <s v="ORD00947"/>
        <s v="ORD00012"/>
        <s v="ORD00053"/>
        <s v="ORD00084"/>
        <s v="ORD00120"/>
        <s v="ORD00182"/>
        <s v="ORD00196"/>
        <s v="ORD00309"/>
        <s v="ORD00418"/>
        <s v="ORD00427"/>
        <s v="ORD00598"/>
        <s v="ORD00751"/>
        <s v="ORD00785"/>
        <s v="ORD00846"/>
        <s v="ORD00849"/>
        <s v="ORD00857"/>
        <s v="ORD00976"/>
        <s v="ORD00977"/>
        <s v="ORD00013"/>
        <s v="ORD00070"/>
        <s v="ORD00207"/>
        <s v="ORD00234"/>
        <s v="ORD00263"/>
        <s v="ORD00264"/>
        <s v="ORD00305"/>
        <s v="ORD00345"/>
        <s v="ORD00392"/>
        <s v="ORD00448"/>
        <s v="ORD00460"/>
        <s v="ORD00508"/>
        <s v="ORD00583"/>
        <s v="ORD00615"/>
        <s v="ORD00676"/>
        <s v="ORD00712"/>
        <s v="ORD00794"/>
        <s v="ORD00870"/>
        <s v="ORD00896"/>
        <s v="ORD00932"/>
        <s v="ORD00934"/>
        <s v="ORD00944"/>
        <s v="ORD00959"/>
        <s v="ORD00980"/>
        <s v="ORD00989"/>
        <s v="ORD00025"/>
        <s v="ORD00032"/>
        <s v="ORD00037"/>
        <s v="ORD00044"/>
        <s v="ORD00065"/>
        <s v="ORD00108"/>
        <s v="ORD00123"/>
        <s v="ORD00198"/>
        <s v="ORD00254"/>
        <s v="ORD00259"/>
        <s v="ORD00260"/>
        <s v="ORD00298"/>
        <s v="ORD00324"/>
        <s v="ORD00340"/>
        <s v="ORD00343"/>
        <s v="ORD00381"/>
        <s v="ORD00388"/>
        <s v="ORD00391"/>
        <s v="ORD00408"/>
        <s v="ORD00556"/>
        <s v="ORD00559"/>
        <s v="ORD00571"/>
        <s v="ORD00584"/>
        <s v="ORD00619"/>
        <s v="ORD00623"/>
        <s v="ORD00657"/>
        <s v="ORD00685"/>
        <s v="ORD00725"/>
        <s v="ORD00791"/>
        <s v="ORD00805"/>
        <s v="ORD00861"/>
        <s v="ORD00901"/>
        <s v="ORD00914"/>
        <s v="ORD00961"/>
        <s v="ORD00075"/>
        <s v="ORD00152"/>
        <s v="ORD00222"/>
        <s v="ORD00384"/>
        <s v="ORD00400"/>
        <s v="ORD00461"/>
        <s v="ORD00581"/>
        <s v="ORD00672"/>
        <s v="ORD00674"/>
        <s v="ORD00704"/>
        <s v="ORD00752"/>
        <s v="ORD00829"/>
        <s v="ORD00875"/>
        <s v="ORD00899"/>
      </sharedItems>
    </cacheField>
    <cacheField name="Product Name" numFmtId="0">
      <sharedItems count="25">
        <s v="SHAMPOO"/>
        <s v="BEDSHEET"/>
        <s v="COMIC BOOK"/>
        <s v="LIPSTICK"/>
        <s v="SMARTPHONE"/>
        <s v="SOFA COVER"/>
        <s v="HAIR DRYER"/>
        <s v="FICTION NOVEL"/>
        <s v="PERFUME"/>
        <s v="EDUCATIONAL BOOK"/>
        <s v="HEADPHONES"/>
        <s v="COOKBOOK"/>
        <s v="TABLE LAMP"/>
        <s v="COOKWARE SET"/>
        <s v="SMARTWATCH"/>
        <s v="T-SHIRT"/>
        <s v="FACE CREAM"/>
        <s v="JEANS"/>
        <s v="LAPTOP"/>
        <s v="SELF-HELP BOOK"/>
        <s v="MIXER GRINDER"/>
        <s v="JACKET"/>
        <s v="TABLET"/>
        <s v="SNEAKERS"/>
        <s v="DRESS"/>
      </sharedItems>
    </cacheField>
    <cacheField name="Category" numFmtId="0">
      <sharedItems count="5">
        <s v="BEAUTY"/>
        <s v="HOME &amp; KITCHEN"/>
        <s v="BOOKS"/>
        <s v="ELECTRONICS"/>
        <s v="CLOTHING"/>
      </sharedItems>
    </cacheField>
    <cacheField name="Price (INR)" numFmtId="0">
      <sharedItems containsSemiMixedTypes="0" containsString="0" containsNumber="1" minValue="139.85" maxValue="49911.75" count="1000">
        <n v="15486.41"/>
        <n v="7322.87"/>
        <n v="12798.83"/>
        <n v="22703.03"/>
        <n v="28995.81"/>
        <n v="29326.6"/>
        <n v="49142.57"/>
        <n v="13011.44"/>
        <n v="11183.75"/>
        <n v="40461.79"/>
        <n v="23562.27"/>
        <n v="45012.71"/>
        <n v="20075.810000000001"/>
        <n v="18451.91"/>
        <n v="48405.89"/>
        <n v="20859.61"/>
        <n v="8436.7099999999991"/>
        <n v="46792.3"/>
        <n v="41619.15"/>
        <n v="14084.61"/>
        <n v="14622.12"/>
        <n v="27396.01"/>
        <n v="4080.78"/>
        <n v="16174.96"/>
        <n v="31265.89"/>
        <n v="32863.879999999997"/>
        <n v="879.25"/>
        <n v="9189.91"/>
        <n v="45387.99"/>
        <n v="43522.080000000002"/>
        <n v="25668.959999999999"/>
        <n v="31059.47"/>
        <n v="2258.27"/>
        <n v="41122.81"/>
        <n v="756.85"/>
        <n v="24012.7"/>
        <n v="31793.09"/>
        <n v="28606.86"/>
        <n v="218.58"/>
        <n v="30122.28"/>
        <n v="23005.86"/>
        <n v="30657.64"/>
        <n v="5975.89"/>
        <n v="25288.2"/>
        <n v="7682.98"/>
        <n v="24151.49"/>
        <n v="7761.67"/>
        <n v="37341.949999999997"/>
        <n v="39842.15"/>
        <n v="34844.54"/>
        <n v="29592.5"/>
        <n v="23621.02"/>
        <n v="35033.120000000003"/>
        <n v="29882.47"/>
        <n v="18426.900000000001"/>
        <n v="32630.83"/>
        <n v="3955.86"/>
        <n v="45019"/>
        <n v="17162.64"/>
        <n v="45112.24"/>
        <n v="22226.76"/>
        <n v="12124.19"/>
        <n v="10385.24"/>
        <n v="13420.4"/>
        <n v="1011.22"/>
        <n v="28727.4"/>
        <n v="42407.519999999997"/>
        <n v="34023.96"/>
        <n v="3979.4"/>
        <n v="3848.54"/>
        <n v="42533.26"/>
        <n v="16448.740000000002"/>
        <n v="4934.99"/>
        <n v="13608.58"/>
        <n v="41405.370000000003"/>
        <n v="36114.379999999997"/>
        <n v="4990.66"/>
        <n v="19134.259999999998"/>
        <n v="14014.82"/>
        <n v="908.47"/>
        <n v="42794.400000000001"/>
        <n v="35592.76"/>
        <n v="36429.57"/>
        <n v="29775.43"/>
        <n v="5739.3"/>
        <n v="25404.68"/>
        <n v="16580.240000000002"/>
        <n v="7673.62"/>
        <n v="31430.94"/>
        <n v="21670.52"/>
        <n v="34460.43"/>
        <n v="9045.23"/>
        <n v="17253.669999999998"/>
        <n v="47529.36"/>
        <n v="1391.49"/>
        <n v="16468.59"/>
        <n v="22747.82"/>
        <n v="18905.939999999999"/>
        <n v="5127.0200000000004"/>
        <n v="27827.66"/>
        <n v="25035.46"/>
        <n v="43711.45"/>
        <n v="14971.45"/>
        <n v="12245.12"/>
        <n v="8863.9699999999993"/>
        <n v="49052.43"/>
        <n v="32078.48"/>
        <n v="19218.55"/>
        <n v="567.80999999999995"/>
        <n v="6705.43"/>
        <n v="21417.72"/>
        <n v="19376.32"/>
        <n v="22430.51"/>
        <n v="25282.52"/>
        <n v="41000.910000000003"/>
        <n v="35506.5"/>
        <n v="49835.85"/>
        <n v="27507.360000000001"/>
        <n v="11092.19"/>
        <n v="32565.77"/>
        <n v="34293.379999999997"/>
        <n v="42715.55"/>
        <n v="24500.05"/>
        <n v="32283.58"/>
        <n v="33021.1"/>
        <n v="42881.03"/>
        <n v="37578.46"/>
        <n v="11518.23"/>
        <n v="46388.81"/>
        <n v="15826.47"/>
        <n v="46032.160000000003"/>
        <n v="39842.5"/>
        <n v="34361.96"/>
        <n v="15648.85"/>
        <n v="29310.76"/>
        <n v="30156.36"/>
        <n v="4986.8999999999996"/>
        <n v="43431.64"/>
        <n v="37082.11"/>
        <n v="492.53"/>
        <n v="6341.62"/>
        <n v="3153.16"/>
        <n v="28379.75"/>
        <n v="14359.73"/>
        <n v="34821.93"/>
        <n v="44918.35"/>
        <n v="18461.509999999998"/>
        <n v="7465.89"/>
        <n v="35879.79"/>
        <n v="42170.48"/>
        <n v="37129.730000000003"/>
        <n v="22555.21"/>
        <n v="2273.0100000000002"/>
        <n v="10059.450000000001"/>
        <n v="4820.8"/>
        <n v="32016.11"/>
        <n v="33250.699999999997"/>
        <n v="1483.5"/>
        <n v="16790.46"/>
        <n v="49586.31"/>
        <n v="8644.99"/>
        <n v="27847.81"/>
        <n v="19055.03"/>
        <n v="26806.06"/>
        <n v="8867.7199999999993"/>
        <n v="18799.05"/>
        <n v="25457.34"/>
        <n v="15881.67"/>
        <n v="25634.9"/>
        <n v="36454.629999999997"/>
        <n v="28261.1"/>
        <n v="18179.43"/>
        <n v="18602.849999999999"/>
        <n v="4084.62"/>
        <n v="26281.98"/>
        <n v="2980.08"/>
        <n v="33698.339999999997"/>
        <n v="42814.17"/>
        <n v="48944.01"/>
        <n v="21990.25"/>
        <n v="3710.07"/>
        <n v="43002.68"/>
        <n v="40384.620000000003"/>
        <n v="4827.49"/>
        <n v="43502.85"/>
        <n v="33643.5"/>
        <n v="8182.19"/>
        <n v="29493.06"/>
        <n v="5528.69"/>
        <n v="18757.07"/>
        <n v="45127.31"/>
        <n v="18093.34"/>
        <n v="776.91"/>
        <n v="13348.84"/>
        <n v="9534.89"/>
        <n v="48670.07"/>
        <n v="19008.810000000001"/>
        <n v="43852.34"/>
        <n v="9427.83"/>
        <n v="40753.519999999997"/>
        <n v="12097.46"/>
        <n v="47608.93"/>
        <n v="16390.439999999999"/>
        <n v="28630.92"/>
        <n v="10766.58"/>
        <n v="17795.7"/>
        <n v="16158.74"/>
        <n v="15387.4"/>
        <n v="32712.91"/>
        <n v="46055.88"/>
        <n v="46224.88"/>
        <n v="39176.54"/>
        <n v="24619.84"/>
        <n v="19386.27"/>
        <n v="32264.17"/>
        <n v="47002.720000000001"/>
        <n v="39372.11"/>
        <n v="4248.25"/>
        <n v="22968.18"/>
        <n v="43043.82"/>
        <n v="464.18"/>
        <n v="23293.14"/>
        <n v="35325.379999999997"/>
        <n v="25233.95"/>
        <n v="26947.54"/>
        <n v="18085.73"/>
        <n v="29509.14"/>
        <n v="35911.22"/>
        <n v="30252.89"/>
        <n v="23584.89"/>
        <n v="29885.360000000001"/>
        <n v="20686.939999999999"/>
        <n v="49409.89"/>
        <n v="22835.78"/>
        <n v="42307.18"/>
        <n v="49796.61"/>
        <n v="16003.38"/>
        <n v="48073.8"/>
        <n v="26876.51"/>
        <n v="4398.59"/>
        <n v="37004.54"/>
        <n v="27961.78"/>
        <n v="21317.31"/>
        <n v="30238.47"/>
        <n v="32788.199999999997"/>
        <n v="27309.73"/>
        <n v="15344.02"/>
        <n v="43444.93"/>
        <n v="37295.08"/>
        <n v="41333.21"/>
        <n v="704.55"/>
        <n v="38629"/>
        <n v="38160.980000000003"/>
        <n v="3995.44"/>
        <n v="38728.75"/>
        <n v="31005.06"/>
        <n v="6322.42"/>
        <n v="16803.759999999998"/>
        <n v="31737.13"/>
        <n v="15764.25"/>
        <n v="18338.759999999998"/>
        <n v="43118.19"/>
        <n v="48130.6"/>
        <n v="22709.95"/>
        <n v="847.39"/>
        <n v="4729.04"/>
        <n v="47427.3"/>
        <n v="38005.050000000003"/>
        <n v="19845.72"/>
        <n v="47899.72"/>
        <n v="46101.14"/>
        <n v="34969.69"/>
        <n v="12755.85"/>
        <n v="14505.79"/>
        <n v="19180.77"/>
        <n v="30826.720000000001"/>
        <n v="19787.61"/>
        <n v="22712.18"/>
        <n v="39699.85"/>
        <n v="13915.5"/>
        <n v="27175.37"/>
        <n v="5463.13"/>
        <n v="40248.269999999997"/>
        <n v="45866.22"/>
        <n v="1134.78"/>
        <n v="29844.59"/>
        <n v="40238.5"/>
        <n v="9335.19"/>
        <n v="38964.36"/>
        <n v="21992.38"/>
        <n v="7728.33"/>
        <n v="17539.189999999999"/>
        <n v="38968.519999999997"/>
        <n v="8571.5499999999993"/>
        <n v="27120.36"/>
        <n v="42981.08"/>
        <n v="39263.94"/>
        <n v="1104.25"/>
        <n v="24032.880000000001"/>
        <n v="30171.74"/>
        <n v="45045.03"/>
        <n v="32749.9"/>
        <n v="33683.4"/>
        <n v="7633.85"/>
        <n v="22335.58"/>
        <n v="8448.77"/>
        <n v="23433.86"/>
        <n v="14273.74"/>
        <n v="27434.25"/>
        <n v="2013.64"/>
        <n v="4617.2"/>
        <n v="20435.34"/>
        <n v="27306.31"/>
        <n v="18385.32"/>
        <n v="22254.17"/>
        <n v="25186.79"/>
        <n v="4160.5200000000004"/>
        <n v="40379.730000000003"/>
        <n v="18097.79"/>
        <n v="1039.1099999999999"/>
        <n v="30564.98"/>
        <n v="10826.05"/>
        <n v="49097.01"/>
        <n v="3677.4"/>
        <n v="2655.8"/>
        <n v="28758.42"/>
        <n v="14286.02"/>
        <n v="42987.64"/>
        <n v="29093.02"/>
        <n v="46079.49"/>
        <n v="26166.89"/>
        <n v="33543.19"/>
        <n v="32460.13"/>
        <n v="10736.32"/>
        <n v="26527.78"/>
        <n v="37170.400000000001"/>
        <n v="25935.66"/>
        <n v="17009.73"/>
        <n v="10241.780000000001"/>
        <n v="6114.55"/>
        <n v="4042.56"/>
        <n v="28678.880000000001"/>
        <n v="31978.03"/>
        <n v="29604.77"/>
        <n v="19927.72"/>
        <n v="23125.33"/>
        <n v="35763.480000000003"/>
        <n v="25511.46"/>
        <n v="47651.19"/>
        <n v="29745"/>
        <n v="18830.59"/>
        <n v="19498.32"/>
        <n v="26615.97"/>
        <n v="32824.050000000003"/>
        <n v="7771.58"/>
        <n v="27400.84"/>
        <n v="6037.98"/>
        <n v="40486.080000000002"/>
        <n v="4316.82"/>
        <n v="6842.69"/>
        <n v="45532.34"/>
        <n v="25114.77"/>
        <n v="20202.560000000001"/>
        <n v="8080.22"/>
        <n v="34866.42"/>
        <n v="13763.17"/>
        <n v="11448.28"/>
        <n v="14636.55"/>
        <n v="41926.03"/>
        <n v="43606.83"/>
        <n v="13559.39"/>
        <n v="11540.73"/>
        <n v="5535.76"/>
        <n v="15240.16"/>
        <n v="29781.11"/>
        <n v="5712.21"/>
        <n v="49069.56"/>
        <n v="49355.45"/>
        <n v="965.51"/>
        <n v="33613.18"/>
        <n v="21741.53"/>
        <n v="39749.19"/>
        <n v="37203.65"/>
        <n v="46858.63"/>
        <n v="22475.94"/>
        <n v="25614.35"/>
        <n v="14506.11"/>
        <n v="44770.65"/>
        <n v="25379.68"/>
        <n v="49561.57"/>
        <n v="26096.959999999999"/>
        <n v="47564.29"/>
        <n v="904.29"/>
        <n v="30310.92"/>
        <n v="33071.089999999997"/>
        <n v="10422.280000000001"/>
        <n v="12197.36"/>
        <n v="16017.54"/>
        <n v="21881.01"/>
        <n v="6002.25"/>
        <n v="6022.31"/>
        <n v="13885.05"/>
        <n v="3394.38"/>
        <n v="24680.19"/>
        <n v="17212.34"/>
        <n v="40986.82"/>
        <n v="540.63"/>
        <n v="29715.31"/>
        <n v="27369.17"/>
        <n v="659.73"/>
        <n v="1434.23"/>
        <n v="2053.11"/>
        <n v="2158.12"/>
        <n v="38937.919999999998"/>
        <n v="46338.29"/>
        <n v="20613.14"/>
        <n v="3432"/>
        <n v="32537.46"/>
        <n v="5413.09"/>
        <n v="42189.9"/>
        <n v="14797.27"/>
        <n v="4581.7299999999996"/>
        <n v="30721.51"/>
        <n v="462"/>
        <n v="31162.39"/>
        <n v="12422.09"/>
        <n v="25161.91"/>
        <n v="43719.71"/>
        <n v="21472.14"/>
        <n v="33472.93"/>
        <n v="23898.58"/>
        <n v="46011.839999999997"/>
        <n v="4360.05"/>
        <n v="35286.97"/>
        <n v="33659.67"/>
        <n v="1987.98"/>
        <n v="30977.18"/>
        <n v="46090.65"/>
        <n v="42975.360000000001"/>
        <n v="12757.67"/>
        <n v="19380.5"/>
        <n v="6963.56"/>
        <n v="26220.67"/>
        <n v="29418.33"/>
        <n v="19846.64"/>
        <n v="18574.12"/>
        <n v="11142.38"/>
        <n v="26403.73"/>
        <n v="47363.199999999997"/>
        <n v="26550.66"/>
        <n v="13640.1"/>
        <n v="32657.81"/>
        <n v="36980.1"/>
        <n v="2097.9899999999998"/>
        <n v="12771.91"/>
        <n v="37684.28"/>
        <n v="38592.49"/>
        <n v="19879.400000000001"/>
        <n v="27481.15"/>
        <n v="12046.9"/>
        <n v="24973.13"/>
        <n v="42946.11"/>
        <n v="48128.02"/>
        <n v="5369.5"/>
        <n v="22564.13"/>
        <n v="23320.94"/>
        <n v="36918.199999999997"/>
        <n v="35777.51"/>
        <n v="30519.71"/>
        <n v="999.54"/>
        <n v="16938.75"/>
        <n v="2415.3200000000002"/>
        <n v="11134.83"/>
        <n v="41402.76"/>
        <n v="34741.79"/>
        <n v="26590.080000000002"/>
        <n v="38144.67"/>
        <n v="31627"/>
        <n v="32348.92"/>
        <n v="14043.16"/>
        <n v="8383.86"/>
        <n v="45182.27"/>
        <n v="8563.14"/>
        <n v="43118.73"/>
        <n v="24172.560000000001"/>
        <n v="44248.09"/>
        <n v="23089.32"/>
        <n v="31749.94"/>
        <n v="29974.35"/>
        <n v="47288.95"/>
        <n v="20194.2"/>
        <n v="2370.61"/>
        <n v="9772.82"/>
        <n v="30435.75"/>
        <n v="49911.75"/>
        <n v="24335.78"/>
        <n v="45792.57"/>
        <n v="7936.7"/>
        <n v="47480.71"/>
        <n v="35922.639999999999"/>
        <n v="10435.030000000001"/>
        <n v="40840.800000000003"/>
        <n v="26379.35"/>
        <n v="38093.14"/>
        <n v="43488.42"/>
        <n v="12083.96"/>
        <n v="30911.439999999999"/>
        <n v="14517.08"/>
        <n v="41198.839999999997"/>
        <n v="47053.440000000002"/>
        <n v="8197.4699999999993"/>
        <n v="37135.360000000001"/>
        <n v="45544.54"/>
        <n v="7631.48"/>
        <n v="1549.63"/>
        <n v="30009.200000000001"/>
        <n v="31277.18"/>
        <n v="48580.6"/>
        <n v="47047.23"/>
        <n v="36115.480000000003"/>
        <n v="18862.009999999998"/>
        <n v="24384.05"/>
        <n v="36950.980000000003"/>
        <n v="11461.72"/>
        <n v="42604.95"/>
        <n v="5361.18"/>
        <n v="34069.64"/>
        <n v="43840.04"/>
        <n v="31486.57"/>
        <n v="47055.28"/>
        <n v="22890.95"/>
        <n v="39355.589999999997"/>
        <n v="1927.38"/>
        <n v="34255.39"/>
        <n v="6953.88"/>
        <n v="25629.88"/>
        <n v="35373.5"/>
        <n v="36083.22"/>
        <n v="12249.35"/>
        <n v="48151.09"/>
        <n v="15466.4"/>
        <n v="14102.56"/>
        <n v="20353.400000000001"/>
        <n v="37303.26"/>
        <n v="29847.4"/>
        <n v="46770.01"/>
        <n v="1582.84"/>
        <n v="40944.769999999997"/>
        <n v="47111.56"/>
        <n v="19961.03"/>
        <n v="13596.18"/>
        <n v="34830.28"/>
        <n v="17800.740000000002"/>
        <n v="32626.32"/>
        <n v="46891.65"/>
        <n v="14064.35"/>
        <n v="35139.53"/>
        <n v="8058.4"/>
        <n v="30706.15"/>
        <n v="29678.85"/>
        <n v="32505.96"/>
        <n v="31850.15"/>
        <n v="13019.07"/>
        <n v="27204.69"/>
        <n v="17066.16"/>
        <n v="1626.1"/>
        <n v="11864.67"/>
        <n v="45426.39"/>
        <n v="16523.689999999999"/>
        <n v="40295.47"/>
        <n v="32122.43"/>
        <n v="10320.870000000001"/>
        <n v="12779.59"/>
        <n v="5299.58"/>
        <n v="42210.82"/>
        <n v="4226.03"/>
        <n v="4442.1000000000004"/>
        <n v="11216.38"/>
        <n v="15229.67"/>
        <n v="17104.91"/>
        <n v="5293.87"/>
        <n v="32580"/>
        <n v="28169.11"/>
        <n v="29222.92"/>
        <n v="28577.34"/>
        <n v="20087.650000000001"/>
        <n v="46205.47"/>
        <n v="12964.52"/>
        <n v="28156.95"/>
        <n v="14488.22"/>
        <n v="31094.13"/>
        <n v="39478.69"/>
        <n v="48842.53"/>
        <n v="24227.24"/>
        <n v="33404.120000000003"/>
        <n v="37195.730000000003"/>
        <n v="16179.61"/>
        <n v="20095.189999999999"/>
        <n v="13998.81"/>
        <n v="34870.120000000003"/>
        <n v="41169.65"/>
        <n v="32369.52"/>
        <n v="33745.33"/>
        <n v="15543.65"/>
        <n v="22923.93"/>
        <n v="27920.2"/>
        <n v="1987.39"/>
        <n v="12087.35"/>
        <n v="2735.32"/>
        <n v="17353.47"/>
        <n v="11236.19"/>
        <n v="43304.55"/>
        <n v="41742.29"/>
        <n v="44334.11"/>
        <n v="33927.57"/>
        <n v="18551.650000000001"/>
        <n v="45072.69"/>
        <n v="41248.019999999997"/>
        <n v="16289.17"/>
        <n v="6566.03"/>
        <n v="43217.1"/>
        <n v="31137.03"/>
        <n v="27860.799999999999"/>
        <n v="22315.58"/>
        <n v="6494.62"/>
        <n v="44061.25"/>
        <n v="38927.620000000003"/>
        <n v="4225.6899999999996"/>
        <n v="25752.65"/>
        <n v="8877.51"/>
        <n v="49687.49"/>
        <n v="34879.4"/>
        <n v="1507.01"/>
        <n v="5258.29"/>
        <n v="36645.35"/>
        <n v="27749.19"/>
        <n v="36560.32"/>
        <n v="28391.65"/>
        <n v="9761.64"/>
        <n v="19661.09"/>
        <n v="49861.17"/>
        <n v="8734.44"/>
        <n v="8005.02"/>
        <n v="30878.47"/>
        <n v="46933.96"/>
        <n v="23806.639999999999"/>
        <n v="25115.71"/>
        <n v="13879"/>
        <n v="9213.5499999999993"/>
        <n v="32664.01"/>
        <n v="31922.03"/>
        <n v="35948.160000000003"/>
        <n v="11479.89"/>
        <n v="24818.59"/>
        <n v="33443.32"/>
        <n v="18607.689999999999"/>
        <n v="34161.440000000002"/>
        <n v="40069.300000000003"/>
        <n v="48157.93"/>
        <n v="28688.25"/>
        <n v="32590.46"/>
        <n v="4524.63"/>
        <n v="11914.15"/>
        <n v="39931.75"/>
        <n v="20760.439999999999"/>
        <n v="37890.559999999998"/>
        <n v="8902.26"/>
        <n v="45801.19"/>
        <n v="34358.78"/>
        <n v="34446.42"/>
        <n v="2519.1799999999998"/>
        <n v="25059.360000000001"/>
        <n v="46315.8"/>
        <n v="47284.54"/>
        <n v="32799.51"/>
        <n v="46409.57"/>
        <n v="20817.46"/>
        <n v="28978.47"/>
        <n v="11187.38"/>
        <n v="11289.42"/>
        <n v="28246.25"/>
        <n v="49088.13"/>
        <n v="24818.77"/>
        <n v="26615.919999999998"/>
        <n v="7043.51"/>
        <n v="5500.92"/>
        <n v="2435.9699999999998"/>
        <n v="18161.009999999998"/>
        <n v="16038"/>
        <n v="47795.34"/>
        <n v="47666.18"/>
        <n v="41671.06"/>
        <n v="14290.07"/>
        <n v="14359.56"/>
        <n v="2926.8"/>
        <n v="46553.58"/>
        <n v="21293.42"/>
        <n v="7757.2"/>
        <n v="35305.39"/>
        <n v="5804.38"/>
        <n v="25542.71"/>
        <n v="39008.370000000003"/>
        <n v="4800.26"/>
        <n v="18747.939999999999"/>
        <n v="23249.27"/>
        <n v="2136.9899999999998"/>
        <n v="27532.48"/>
        <n v="46526.93"/>
        <n v="32950.949999999997"/>
        <n v="17308.52"/>
        <n v="5815.52"/>
        <n v="19375.759999999998"/>
        <n v="26219.99"/>
        <n v="16596.580000000002"/>
        <n v="12214.72"/>
        <n v="10176.11"/>
        <n v="4277.1499999999996"/>
        <n v="36666.620000000003"/>
        <n v="35821.160000000003"/>
        <n v="38023.86"/>
        <n v="15282.31"/>
        <n v="6767.81"/>
        <n v="28972.11"/>
        <n v="31512.97"/>
        <n v="41996.61"/>
        <n v="3632.93"/>
        <n v="15481.49"/>
        <n v="787.27"/>
        <n v="23939.919999999998"/>
        <n v="5412.9"/>
        <n v="6075.65"/>
        <n v="38647.72"/>
        <n v="38476.480000000003"/>
        <n v="23715.42"/>
        <n v="26575.86"/>
        <n v="42409.26"/>
        <n v="5880.45"/>
        <n v="35629.550000000003"/>
        <n v="31759.49"/>
        <n v="1517.63"/>
        <n v="23625.05"/>
        <n v="2470.8200000000002"/>
        <n v="23287.93"/>
        <n v="35304.99"/>
        <n v="708.78"/>
        <n v="16951.57"/>
        <n v="38681.26"/>
        <n v="7283.96"/>
        <n v="26058.55"/>
        <n v="45888.54"/>
        <n v="8091.3"/>
        <n v="35524.559999999998"/>
        <n v="1435.38"/>
        <n v="18789.810000000001"/>
        <n v="19669.48"/>
        <n v="139.85"/>
        <n v="6685.9"/>
        <n v="2258.89"/>
        <n v="7355.5"/>
        <n v="1320.32"/>
        <n v="36583.040000000001"/>
        <n v="36615.730000000003"/>
        <n v="21690.55"/>
        <n v="35811.1"/>
        <n v="18309.060000000001"/>
        <n v="40233.279999999999"/>
        <n v="10086.76"/>
        <n v="26667.15"/>
        <n v="6015.13"/>
        <n v="7145.81"/>
        <n v="14851.66"/>
        <n v="40031.86"/>
        <n v="4869.5600000000004"/>
        <n v="38689.699999999997"/>
        <n v="12472.17"/>
        <n v="32422.04"/>
        <n v="3126.9"/>
        <n v="7289.72"/>
        <n v="43149.24"/>
        <n v="21064.01"/>
        <n v="48620.13"/>
        <n v="12930.46"/>
        <n v="19693.93"/>
        <n v="12944.89"/>
        <n v="20754.919999999998"/>
        <n v="36930.76"/>
        <n v="21112.13"/>
        <n v="13061.91"/>
        <n v="17194.75"/>
        <n v="8234.32"/>
        <n v="43163.16"/>
        <n v="40905.69"/>
        <n v="9083.5"/>
        <n v="30374.400000000001"/>
        <n v="37494.129999999997"/>
        <n v="27627.84"/>
        <n v="34621.21"/>
        <n v="42981.89"/>
        <n v="37590.44"/>
        <n v="48234.31"/>
        <n v="42516.65"/>
        <n v="11527.7"/>
        <n v="39898.86"/>
        <n v="37503.57"/>
        <n v="47535.79"/>
        <n v="27897.4"/>
        <n v="2536.16"/>
        <n v="36096.74"/>
        <n v="19275.66"/>
        <n v="17915.599999999999"/>
        <n v="20020.830000000002"/>
        <n v="34137.79"/>
        <n v="41285.25"/>
        <n v="1416.84"/>
        <n v="8465.2800000000007"/>
        <n v="28534.99"/>
        <n v="20766.47"/>
        <n v="10818.91"/>
        <n v="10475.030000000001"/>
        <n v="18075.189999999999"/>
        <n v="30903.49"/>
        <n v="31333.95"/>
        <n v="42785.51"/>
        <n v="48177.16"/>
        <n v="48710.25"/>
        <n v="21233.35"/>
        <n v="46990.87"/>
        <n v="30468.47"/>
        <n v="13372.74"/>
        <n v="19549.439999999999"/>
        <n v="37355.589999999997"/>
        <n v="17213.3"/>
        <n v="31727.37"/>
        <n v="30100.73"/>
        <n v="18657.990000000002"/>
        <n v="6839.1"/>
        <n v="18197.89"/>
        <n v="48258.19"/>
        <n v="11785.4"/>
        <n v="15357.36"/>
        <n v="18304.18"/>
        <n v="16385.37"/>
        <n v="34369.57"/>
        <n v="6859"/>
        <n v="16010.24"/>
        <n v="13862.56"/>
        <n v="10818.28"/>
        <n v="22475.54"/>
        <n v="24537.79"/>
        <n v="14103.34"/>
        <n v="14865.47"/>
        <n v="7649.41"/>
        <n v="45910.23"/>
        <n v="13371.25"/>
        <n v="19117.36"/>
        <n v="5238.33"/>
        <n v="37528.53"/>
        <n v="43298.080000000002"/>
        <n v="30650.46"/>
        <n v="959.63"/>
        <n v="16698.12"/>
        <n v="30593.67"/>
        <n v="48175.48"/>
        <n v="10565.57"/>
        <n v="23369.23"/>
        <n v="23638.720000000001"/>
        <n v="2275.09"/>
        <n v="6943.4"/>
        <n v="47384.51"/>
        <n v="11044.89"/>
        <n v="6119.31"/>
        <n v="40679.29"/>
        <n v="13954.48"/>
        <n v="7936.32"/>
        <n v="7532.86"/>
        <n v="16929.740000000002"/>
        <n v="7994.76"/>
        <n v="36760.35"/>
        <n v="17983.34"/>
        <n v="27582.01"/>
        <n v="33027.629999999997"/>
        <n v="6421.63"/>
        <n v="6115.91"/>
        <n v="26700.19"/>
        <n v="9655.0300000000007"/>
        <n v="15950.41"/>
        <n v="14341.13"/>
        <n v="19010.38"/>
        <n v="12945.96"/>
        <n v="12506.31"/>
        <n v="44412.88"/>
        <n v="48346.41"/>
        <n v="34459.99"/>
        <n v="44241.68"/>
        <n v="16272.38"/>
        <n v="15068.72"/>
        <n v="18386.259999999998"/>
        <n v="34116.230000000003"/>
        <n v="11507.22"/>
        <n v="40862.870000000003"/>
        <n v="28818.74"/>
        <n v="6884.74"/>
        <n v="22534.799999999999"/>
        <n v="8598.2199999999993"/>
        <n v="31332.42"/>
        <n v="41121.949999999997"/>
        <n v="45786.559999999998"/>
        <n v="27367.02"/>
        <n v="1002.29"/>
        <n v="22870.53"/>
        <n v="48780.78"/>
        <n v="11864.13"/>
        <n v="28892.73"/>
        <n v="37405.46"/>
        <n v="44882.2"/>
        <n v="5850.81"/>
        <n v="29568.18"/>
        <n v="29466.3"/>
        <n v="25144.48"/>
        <n v="22353.43"/>
        <n v="13557.11"/>
        <n v="15793.43"/>
        <n v="33814.720000000001"/>
        <n v="22868.39"/>
        <n v="3697.32"/>
        <n v="38545.29"/>
        <n v="8188.18"/>
        <n v="6670.82"/>
        <n v="2707.97"/>
        <n v="40298.9"/>
        <n v="35665.26"/>
        <n v="19915.59"/>
        <n v="18366.97"/>
        <n v="29527.22"/>
        <n v="37181.040000000001"/>
        <n v="36535.74"/>
        <n v="35810.629999999997"/>
        <n v="23520.5"/>
        <n v="20228.05"/>
        <n v="29635.8"/>
        <n v="24444.89"/>
        <n v="38571.81"/>
        <n v="40046.19"/>
        <n v="14796.32"/>
        <n v="37424.589999999997"/>
        <n v="26448.240000000002"/>
        <n v="791.45"/>
        <n v="13371.43"/>
        <n v="46563.35"/>
        <n v="35278.46"/>
        <n v="35506.410000000003"/>
        <n v="49569.3"/>
        <n v="4165.6400000000003"/>
        <n v="15046.01"/>
        <n v="34927.79"/>
        <n v="8598.58"/>
        <n v="11106.19"/>
        <n v="44639"/>
        <n v="12158.96"/>
        <n v="11103.44"/>
        <n v="18787.05"/>
        <n v="2923.95"/>
        <n v="7339.66"/>
        <n v="43965.67"/>
        <n v="30395.25"/>
        <n v="41841.57"/>
        <n v="26992.720000000001"/>
        <n v="24062.33"/>
        <n v="47819.23"/>
        <n v="11186.35"/>
        <n v="21705.78"/>
        <n v="38488.04"/>
        <n v="9946.27"/>
        <n v="33547.94"/>
        <n v="7892.27"/>
        <n v="7718.78"/>
        <n v="48287.49"/>
        <n v="44953.24"/>
        <n v="8970.27"/>
        <n v="30836.98"/>
        <n v="48742"/>
        <n v="7672.34"/>
        <n v="43300.52"/>
        <n v="3481.52"/>
        <n v="30805.88"/>
        <n v="31159.759999999998"/>
        <n v="1542.1"/>
        <n v="48940.95"/>
        <n v="22851.63"/>
        <n v="11399.26"/>
        <n v="25794.78"/>
        <n v="18729.61"/>
        <n v="16129.77"/>
        <n v="15387.59"/>
        <n v="28568.97"/>
        <n v="32472.59"/>
        <n v="13559.18"/>
        <n v="32760.67"/>
        <n v="49127.14"/>
        <n v="45516.21"/>
      </sharedItems>
    </cacheField>
    <cacheField name="Quantity Sold" numFmtId="0">
      <sharedItems containsSemiMixedTypes="0" containsString="0" containsNumber="1" containsInteger="1" minValue="1" maxValue="5" count="5">
        <n v="4"/>
        <n v="3"/>
        <n v="2"/>
        <n v="1"/>
        <n v="5"/>
      </sharedItems>
    </cacheField>
    <cacheField name="ANSWER 3" numFmtId="0">
      <sharedItems containsSemiMixedTypes="0" containsString="0" containsNumber="1" minValue="419.54999999999995" maxValue="243903.9"/>
    </cacheField>
    <cacheField name="Total Sales (INR)" numFmtId="0">
      <sharedItems containsSemiMixedTypes="0" containsString="0" containsNumber="1" minValue="419.55" maxValue="243903.9" count="1000">
        <n v="61945.64"/>
        <n v="21968.61"/>
        <n v="51195.32"/>
        <n v="45406.06"/>
        <n v="86987.43"/>
        <n v="87979.8"/>
        <n v="196570.28"/>
        <n v="26022.880000000001"/>
        <n v="11183.75"/>
        <n v="40461.79"/>
        <n v="47124.54"/>
        <n v="135038.13"/>
        <n v="20075.810000000001"/>
        <n v="92259.55"/>
        <n v="193623.56"/>
        <n v="83438.44"/>
        <n v="42183.55"/>
        <n v="46792.3"/>
        <n v="41619.15"/>
        <n v="42253.83"/>
        <n v="14622.12"/>
        <n v="27396.01"/>
        <n v="12242.34"/>
        <n v="80874.8"/>
        <n v="31265.89"/>
        <n v="131455.51999999999"/>
        <n v="3517"/>
        <n v="45949.55"/>
        <n v="136163.97"/>
        <n v="217610.4"/>
        <n v="77006.880000000005"/>
        <n v="93178.41"/>
        <n v="6774.81"/>
        <n v="82245.62"/>
        <n v="2270.5500000000002"/>
        <n v="24012.7"/>
        <n v="127172.36"/>
        <n v="143034.29999999999"/>
        <n v="1092.9000000000001"/>
        <n v="150611.4"/>
        <n v="23005.86"/>
        <n v="153288.20000000001"/>
        <n v="17927.669999999998"/>
        <n v="101152.8"/>
        <n v="30731.919999999998"/>
        <n v="24151.49"/>
        <n v="7761.67"/>
        <n v="74683.899999999994"/>
        <n v="199210.75"/>
        <n v="104533.62"/>
        <n v="147962.5"/>
        <n v="23621.02"/>
        <n v="140132.48000000001"/>
        <n v="149412.35"/>
        <n v="73707.600000000006"/>
        <n v="65261.66"/>
        <n v="19779.3"/>
        <n v="225095"/>
        <n v="51487.92"/>
        <n v="135336.72"/>
        <n v="111133.8"/>
        <n v="36372.57"/>
        <n v="20770.48"/>
        <n v="53681.599999999999"/>
        <n v="5056.1000000000004"/>
        <n v="86182.2"/>
        <n v="84815.039999999994"/>
        <n v="102071.88"/>
        <n v="3979.4"/>
        <n v="3848.54"/>
        <n v="170133.04"/>
        <n v="65794.960000000006"/>
        <n v="14804.97"/>
        <n v="40825.74"/>
        <n v="82810.740000000005"/>
        <n v="36114.379999999997"/>
        <n v="14971.98"/>
        <n v="38268.519999999997"/>
        <n v="14014.82"/>
        <n v="2725.41"/>
        <n v="171177.60000000001"/>
        <n v="71185.52"/>
        <n v="145718.28"/>
        <n v="119101.72"/>
        <n v="22957.200000000001"/>
        <n v="101618.72"/>
        <n v="82901.2"/>
        <n v="15347.24"/>
        <n v="157154.70000000001"/>
        <n v="86682.08"/>
        <n v="68920.86"/>
        <n v="45226.15"/>
        <n v="51761.01"/>
        <n v="47529.36"/>
        <n v="5565.96"/>
        <n v="65874.36"/>
        <n v="68243.460000000006"/>
        <n v="56717.82"/>
        <n v="15381.06"/>
        <n v="27827.66"/>
        <n v="50070.92"/>
        <n v="174845.8"/>
        <n v="44914.35"/>
        <n v="24490.240000000002"/>
        <n v="17727.939999999999"/>
        <n v="147157.29"/>
        <n v="96235.44"/>
        <n v="38437.1"/>
        <n v="2271.2399999999998"/>
        <n v="33527.15"/>
        <n v="85670.88"/>
        <n v="19376.32"/>
        <n v="22430.51"/>
        <n v="25282.52"/>
        <n v="164003.64000000001"/>
        <n v="177532.5"/>
        <n v="149507.54999999999"/>
        <n v="110029.44"/>
        <n v="44368.76"/>
        <n v="162828.85"/>
        <n v="137173.51999999999"/>
        <n v="42715.55"/>
        <n v="73500.149999999994"/>
        <n v="96850.74"/>
        <n v="132084.4"/>
        <n v="128643.09"/>
        <n v="75156.92"/>
        <n v="11518.23"/>
        <n v="46388.81"/>
        <n v="31652.94"/>
        <n v="230160.8"/>
        <n v="79685"/>
        <n v="171809.8"/>
        <n v="31297.7"/>
        <n v="117243.04"/>
        <n v="150781.79999999999"/>
        <n v="4986.8999999999996"/>
        <n v="217158.2"/>
        <n v="37082.11"/>
        <n v="492.53"/>
        <n v="19024.86"/>
        <n v="6306.32"/>
        <n v="141898.75"/>
        <n v="28719.46"/>
        <n v="104465.79"/>
        <n v="224591.75"/>
        <n v="55384.53"/>
        <n v="37329.449999999997"/>
        <n v="143519.16"/>
        <n v="42170.48"/>
        <n v="111389.19"/>
        <n v="45110.42"/>
        <n v="4546.0200000000004"/>
        <n v="50297.25"/>
        <n v="4820.8"/>
        <n v="160080.54999999999"/>
        <n v="166253.5"/>
        <n v="7417.5"/>
        <n v="83952.3"/>
        <n v="198345.24"/>
        <n v="43224.95"/>
        <n v="83543.429999999993"/>
        <n v="57165.09"/>
        <n v="80418.179999999993"/>
        <n v="8867.7199999999993"/>
        <n v="56397.15"/>
        <n v="127286.7"/>
        <n v="63526.68"/>
        <n v="25634.9"/>
        <n v="36454.629999999997"/>
        <n v="56522.2"/>
        <n v="18179.43"/>
        <n v="93014.25"/>
        <n v="20423.099999999999"/>
        <n v="26281.98"/>
        <n v="8940.24"/>
        <n v="33698.339999999997"/>
        <n v="214070.85"/>
        <n v="146832.03"/>
        <n v="65970.75"/>
        <n v="11130.21"/>
        <n v="129008.04"/>
        <n v="40384.620000000003"/>
        <n v="14482.47"/>
        <n v="43502.85"/>
        <n v="168217.5"/>
        <n v="16364.38"/>
        <n v="88479.18"/>
        <n v="16586.07"/>
        <n v="75028.28"/>
        <n v="180509.24"/>
        <n v="90466.7"/>
        <n v="3884.55"/>
        <n v="26697.68"/>
        <n v="47674.45"/>
        <n v="48670.07"/>
        <n v="76035.240000000005"/>
        <n v="131557.01999999999"/>
        <n v="28283.49"/>
        <n v="40753.519999999997"/>
        <n v="60487.3"/>
        <n v="47608.93"/>
        <n v="32780.879999999997"/>
        <n v="114523.68"/>
        <n v="32299.74"/>
        <n v="35591.4"/>
        <n v="48476.22"/>
        <n v="15387.4"/>
        <n v="65425.82"/>
        <n v="230279.4"/>
        <n v="138674.64000000001"/>
        <n v="195882.7"/>
        <n v="49239.68"/>
        <n v="19386.27"/>
        <n v="32264.17"/>
        <n v="141008.16"/>
        <n v="39372.11"/>
        <n v="21241.25"/>
        <n v="91872.72"/>
        <n v="215219.1"/>
        <n v="1392.54"/>
        <n v="46586.28"/>
        <n v="70650.759999999995"/>
        <n v="100935.8"/>
        <n v="53895.08"/>
        <n v="54257.19"/>
        <n v="88527.42"/>
        <n v="143644.88"/>
        <n v="121011.56"/>
        <n v="70754.67"/>
        <n v="89656.08"/>
        <n v="62060.82"/>
        <n v="197639.56"/>
        <n v="114178.9"/>
        <n v="211535.9"/>
        <n v="49796.61"/>
        <n v="32006.76"/>
        <n v="192295.2"/>
        <n v="53753.02"/>
        <n v="21992.95"/>
        <n v="148018.16"/>
        <n v="139808.9"/>
        <n v="106586.55"/>
        <n v="60476.94"/>
        <n v="163941"/>
        <n v="81929.19"/>
        <n v="15344.02"/>
        <n v="43444.93"/>
        <n v="37295.08"/>
        <n v="41333.21"/>
        <n v="3522.75"/>
        <n v="38629"/>
        <n v="76321.960000000006"/>
        <n v="15981.76"/>
        <n v="38728.75"/>
        <n v="124020.24"/>
        <n v="25289.68"/>
        <n v="67215.039999999994"/>
        <n v="158685.65"/>
        <n v="63057"/>
        <n v="91693.8"/>
        <n v="215590.95"/>
        <n v="240653"/>
        <n v="45419.9"/>
        <n v="4236.95"/>
        <n v="23645.200000000001"/>
        <n v="237136.5"/>
        <n v="38005.050000000003"/>
        <n v="59537.16"/>
        <n v="95799.44"/>
        <n v="92202.28"/>
        <n v="174848.45"/>
        <n v="51023.4"/>
        <n v="43517.37"/>
        <n v="57542.31"/>
        <n v="30826.720000000001"/>
        <n v="19787.61"/>
        <n v="113560.9"/>
        <n v="119099.55"/>
        <n v="41746.5"/>
        <n v="135876.85"/>
        <n v="5463.13"/>
        <n v="120744.81"/>
        <n v="45866.22"/>
        <n v="2269.56"/>
        <n v="89533.77"/>
        <n v="120715.5"/>
        <n v="18670.38"/>
        <n v="194821.8"/>
        <n v="109961.9"/>
        <n v="38641.65"/>
        <n v="17539.189999999999"/>
        <n v="155874.07999999999"/>
        <n v="34286.199999999997"/>
        <n v="54240.72"/>
        <n v="128943.24"/>
        <n v="196319.7"/>
        <n v="5521.25"/>
        <n v="24032.880000000001"/>
        <n v="120686.96"/>
        <n v="225225.15"/>
        <n v="32749.9"/>
        <n v="33683.4"/>
        <n v="15267.7"/>
        <n v="44671.16"/>
        <n v="16897.54"/>
        <n v="23433.86"/>
        <n v="28547.48"/>
        <n v="27434.25"/>
        <n v="6040.92"/>
        <n v="18468.8"/>
        <n v="102176.7"/>
        <n v="81918.929999999993"/>
        <n v="91926.6"/>
        <n v="89016.68"/>
        <n v="75560.37"/>
        <n v="8321.0400000000009"/>
        <n v="40379.730000000003"/>
        <n v="18097.79"/>
        <n v="4156.4399999999996"/>
        <n v="91694.94"/>
        <n v="10826.05"/>
        <n v="196388.04"/>
        <n v="11032.2"/>
        <n v="5311.6"/>
        <n v="143792.1"/>
        <n v="57144.08"/>
        <n v="214938.2"/>
        <n v="58186.04"/>
        <n v="230397.45"/>
        <n v="104667.56"/>
        <n v="67086.38"/>
        <n v="129840.52"/>
        <n v="32208.959999999999"/>
        <n v="106111.12"/>
        <n v="185852"/>
        <n v="129678.3"/>
        <n v="68038.92"/>
        <n v="20483.560000000001"/>
        <n v="24458.2"/>
        <n v="8085.12"/>
        <n v="114715.52"/>
        <n v="63956.06"/>
        <n v="118419.08"/>
        <n v="39855.440000000002"/>
        <n v="115626.65"/>
        <n v="143053.92000000001"/>
        <n v="51022.92"/>
        <n v="47651.19"/>
        <n v="29745"/>
        <n v="75322.36"/>
        <n v="38996.639999999999"/>
        <n v="79847.91"/>
        <n v="98472.15"/>
        <n v="38857.9"/>
        <n v="27400.84"/>
        <n v="12075.96"/>
        <n v="202430.4"/>
        <n v="8633.64"/>
        <n v="6842.69"/>
        <n v="227661.7"/>
        <n v="50229.54"/>
        <n v="101012.8"/>
        <n v="16160.44"/>
        <n v="34866.42"/>
        <n v="68815.850000000006"/>
        <n v="11448.28"/>
        <n v="43909.65"/>
        <n v="83852.06"/>
        <n v="174427.32"/>
        <n v="40678.17"/>
        <n v="11540.73"/>
        <n v="11071.52"/>
        <n v="76200.800000000003"/>
        <n v="59562.22"/>
        <n v="17136.63"/>
        <n v="98139.12"/>
        <n v="98710.9"/>
        <n v="3862.04"/>
        <n v="33613.18"/>
        <n v="65224.59"/>
        <n v="39749.19"/>
        <n v="148814.6"/>
        <n v="46858.63"/>
        <n v="89903.76"/>
        <n v="51228.7"/>
        <n v="72530.55"/>
        <n v="134311.95000000001"/>
        <n v="101518.72"/>
        <n v="148684.71"/>
        <n v="104387.84"/>
        <n v="142692.87"/>
        <n v="1808.58"/>
        <n v="90932.76"/>
        <n v="66142.179999999993"/>
        <n v="52111.4"/>
        <n v="60986.8"/>
        <n v="16017.54"/>
        <n v="21881.01"/>
        <n v="18006.75"/>
        <n v="30111.55"/>
        <n v="69425.25"/>
        <n v="10183.14"/>
        <n v="74040.570000000007"/>
        <n v="17212.34"/>
        <n v="122960.46"/>
        <n v="1621.89"/>
        <n v="59430.62"/>
        <n v="109476.68"/>
        <n v="2638.92"/>
        <n v="2868.46"/>
        <n v="8212.44"/>
        <n v="6474.36"/>
        <n v="116813.75999999999"/>
        <n v="231691.45"/>
        <n v="82452.56"/>
        <n v="17160"/>
        <n v="162687.29999999999"/>
        <n v="5413.09"/>
        <n v="42189.9"/>
        <n v="29594.54"/>
        <n v="18326.919999999998"/>
        <n v="122886.04"/>
        <n v="1848"/>
        <n v="155811.95000000001"/>
        <n v="24844.18"/>
        <n v="125809.55"/>
        <n v="218598.55"/>
        <n v="42944.28"/>
        <n v="33472.93"/>
        <n v="119492.9"/>
        <n v="184047.35999999999"/>
        <n v="17440.2"/>
        <n v="70573.94"/>
        <n v="134638.68"/>
        <n v="7951.92"/>
        <n v="92931.54"/>
        <n v="184362.6"/>
        <n v="171901.44"/>
        <n v="63788.35"/>
        <n v="77522"/>
        <n v="13927.12"/>
        <n v="104882.68"/>
        <n v="58836.66"/>
        <n v="19846.64"/>
        <n v="18574.12"/>
        <n v="55711.9"/>
        <n v="26403.73"/>
        <n v="142089.60000000001"/>
        <n v="106202.64"/>
        <n v="54560.4"/>
        <n v="32657.81"/>
        <n v="110940.3"/>
        <n v="2097.9899999999998"/>
        <n v="25543.82"/>
        <n v="150737.12"/>
        <n v="192962.45"/>
        <n v="79517.600000000006"/>
        <n v="54962.3"/>
        <n v="36140.699999999997"/>
        <n v="74919.39"/>
        <n v="171784.44"/>
        <n v="192512.08"/>
        <n v="5369.5"/>
        <n v="22564.13"/>
        <n v="46641.88"/>
        <n v="147672.79999999999"/>
        <n v="35777.51"/>
        <n v="30519.71"/>
        <n v="2998.62"/>
        <n v="84693.75"/>
        <n v="12076.6"/>
        <n v="55674.15"/>
        <n v="41402.76"/>
        <n v="138967.16"/>
        <n v="79770.240000000005"/>
        <n v="76289.34"/>
        <n v="158135"/>
        <n v="64697.84"/>
        <n v="56172.639999999999"/>
        <n v="16767.72"/>
        <n v="225911.35"/>
        <n v="17126.28"/>
        <n v="215593.65"/>
        <n v="24172.560000000001"/>
        <n v="44248.09"/>
        <n v="46178.64"/>
        <n v="31749.94"/>
        <n v="149871.75"/>
        <n v="47288.95"/>
        <n v="40388.400000000001"/>
        <n v="11853.05"/>
        <n v="39091.279999999999"/>
        <n v="60871.5"/>
        <n v="149735.25"/>
        <n v="97343.12"/>
        <n v="91585.14"/>
        <n v="39683.5"/>
        <n v="237403.55"/>
        <n v="143690.56"/>
        <n v="10435.030000000001"/>
        <n v="40840.800000000003"/>
        <n v="105517.4"/>
        <n v="38093.14"/>
        <n v="130465.26"/>
        <n v="36251.879999999997"/>
        <n v="154557.20000000001"/>
        <n v="14517.08"/>
        <n v="164795.35999999999"/>
        <n v="94106.880000000005"/>
        <n v="16394.939999999999"/>
        <n v="74270.720000000001"/>
        <n v="182178.16"/>
        <n v="22894.44"/>
        <n v="1549.63"/>
        <n v="60018.400000000001"/>
        <n v="31277.18"/>
        <n v="48580.6"/>
        <n v="235236.15"/>
        <n v="36115.480000000003"/>
        <n v="56586.03"/>
        <n v="48768.1"/>
        <n v="147803.92000000001"/>
        <n v="57308.6"/>
        <n v="213024.75"/>
        <n v="10722.36"/>
        <n v="34069.64"/>
        <n v="219200.2"/>
        <n v="31486.57"/>
        <n v="47055.28"/>
        <n v="68672.850000000006"/>
        <n v="39355.589999999997"/>
        <n v="5782.14"/>
        <n v="68510.78"/>
        <n v="6953.88"/>
        <n v="76889.64"/>
        <n v="141494"/>
        <n v="108249.66"/>
        <n v="61246.75"/>
        <n v="192604.36"/>
        <n v="77332"/>
        <n v="56410.239999999998"/>
        <n v="20353.400000000001"/>
        <n v="149213.04"/>
        <n v="89542.2"/>
        <n v="233850.05"/>
        <n v="4748.5200000000004"/>
        <n v="81889.539999999994"/>
        <n v="235557.8"/>
        <n v="59883.09"/>
        <n v="40788.54"/>
        <n v="139321.12"/>
        <n v="53402.22"/>
        <n v="130505.28"/>
        <n v="140674.95000000001"/>
        <n v="28128.7"/>
        <n v="35139.53"/>
        <n v="24175.200000000001"/>
        <n v="122824.6"/>
        <n v="89036.55"/>
        <n v="32505.96"/>
        <n v="63700.3"/>
        <n v="39057.21"/>
        <n v="27204.69"/>
        <n v="17066.16"/>
        <n v="8130.5"/>
        <n v="59323.35"/>
        <n v="181705.56"/>
        <n v="49571.07"/>
        <n v="120886.41"/>
        <n v="128489.72"/>
        <n v="51604.35"/>
        <n v="63897.95"/>
        <n v="21198.32"/>
        <n v="84421.64"/>
        <n v="4226.03"/>
        <n v="13326.3"/>
        <n v="56081.9"/>
        <n v="45689.01"/>
        <n v="51314.73"/>
        <n v="10587.74"/>
        <n v="162900"/>
        <n v="140845.54999999999"/>
        <n v="87668.76"/>
        <n v="28577.34"/>
        <n v="40175.300000000003"/>
        <n v="138616.41"/>
        <n v="25929.040000000001"/>
        <n v="140784.75"/>
        <n v="57952.88"/>
        <n v="31094.13"/>
        <n v="197393.45"/>
        <n v="48842.53"/>
        <n v="24227.24"/>
        <n v="100212.36"/>
        <n v="74391.460000000006"/>
        <n v="32359.22"/>
        <n v="80380.759999999995"/>
        <n v="27997.62"/>
        <n v="174350.6"/>
        <n v="205848.25"/>
        <n v="64739.040000000001"/>
        <n v="33745.33"/>
        <n v="62174.6"/>
        <n v="91695.72"/>
        <n v="139601"/>
        <n v="3974.78"/>
        <n v="48349.4"/>
        <n v="13676.6"/>
        <n v="17353.47"/>
        <n v="33708.57"/>
        <n v="216522.75"/>
        <n v="208711.45"/>
        <n v="133002.32999999999"/>
        <n v="169637.85"/>
        <n v="37103.300000000003"/>
        <n v="90145.38"/>
        <n v="164992.07999999999"/>
        <n v="81445.850000000006"/>
        <n v="32830.15"/>
        <n v="216085.5"/>
        <n v="155685.15"/>
        <n v="55721.599999999999"/>
        <n v="22315.58"/>
        <n v="32473.1"/>
        <n v="176245"/>
        <n v="155710.48000000001"/>
        <n v="16902.759999999998"/>
        <n v="77257.95"/>
        <n v="44387.55"/>
        <n v="99374.98"/>
        <n v="104638.2"/>
        <n v="4521.03"/>
        <n v="26291.45"/>
        <n v="109936.05"/>
        <n v="110996.76"/>
        <n v="182801.6"/>
        <n v="85174.95"/>
        <n v="29284.92"/>
        <n v="78644.36"/>
        <n v="149583.51"/>
        <n v="8734.44"/>
        <n v="40025.1"/>
        <n v="154392.35"/>
        <n v="46933.96"/>
        <n v="23806.639999999999"/>
        <n v="50231.42"/>
        <n v="13879"/>
        <n v="36854.199999999997"/>
        <n v="65328.02"/>
        <n v="31922.03"/>
        <n v="179740.79999999999"/>
        <n v="34439.67"/>
        <n v="74455.77"/>
        <n v="167216.6"/>
        <n v="93038.45"/>
        <n v="34161.440000000002"/>
        <n v="120207.9"/>
        <n v="48157.93"/>
        <n v="86064.75"/>
        <n v="65180.92"/>
        <n v="13573.89"/>
        <n v="23828.3"/>
        <n v="159727"/>
        <n v="83041.759999999995"/>
        <n v="37890.559999999998"/>
        <n v="44511.3"/>
        <n v="229005.95"/>
        <n v="103076.34"/>
        <n v="103339.26"/>
        <n v="2519.1799999999998"/>
        <n v="125296.8"/>
        <n v="138947.4"/>
        <n v="236422.7"/>
        <n v="65599.02"/>
        <n v="232047.85"/>
        <n v="41634.92"/>
        <n v="115913.88"/>
        <n v="44749.52"/>
        <n v="33868.26"/>
        <n v="56492.5"/>
        <n v="196352.52"/>
        <n v="99275.08"/>
        <n v="53231.839999999997"/>
        <n v="28174.04"/>
        <n v="16502.759999999998"/>
        <n v="2435.9699999999998"/>
        <n v="72644.039999999994"/>
        <n v="80190"/>
        <n v="47795.34"/>
        <n v="47666.18"/>
        <n v="83342.12"/>
        <n v="71450.350000000006"/>
        <n v="43078.68"/>
        <n v="11707.2"/>
        <n v="139660.74"/>
        <n v="106467.1"/>
        <n v="38786"/>
        <n v="35305.39"/>
        <n v="11608.76"/>
        <n v="25542.71"/>
        <n v="117025.11"/>
        <n v="24001.3"/>
        <n v="18747.939999999999"/>
        <n v="69747.81"/>
        <n v="2136.9899999999998"/>
        <n v="110129.92"/>
        <n v="232634.65"/>
        <n v="164754.75"/>
        <n v="17308.52"/>
        <n v="23262.080000000002"/>
        <n v="38751.519999999997"/>
        <n v="104879.96"/>
        <n v="82982.899999999994"/>
        <n v="61073.599999999999"/>
        <n v="50880.55"/>
        <n v="17108.599999999999"/>
        <n v="146666.48000000001"/>
        <n v="143284.64000000001"/>
        <n v="190119.3"/>
        <n v="61129.24"/>
        <n v="6767.81"/>
        <n v="57944.22"/>
        <n v="63025.94"/>
        <n v="83993.22"/>
        <n v="18164.650000000001"/>
        <n v="46444.47"/>
        <n v="2361.81"/>
        <n v="71819.759999999995"/>
        <n v="27064.5"/>
        <n v="12151.3"/>
        <n v="115943.16"/>
        <n v="153905.92000000001"/>
        <n v="94861.68"/>
        <n v="53151.72"/>
        <n v="42409.26"/>
        <n v="5880.45"/>
        <n v="71259.100000000006"/>
        <n v="127037.96"/>
        <n v="6070.52"/>
        <n v="47250.1"/>
        <n v="9883.2800000000007"/>
        <n v="93151.72"/>
        <n v="35304.99"/>
        <n v="2835.12"/>
        <n v="84757.85"/>
        <n v="38681.26"/>
        <n v="7283.96"/>
        <n v="26058.55"/>
        <n v="137665.62"/>
        <n v="40456.5"/>
        <n v="35524.559999999998"/>
        <n v="5741.52"/>
        <n v="56369.43"/>
        <n v="39338.959999999999"/>
        <n v="419.55"/>
        <n v="13371.8"/>
        <n v="6776.67"/>
        <n v="22066.5"/>
        <n v="3960.96"/>
        <n v="146332.16"/>
        <n v="183078.65"/>
        <n v="43381.1"/>
        <n v="143244.4"/>
        <n v="36618.120000000003"/>
        <n v="201166.4"/>
        <n v="20173.52"/>
        <n v="53334.3"/>
        <n v="6015.13"/>
        <n v="28583.24"/>
        <n v="29703.32"/>
        <n v="80063.72"/>
        <n v="4869.5600000000004"/>
        <n v="116069.1"/>
        <n v="62360.85"/>
        <n v="162110.20000000001"/>
        <n v="9380.7000000000007"/>
        <n v="36448.6"/>
        <n v="43149.24"/>
        <n v="63192.03"/>
        <n v="194480.52"/>
        <n v="51721.84"/>
        <n v="98469.65"/>
        <n v="25889.78"/>
        <n v="62264.76"/>
        <n v="73861.52"/>
        <n v="63336.39"/>
        <n v="65309.55"/>
        <n v="51584.25"/>
        <n v="16468.64"/>
        <n v="86326.32"/>
        <n v="204528.45"/>
        <n v="18167"/>
        <n v="151872"/>
        <n v="187470.65"/>
        <n v="110511.36"/>
        <n v="69242.42"/>
        <n v="214909.45"/>
        <n v="150361.76"/>
        <n v="96468.62"/>
        <n v="127549.95"/>
        <n v="34583.1"/>
        <n v="39898.86"/>
        <n v="150014.28"/>
        <n v="237678.95"/>
        <n v="55794.8"/>
        <n v="12680.8"/>
        <n v="180483.7"/>
        <n v="77102.64"/>
        <n v="71662.399999999994"/>
        <n v="100104.15"/>
        <n v="68275.58"/>
        <n v="41285.25"/>
        <n v="4250.5200000000004"/>
        <n v="25395.84"/>
        <n v="85604.97"/>
        <n v="41532.94"/>
        <n v="21637.82"/>
        <n v="20950.060000000001"/>
        <n v="90375.95"/>
        <n v="123613.96"/>
        <n v="94001.85"/>
        <n v="171142.04"/>
        <n v="144531.48000000001"/>
        <n v="48710.25"/>
        <n v="21233.35"/>
        <n v="187963.48"/>
        <n v="91405.41"/>
        <n v="26745.48"/>
        <n v="97747.199999999997"/>
        <n v="112066.77"/>
        <n v="51639.9"/>
        <n v="31727.37"/>
        <n v="30100.73"/>
        <n v="93289.95"/>
        <n v="6839.1"/>
        <n v="90989.45"/>
        <n v="193032.76"/>
        <n v="58927"/>
        <n v="61429.440000000002"/>
        <n v="36608.36"/>
        <n v="49156.11"/>
        <n v="137478.28"/>
        <n v="20577"/>
        <n v="48030.720000000001"/>
        <n v="13862.56"/>
        <n v="54091.4"/>
        <n v="67426.62"/>
        <n v="73613.37"/>
        <n v="28206.68"/>
        <n v="29730.94"/>
        <n v="30597.64"/>
        <n v="183640.92"/>
        <n v="53485"/>
        <n v="57352.08"/>
        <n v="15714.99"/>
        <n v="150114.12"/>
        <n v="129894.24"/>
        <n v="153252.29999999999"/>
        <n v="959.63"/>
        <n v="66792.479999999996"/>
        <n v="122374.68"/>
        <n v="48175.48"/>
        <n v="42262.28"/>
        <n v="23369.23"/>
        <n v="23638.720000000001"/>
        <n v="4550.18"/>
        <n v="34717"/>
        <n v="142153.53"/>
        <n v="33134.67"/>
        <n v="30596.55"/>
        <n v="81358.58"/>
        <n v="41863.440000000002"/>
        <n v="31745.279999999999"/>
        <n v="37664.300000000003"/>
        <n v="50789.22"/>
        <n v="39973.800000000003"/>
        <n v="36760.35"/>
        <n v="17983.34"/>
        <n v="55164.02"/>
        <n v="66055.259999999995"/>
        <n v="12843.26"/>
        <n v="6115.91"/>
        <n v="80100.570000000007"/>
        <n v="38620.120000000003"/>
        <n v="79752.05"/>
        <n v="57364.52"/>
        <n v="95051.9"/>
        <n v="38837.879999999997"/>
        <n v="37518.93"/>
        <n v="133238.64000000001"/>
        <n v="145039.23000000001"/>
        <n v="103379.97"/>
        <n v="176966.72"/>
        <n v="48817.14"/>
        <n v="60274.879999999997"/>
        <n v="18386.259999999998"/>
        <n v="102348.69"/>
        <n v="46028.88"/>
        <n v="81725.740000000005"/>
        <n v="86456.22"/>
        <n v="34423.699999999997"/>
        <n v="90139.199999999997"/>
        <n v="42991.1"/>
        <n v="125329.68"/>
        <n v="123365.85"/>
        <n v="228932.8"/>
        <n v="82101.06"/>
        <n v="1002.29"/>
        <n v="114352.65"/>
        <n v="243903.9"/>
        <n v="59320.65"/>
        <n v="115570.92"/>
        <n v="149621.84"/>
        <n v="44882.2"/>
        <n v="29254.05"/>
        <n v="88704.54"/>
        <n v="147331.5"/>
        <n v="100577.92"/>
        <n v="67060.289999999994"/>
        <n v="67785.55"/>
        <n v="78967.149999999994"/>
        <n v="67629.440000000002"/>
        <n v="91473.56"/>
        <n v="14789.28"/>
        <n v="38545.29"/>
        <n v="16376.36"/>
        <n v="33354.1"/>
        <n v="2707.97"/>
        <n v="40298.9"/>
        <n v="106995.78"/>
        <n v="99577.95"/>
        <n v="73467.88"/>
        <n v="88581.66"/>
        <n v="37181.040000000001"/>
        <n v="109607.22"/>
        <n v="143242.51999999999"/>
        <n v="117602.5"/>
        <n v="60684.15"/>
        <n v="88907.4"/>
        <n v="73334.67"/>
        <n v="154287.24"/>
        <n v="80092.38"/>
        <n v="29592.639999999999"/>
        <n v="149698.35999999999"/>
        <n v="105792.96000000001"/>
        <n v="3165.8"/>
        <n v="53485.72"/>
        <n v="232816.75"/>
        <n v="105835.38"/>
        <n v="177532.05"/>
        <n v="198277.2"/>
        <n v="8331.2800000000007"/>
        <n v="75230.05"/>
        <n v="139711.16"/>
        <n v="8598.58"/>
        <n v="22212.38"/>
        <n v="223195"/>
        <n v="36476.879999999997"/>
        <n v="11103.44"/>
        <n v="75148.2"/>
        <n v="14619.75"/>
        <n v="14679.32"/>
        <n v="131897.01"/>
        <n v="30395.25"/>
        <n v="83683.14"/>
        <n v="80978.16"/>
        <n v="96249.32"/>
        <n v="191276.92"/>
        <n v="22372.7"/>
        <n v="21705.78"/>
        <n v="76976.08"/>
        <n v="9946.27"/>
        <n v="67095.88"/>
        <n v="15784.54"/>
        <n v="7718.78"/>
        <n v="193149.96"/>
        <n v="224766.2"/>
        <n v="26910.81"/>
        <n v="123347.92"/>
        <n v="48742"/>
        <n v="30689.360000000001"/>
        <n v="173202.08"/>
        <n v="10444.56"/>
        <n v="154029.4"/>
        <n v="155798.79999999999"/>
        <n v="6168.4"/>
        <n v="48940.95"/>
        <n v="22851.63"/>
        <n v="22798.52"/>
        <n v="128973.9"/>
        <n v="18729.61"/>
        <n v="64519.08"/>
        <n v="61550.36"/>
        <n v="28568.97"/>
        <n v="32472.59"/>
        <n v="13559.18"/>
        <n v="98282.01"/>
        <n v="147381.42000000001"/>
        <n v="45516.21"/>
      </sharedItems>
    </cacheField>
    <cacheField name="Order Date" numFmtId="14">
      <sharedItems containsSemiMixedTypes="0" containsNonDate="0" containsDate="1" containsString="0" minDate="2024-02-12T00:00:00" maxDate="2025-02-10T00:00:00" count="346">
        <d v="2024-04-20T00:00:00"/>
        <d v="2024-02-22T00:00:00"/>
        <d v="2024-11-06T00:00:00"/>
        <d v="2024-05-06T00:00:00"/>
        <d v="2025-01-13T00:00:00"/>
        <d v="2024-11-07T00:00:00"/>
        <d v="2024-03-04T00:00:00"/>
        <d v="2024-06-25T00:00:00"/>
        <d v="2024-11-15T00:00:00"/>
        <d v="2024-05-19T00:00:00"/>
        <d v="2024-12-23T00:00:00"/>
        <d v="2024-10-15T00:00:00"/>
        <d v="2024-06-12T00:00:00"/>
        <d v="2024-09-12T00:00:00"/>
        <d v="2024-03-31T00:00:00"/>
        <d v="2024-04-24T00:00:00"/>
        <d v="2024-04-13T00:00:00"/>
        <d v="2024-06-16T00:00:00"/>
        <d v="2024-05-11T00:00:00"/>
        <d v="2024-09-15T00:00:00"/>
        <d v="2025-01-02T00:00:00"/>
        <d v="2024-03-20T00:00:00"/>
        <d v="2024-04-08T00:00:00"/>
        <d v="2024-02-19T00:00:00"/>
        <d v="2024-06-20T00:00:00"/>
        <d v="2024-03-15T00:00:00"/>
        <d v="2024-09-07T00:00:00"/>
        <d v="2024-07-28T00:00:00"/>
        <d v="2024-09-11T00:00:00"/>
        <d v="2024-06-08T00:00:00"/>
        <d v="2024-05-15T00:00:00"/>
        <d v="2024-10-24T00:00:00"/>
        <d v="2024-12-10T00:00:00"/>
        <d v="2024-11-04T00:00:00"/>
        <d v="2024-11-26T00:00:00"/>
        <d v="2024-08-16T00:00:00"/>
        <d v="2025-01-30T00:00:00"/>
        <d v="2024-07-18T00:00:00"/>
        <d v="2024-09-01T00:00:00"/>
        <d v="2024-08-15T00:00:00"/>
        <d v="2024-10-02T00:00:00"/>
        <d v="2025-02-03T00:00:00"/>
        <d v="2025-01-17T00:00:00"/>
        <d v="2024-09-26T00:00:00"/>
        <d v="2024-07-25T00:00:00"/>
        <d v="2024-02-26T00:00:00"/>
        <d v="2024-12-03T00:00:00"/>
        <d v="2024-06-22T00:00:00"/>
        <d v="2024-10-18T00:00:00"/>
        <d v="2024-12-22T00:00:00"/>
        <d v="2024-06-18T00:00:00"/>
        <d v="2025-01-07T00:00:00"/>
        <d v="2024-07-12T00:00:00"/>
        <d v="2024-11-13T00:00:00"/>
        <d v="2024-06-15T00:00:00"/>
        <d v="2024-11-21T00:00:00"/>
        <d v="2024-03-22T00:00:00"/>
        <d v="2024-12-26T00:00:00"/>
        <d v="2024-11-05T00:00:00"/>
        <d v="2024-05-22T00:00:00"/>
        <d v="2024-05-26T00:00:00"/>
        <d v="2024-02-13T00:00:00"/>
        <d v="2024-11-28T00:00:00"/>
        <d v="2024-09-04T00:00:00"/>
        <d v="2024-10-16T00:00:00"/>
        <d v="2024-04-05T00:00:00"/>
        <d v="2024-10-06T00:00:00"/>
        <d v="2024-05-30T00:00:00"/>
        <d v="2024-02-12T00:00:00"/>
        <d v="2024-11-23T00:00:00"/>
        <d v="2024-09-27T00:00:00"/>
        <d v="2024-02-17T00:00:00"/>
        <d v="2024-07-15T00:00:00"/>
        <d v="2025-01-11T00:00:00"/>
        <d v="2024-12-02T00:00:00"/>
        <d v="2024-06-13T00:00:00"/>
        <d v="2024-11-02T00:00:00"/>
        <d v="2024-04-09T00:00:00"/>
        <d v="2024-03-06T00:00:00"/>
        <d v="2024-07-04T00:00:00"/>
        <d v="2024-11-24T00:00:00"/>
        <d v="2024-07-09T00:00:00"/>
        <d v="2024-08-11T00:00:00"/>
        <d v="2024-09-20T00:00:00"/>
        <d v="2024-08-14T00:00:00"/>
        <d v="2025-02-07T00:00:00"/>
        <d v="2024-04-15T00:00:00"/>
        <d v="2024-06-27T00:00:00"/>
        <d v="2024-06-02T00:00:00"/>
        <d v="2024-08-27T00:00:00"/>
        <d v="2024-03-27T00:00:00"/>
        <d v="2024-07-20T00:00:00"/>
        <d v="2024-09-22T00:00:00"/>
        <d v="2024-09-19T00:00:00"/>
        <d v="2024-09-06T00:00:00"/>
        <d v="2024-09-02T00:00:00"/>
        <d v="2024-09-14T00:00:00"/>
        <d v="2024-05-18T00:00:00"/>
        <d v="2025-01-06T00:00:00"/>
        <d v="2024-04-01T00:00:00"/>
        <d v="2024-07-14T00:00:00"/>
        <d v="2024-04-21T00:00:00"/>
        <d v="2024-08-21T00:00:00"/>
        <d v="2024-11-29T00:00:00"/>
        <d v="2024-02-21T00:00:00"/>
        <d v="2024-07-13T00:00:00"/>
        <d v="2024-12-08T00:00:00"/>
        <d v="2024-10-10T00:00:00"/>
        <d v="2024-07-03T00:00:00"/>
        <d v="2024-12-06T00:00:00"/>
        <d v="2024-10-20T00:00:00"/>
        <d v="2024-07-23T00:00:00"/>
        <d v="2024-03-28T00:00:00"/>
        <d v="2024-03-02T00:00:00"/>
        <d v="2024-10-29T00:00:00"/>
        <d v="2025-01-22T00:00:00"/>
        <d v="2024-05-10T00:00:00"/>
        <d v="2025-01-01T00:00:00"/>
        <d v="2024-03-23T00:00:00"/>
        <d v="2024-10-19T00:00:00"/>
        <d v="2024-05-03T00:00:00"/>
        <d v="2024-07-17T00:00:00"/>
        <d v="2024-09-16T00:00:00"/>
        <d v="2024-08-25T00:00:00"/>
        <d v="2024-07-19T00:00:00"/>
        <d v="2024-10-01T00:00:00"/>
        <d v="2025-02-01T00:00:00"/>
        <d v="2025-01-19T00:00:00"/>
        <d v="2024-06-21T00:00:00"/>
        <d v="2025-01-26T00:00:00"/>
        <d v="2024-10-25T00:00:00"/>
        <d v="2024-06-24T00:00:00"/>
        <d v="2024-12-14T00:00:00"/>
        <d v="2024-08-10T00:00:00"/>
        <d v="2025-01-12T00:00:00"/>
        <d v="2024-02-20T00:00:00"/>
        <d v="2024-04-27T00:00:00"/>
        <d v="2024-03-10T00:00:00"/>
        <d v="2024-03-13T00:00:00"/>
        <d v="2024-08-04T00:00:00"/>
        <d v="2024-07-24T00:00:00"/>
        <d v="2024-11-16T00:00:00"/>
        <d v="2025-01-15T00:00:00"/>
        <d v="2025-01-21T00:00:00"/>
        <d v="2024-07-16T00:00:00"/>
        <d v="2024-07-27T00:00:00"/>
        <d v="2024-07-05T00:00:00"/>
        <d v="2024-06-14T00:00:00"/>
        <d v="2024-03-01T00:00:00"/>
        <d v="2024-05-21T00:00:00"/>
        <d v="2024-02-25T00:00:00"/>
        <d v="2024-08-12T00:00:00"/>
        <d v="2025-01-18T00:00:00"/>
        <d v="2024-08-24T00:00:00"/>
        <d v="2024-03-03T00:00:00"/>
        <d v="2024-10-30T00:00:00"/>
        <d v="2024-04-04T00:00:00"/>
        <d v="2024-07-22T00:00:00"/>
        <d v="2024-03-05T00:00:00"/>
        <d v="2025-01-23T00:00:00"/>
        <d v="2024-11-09T00:00:00"/>
        <d v="2024-08-02T00:00:00"/>
        <d v="2024-06-05T00:00:00"/>
        <d v="2024-12-15T00:00:00"/>
        <d v="2024-12-16T00:00:00"/>
        <d v="2024-07-07T00:00:00"/>
        <d v="2024-05-04T00:00:00"/>
        <d v="2024-09-13T00:00:00"/>
        <d v="2024-10-03T00:00:00"/>
        <d v="2024-03-14T00:00:00"/>
        <d v="2024-10-26T00:00:00"/>
        <d v="2024-02-23T00:00:00"/>
        <d v="2024-09-24T00:00:00"/>
        <d v="2024-06-17T00:00:00"/>
        <d v="2024-05-16T00:00:00"/>
        <d v="2025-01-10T00:00:00"/>
        <d v="2025-02-06T00:00:00"/>
        <d v="2025-01-28T00:00:00"/>
        <d v="2024-05-28T00:00:00"/>
        <d v="2024-10-05T00:00:00"/>
        <d v="2024-08-30T00:00:00"/>
        <d v="2024-04-12T00:00:00"/>
        <d v="2024-05-12T00:00:00"/>
        <d v="2024-02-15T00:00:00"/>
        <d v="2024-09-09T00:00:00"/>
        <d v="2024-03-29T00:00:00"/>
        <d v="2024-05-08T00:00:00"/>
        <d v="2024-07-10T00:00:00"/>
        <d v="2024-03-30T00:00:00"/>
        <d v="2024-12-18T00:00:00"/>
        <d v="2024-10-07T00:00:00"/>
        <d v="2025-01-24T00:00:00"/>
        <d v="2024-05-14T00:00:00"/>
        <d v="2024-07-02T00:00:00"/>
        <d v="2024-06-30T00:00:00"/>
        <d v="2024-04-19T00:00:00"/>
        <d v="2024-12-09T00:00:00"/>
        <d v="2024-06-09T00:00:00"/>
        <d v="2024-06-28T00:00:00"/>
        <d v="2024-07-21T00:00:00"/>
        <d v="2024-03-25T00:00:00"/>
        <d v="2024-08-05T00:00:00"/>
        <d v="2024-10-28T00:00:00"/>
        <d v="2024-07-29T00:00:00"/>
        <d v="2025-01-08T00:00:00"/>
        <d v="2024-07-31T00:00:00"/>
        <d v="2024-08-17T00:00:00"/>
        <d v="2024-12-19T00:00:00"/>
        <d v="2024-03-19T00:00:00"/>
        <d v="2024-10-17T00:00:00"/>
        <d v="2024-03-18T00:00:00"/>
        <d v="2024-04-14T00:00:00"/>
        <d v="2024-05-25T00:00:00"/>
        <d v="2024-11-01T00:00:00"/>
        <d v="2024-02-28T00:00:00"/>
        <d v="2024-03-09T00:00:00"/>
        <d v="2024-04-28T00:00:00"/>
        <d v="2024-11-12T00:00:00"/>
        <d v="2024-06-07T00:00:00"/>
        <d v="2024-12-27T00:00:00"/>
        <d v="2024-11-27T00:00:00"/>
        <d v="2024-10-04T00:00:00"/>
        <d v="2024-08-26T00:00:00"/>
        <d v="2024-05-02T00:00:00"/>
        <d v="2024-06-04T00:00:00"/>
        <d v="2024-08-07T00:00:00"/>
        <d v="2024-05-17T00:00:00"/>
        <d v="2024-03-07T00:00:00"/>
        <d v="2024-05-09T00:00:00"/>
        <d v="2024-04-11T00:00:00"/>
        <d v="2024-08-08T00:00:00"/>
        <d v="2025-02-04T00:00:00"/>
        <d v="2024-03-08T00:00:00"/>
        <d v="2024-05-01T00:00:00"/>
        <d v="2024-06-06T00:00:00"/>
        <d v="2024-12-12T00:00:00"/>
        <d v="2024-04-03T00:00:00"/>
        <d v="2024-05-23T00:00:00"/>
        <d v="2024-06-26T00:00:00"/>
        <d v="2024-08-09T00:00:00"/>
        <d v="2024-10-12T00:00:00"/>
        <d v="2024-03-24T00:00:00"/>
        <d v="2024-05-20T00:00:00"/>
        <d v="2025-01-25T00:00:00"/>
        <d v="2024-05-24T00:00:00"/>
        <d v="2024-04-16T00:00:00"/>
        <d v="2024-09-08T00:00:00"/>
        <d v="2024-05-29T00:00:00"/>
        <d v="2024-10-09T00:00:00"/>
        <d v="2024-11-08T00:00:00"/>
        <d v="2024-08-18T00:00:00"/>
        <d v="2024-11-19T00:00:00"/>
        <d v="2024-06-23T00:00:00"/>
        <d v="2024-04-30T00:00:00"/>
        <d v="2024-07-30T00:00:00"/>
        <d v="2024-10-14T00:00:00"/>
        <d v="2024-04-10T00:00:00"/>
        <d v="2025-02-09T00:00:00"/>
        <d v="2024-07-11T00:00:00"/>
        <d v="2024-04-02T00:00:00"/>
        <d v="2024-10-13T00:00:00"/>
        <d v="2024-10-27T00:00:00"/>
        <d v="2025-01-05T00:00:00"/>
        <d v="2024-08-31T00:00:00"/>
        <d v="2024-05-13T00:00:00"/>
        <d v="2025-01-03T00:00:00"/>
        <d v="2024-02-29T00:00:00"/>
        <d v="2025-02-02T00:00:00"/>
        <d v="2024-06-01T00:00:00"/>
        <d v="2024-12-20T00:00:00"/>
        <d v="2024-09-29T00:00:00"/>
        <d v="2024-06-10T00:00:00"/>
        <d v="2024-09-23T00:00:00"/>
        <d v="2024-07-26T00:00:00"/>
        <d v="2024-10-22T00:00:00"/>
        <d v="2024-04-06T00:00:00"/>
        <d v="2024-09-28T00:00:00"/>
        <d v="2024-04-23T00:00:00"/>
        <d v="2024-09-10T00:00:00"/>
        <d v="2024-11-17T00:00:00"/>
        <d v="2024-11-14T00:00:00"/>
        <d v="2024-11-30T00:00:00"/>
        <d v="2024-02-18T00:00:00"/>
        <d v="2024-09-03T00:00:00"/>
        <d v="2025-01-29T00:00:00"/>
        <d v="2024-11-03T00:00:00"/>
        <d v="2024-07-06T00:00:00"/>
        <d v="2024-10-21T00:00:00"/>
        <d v="2024-08-06T00:00:00"/>
        <d v="2024-10-31T00:00:00"/>
        <d v="2024-04-29T00:00:00"/>
        <d v="2025-02-05T00:00:00"/>
        <d v="2024-03-11T00:00:00"/>
        <d v="2024-12-31T00:00:00"/>
        <d v="2024-08-20T00:00:00"/>
        <d v="2024-12-25T00:00:00"/>
        <d v="2024-11-11T00:00:00"/>
        <d v="2025-01-27T00:00:00"/>
        <d v="2024-05-31T00:00:00"/>
        <d v="2024-02-14T00:00:00"/>
        <d v="2024-12-04T00:00:00"/>
        <d v="2024-12-28T00:00:00"/>
        <d v="2024-02-24T00:00:00"/>
        <d v="2024-12-30T00:00:00"/>
        <d v="2024-12-29T00:00:00"/>
        <d v="2024-04-22T00:00:00"/>
        <d v="2024-08-23T00:00:00"/>
        <d v="2024-12-11T00:00:00"/>
        <d v="2024-06-03T00:00:00"/>
        <d v="2024-09-05T00:00:00"/>
        <d v="2024-05-27T00:00:00"/>
        <d v="2024-02-27T00:00:00"/>
        <d v="2024-12-01T00:00:00"/>
        <d v="2025-02-08T00:00:00"/>
        <d v="2024-03-12T00:00:00"/>
        <d v="2024-12-13T00:00:00"/>
        <d v="2025-01-04T00:00:00"/>
        <d v="2024-11-22T00:00:00"/>
        <d v="2024-09-21T00:00:00"/>
        <d v="2025-01-14T00:00:00"/>
        <d v="2024-08-01T00:00:00"/>
        <d v="2024-11-20T00:00:00"/>
        <d v="2024-11-10T00:00:00"/>
        <d v="2024-04-25T00:00:00"/>
        <d v="2024-04-18T00:00:00"/>
        <d v="2024-03-26T00:00:00"/>
        <d v="2024-08-22T00:00:00"/>
        <d v="2024-07-08T00:00:00"/>
        <d v="2024-04-17T00:00:00"/>
        <d v="2024-08-28T00:00:00"/>
        <d v="2024-12-05T00:00:00"/>
        <d v="2024-09-30T00:00:00"/>
        <d v="2024-11-25T00:00:00"/>
        <d v="2024-03-17T00:00:00"/>
        <d v="2024-09-18T00:00:00"/>
        <d v="2024-05-05T00:00:00"/>
        <d v="2024-03-21T00:00:00"/>
        <d v="2024-04-26T00:00:00"/>
        <d v="2025-01-16T00:00:00"/>
        <d v="2024-08-29T00:00:00"/>
        <d v="2024-03-16T00:00:00"/>
        <d v="2024-05-07T00:00:00"/>
        <d v="2024-04-07T00:00:00"/>
        <d v="2024-10-23T00:00:00"/>
        <d v="2024-08-13T00:00:00"/>
        <d v="2024-06-19T00:00:00"/>
      </sharedItems>
      <fieldGroup par="14"/>
    </cacheField>
    <cacheField name="Payment Method" numFmtId="0">
      <sharedItems count="6">
        <s v="COD"/>
        <s v="UPI"/>
        <s v="NET BANKING"/>
        <s v="CREDIT CARD"/>
        <s v="WALLET"/>
        <s v="DEBIT CARD"/>
      </sharedItems>
    </cacheField>
    <cacheField name="Customer Rating" numFmtId="0">
      <sharedItems containsSemiMixedTypes="0" containsString="0" containsNumber="1" minValue="1" maxValue="5" count="41">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6"/>
        <n v="1.5"/>
        <n v="1.4"/>
        <n v="1.3"/>
        <n v="1.2"/>
        <n v="1.1000000000000001"/>
        <n v="1"/>
      </sharedItems>
    </cacheField>
    <cacheField name="ANSWER 6" numFmtId="0">
      <sharedItems/>
    </cacheField>
    <cacheField name="ANSWER 9" numFmtId="0">
      <sharedItems/>
    </cacheField>
    <cacheField name="Months (Order Date)" numFmtId="0" databaseField="0">
      <fieldGroup base="7">
        <rangePr groupBy="months" startDate="2024-02-12T00:00:00" endDate="2025-02-10T00:00:00"/>
        <groupItems count="14">
          <s v="&lt;12-02-2024"/>
          <s v="Jan"/>
          <s v="Feb"/>
          <s v="Mar"/>
          <s v="Apr"/>
          <s v="May"/>
          <s v="Jun"/>
          <s v="Jul"/>
          <s v="Aug"/>
          <s v="Sep"/>
          <s v="Oct"/>
          <s v="Nov"/>
          <s v="Dec"/>
          <s v="&gt;10-02-2025"/>
        </groupItems>
      </fieldGroup>
    </cacheField>
    <cacheField name="Quarters (Order Date)" numFmtId="0" databaseField="0">
      <fieldGroup base="7">
        <rangePr groupBy="quarters" startDate="2024-02-12T00:00:00" endDate="2025-02-10T00:00:00"/>
        <groupItems count="6">
          <s v="&lt;12-02-2024"/>
          <s v="Qtr1"/>
          <s v="Qtr2"/>
          <s v="Qtr3"/>
          <s v="Qtr4"/>
          <s v="&gt;10-02-2025"/>
        </groupItems>
      </fieldGroup>
    </cacheField>
    <cacheField name="Years (Order Date)" numFmtId="0" databaseField="0">
      <fieldGroup base="7">
        <rangePr groupBy="years" startDate="2024-02-12T00:00:00" endDate="2025-02-10T00:00:00"/>
        <groupItems count="4">
          <s v="&lt;12-02-2024"/>
          <s v="2024"/>
          <s v="2025"/>
          <s v="&gt;10-02-2025"/>
        </groupItems>
      </fieldGroup>
    </cacheField>
  </cacheFields>
  <extLst>
    <ext xmlns:x14="http://schemas.microsoft.com/office/spreadsheetml/2009/9/main" uri="{725AE2AE-9491-48be-B2B4-4EB974FC3084}">
      <x14:pivotCacheDefinition pivotCacheId="514672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61945.64"/>
    <x v="0"/>
    <x v="0"/>
    <x v="0"/>
    <x v="0"/>
    <s v="BULK ORDER"/>
    <s v="EXCELLENT"/>
  </r>
  <r>
    <x v="1"/>
    <x v="1"/>
    <x v="1"/>
    <x v="1"/>
    <x v="1"/>
    <n v="21968.61"/>
    <x v="1"/>
    <x v="1"/>
    <x v="0"/>
    <x v="0"/>
    <s v="BULK ORDER"/>
    <s v="EXCELLENT"/>
  </r>
  <r>
    <x v="2"/>
    <x v="2"/>
    <x v="2"/>
    <x v="2"/>
    <x v="0"/>
    <n v="51195.32"/>
    <x v="2"/>
    <x v="2"/>
    <x v="1"/>
    <x v="0"/>
    <s v="BULK ORDER"/>
    <s v="EXCELLENT"/>
  </r>
  <r>
    <x v="3"/>
    <x v="3"/>
    <x v="0"/>
    <x v="3"/>
    <x v="2"/>
    <n v="45406.06"/>
    <x v="3"/>
    <x v="3"/>
    <x v="2"/>
    <x v="0"/>
    <s v="REGULAR ORDER"/>
    <s v="EXCELLENT"/>
  </r>
  <r>
    <x v="4"/>
    <x v="4"/>
    <x v="3"/>
    <x v="4"/>
    <x v="1"/>
    <n v="86987.430000000008"/>
    <x v="4"/>
    <x v="4"/>
    <x v="0"/>
    <x v="0"/>
    <s v="BULK ORDER"/>
    <s v="EXCELLENT"/>
  </r>
  <r>
    <x v="5"/>
    <x v="5"/>
    <x v="1"/>
    <x v="5"/>
    <x v="1"/>
    <n v="87979.799999999988"/>
    <x v="5"/>
    <x v="5"/>
    <x v="3"/>
    <x v="1"/>
    <s v="BULK ORDER"/>
    <s v="EXCELLENT"/>
  </r>
  <r>
    <x v="6"/>
    <x v="4"/>
    <x v="3"/>
    <x v="6"/>
    <x v="0"/>
    <n v="196570.28"/>
    <x v="6"/>
    <x v="6"/>
    <x v="1"/>
    <x v="1"/>
    <s v="BULK ORDER"/>
    <s v="EXCELLENT"/>
  </r>
  <r>
    <x v="7"/>
    <x v="5"/>
    <x v="1"/>
    <x v="7"/>
    <x v="2"/>
    <n v="26022.880000000001"/>
    <x v="7"/>
    <x v="7"/>
    <x v="4"/>
    <x v="1"/>
    <s v="REGULAR ORDER"/>
    <s v="EXCELLENT"/>
  </r>
  <r>
    <x v="8"/>
    <x v="4"/>
    <x v="3"/>
    <x v="8"/>
    <x v="3"/>
    <n v="11183.75"/>
    <x v="8"/>
    <x v="8"/>
    <x v="3"/>
    <x v="1"/>
    <s v="REGULAR ORDER"/>
    <s v="EXCELLENT"/>
  </r>
  <r>
    <x v="9"/>
    <x v="6"/>
    <x v="0"/>
    <x v="9"/>
    <x v="3"/>
    <n v="40461.79"/>
    <x v="9"/>
    <x v="9"/>
    <x v="3"/>
    <x v="1"/>
    <s v="REGULAR ORDER"/>
    <s v="EXCELLENT"/>
  </r>
  <r>
    <x v="10"/>
    <x v="7"/>
    <x v="2"/>
    <x v="10"/>
    <x v="2"/>
    <n v="47124.54"/>
    <x v="10"/>
    <x v="10"/>
    <x v="3"/>
    <x v="1"/>
    <s v="REGULAR ORDER"/>
    <s v="EXCELLENT"/>
  </r>
  <r>
    <x v="11"/>
    <x v="8"/>
    <x v="0"/>
    <x v="11"/>
    <x v="1"/>
    <n v="135038.13"/>
    <x v="11"/>
    <x v="11"/>
    <x v="1"/>
    <x v="1"/>
    <s v="BULK ORDER"/>
    <s v="EXCELLENT"/>
  </r>
  <r>
    <x v="12"/>
    <x v="9"/>
    <x v="2"/>
    <x v="12"/>
    <x v="3"/>
    <n v="20075.810000000001"/>
    <x v="12"/>
    <x v="12"/>
    <x v="5"/>
    <x v="1"/>
    <s v="REGULAR ORDER"/>
    <s v="EXCELLENT"/>
  </r>
  <r>
    <x v="13"/>
    <x v="10"/>
    <x v="3"/>
    <x v="13"/>
    <x v="4"/>
    <n v="92259.55"/>
    <x v="13"/>
    <x v="13"/>
    <x v="1"/>
    <x v="1"/>
    <s v="BULK ORDER"/>
    <s v="EXCELLENT"/>
  </r>
  <r>
    <x v="14"/>
    <x v="11"/>
    <x v="2"/>
    <x v="14"/>
    <x v="0"/>
    <n v="193623.56"/>
    <x v="14"/>
    <x v="14"/>
    <x v="4"/>
    <x v="1"/>
    <s v="BULK ORDER"/>
    <s v="EXCELLENT"/>
  </r>
  <r>
    <x v="15"/>
    <x v="12"/>
    <x v="1"/>
    <x v="15"/>
    <x v="0"/>
    <n v="83438.44"/>
    <x v="15"/>
    <x v="15"/>
    <x v="4"/>
    <x v="1"/>
    <s v="BULK ORDER"/>
    <s v="EXCELLENT"/>
  </r>
  <r>
    <x v="16"/>
    <x v="10"/>
    <x v="3"/>
    <x v="16"/>
    <x v="4"/>
    <n v="42183.549999999996"/>
    <x v="16"/>
    <x v="16"/>
    <x v="4"/>
    <x v="1"/>
    <s v="BULK ORDER"/>
    <s v="EXCELLENT"/>
  </r>
  <r>
    <x v="17"/>
    <x v="12"/>
    <x v="1"/>
    <x v="17"/>
    <x v="3"/>
    <n v="46792.3"/>
    <x v="17"/>
    <x v="17"/>
    <x v="3"/>
    <x v="1"/>
    <s v="REGULAR ORDER"/>
    <s v="EXCELLENT"/>
  </r>
  <r>
    <x v="18"/>
    <x v="9"/>
    <x v="2"/>
    <x v="18"/>
    <x v="3"/>
    <n v="41619.15"/>
    <x v="18"/>
    <x v="18"/>
    <x v="5"/>
    <x v="1"/>
    <s v="REGULAR ORDER"/>
    <s v="EXCELLENT"/>
  </r>
  <r>
    <x v="19"/>
    <x v="13"/>
    <x v="1"/>
    <x v="19"/>
    <x v="1"/>
    <n v="42253.83"/>
    <x v="19"/>
    <x v="19"/>
    <x v="4"/>
    <x v="1"/>
    <s v="BULK ORDER"/>
    <s v="EXCELLENT"/>
  </r>
  <r>
    <x v="20"/>
    <x v="8"/>
    <x v="0"/>
    <x v="20"/>
    <x v="3"/>
    <n v="14622.12"/>
    <x v="20"/>
    <x v="20"/>
    <x v="3"/>
    <x v="1"/>
    <s v="REGULAR ORDER"/>
    <s v="EXCELLENT"/>
  </r>
  <r>
    <x v="21"/>
    <x v="3"/>
    <x v="0"/>
    <x v="21"/>
    <x v="3"/>
    <n v="27396.01"/>
    <x v="21"/>
    <x v="21"/>
    <x v="0"/>
    <x v="1"/>
    <s v="REGULAR ORDER"/>
    <s v="EXCELLENT"/>
  </r>
  <r>
    <x v="22"/>
    <x v="0"/>
    <x v="0"/>
    <x v="22"/>
    <x v="1"/>
    <n v="12242.34"/>
    <x v="22"/>
    <x v="22"/>
    <x v="3"/>
    <x v="1"/>
    <s v="BULK ORDER"/>
    <s v="EXCELLENT"/>
  </r>
  <r>
    <x v="23"/>
    <x v="2"/>
    <x v="2"/>
    <x v="23"/>
    <x v="4"/>
    <n v="80874.799999999988"/>
    <x v="23"/>
    <x v="23"/>
    <x v="3"/>
    <x v="1"/>
    <s v="BULK ORDER"/>
    <s v="EXCELLENT"/>
  </r>
  <r>
    <x v="24"/>
    <x v="14"/>
    <x v="3"/>
    <x v="24"/>
    <x v="3"/>
    <n v="31265.89"/>
    <x v="24"/>
    <x v="24"/>
    <x v="1"/>
    <x v="1"/>
    <s v="REGULAR ORDER"/>
    <s v="EXCELLENT"/>
  </r>
  <r>
    <x v="25"/>
    <x v="5"/>
    <x v="1"/>
    <x v="25"/>
    <x v="0"/>
    <n v="131455.51999999999"/>
    <x v="25"/>
    <x v="25"/>
    <x v="4"/>
    <x v="1"/>
    <s v="BULK ORDER"/>
    <s v="EXCELLENT"/>
  </r>
  <r>
    <x v="26"/>
    <x v="15"/>
    <x v="4"/>
    <x v="26"/>
    <x v="0"/>
    <n v="3517"/>
    <x v="26"/>
    <x v="26"/>
    <x v="4"/>
    <x v="1"/>
    <s v="BULK ORDER"/>
    <s v="EXCELLENT"/>
  </r>
  <r>
    <x v="27"/>
    <x v="7"/>
    <x v="2"/>
    <x v="27"/>
    <x v="4"/>
    <n v="45949.55"/>
    <x v="27"/>
    <x v="27"/>
    <x v="4"/>
    <x v="1"/>
    <s v="BULK ORDER"/>
    <s v="EXCELLENT"/>
  </r>
  <r>
    <x v="28"/>
    <x v="0"/>
    <x v="0"/>
    <x v="28"/>
    <x v="1"/>
    <n v="136163.97"/>
    <x v="28"/>
    <x v="10"/>
    <x v="0"/>
    <x v="2"/>
    <s v="BULK ORDER"/>
    <s v="EXCELLENT"/>
  </r>
  <r>
    <x v="29"/>
    <x v="16"/>
    <x v="0"/>
    <x v="29"/>
    <x v="4"/>
    <n v="217610.40000000002"/>
    <x v="29"/>
    <x v="28"/>
    <x v="0"/>
    <x v="2"/>
    <s v="BULK ORDER"/>
    <s v="EXCELLENT"/>
  </r>
  <r>
    <x v="30"/>
    <x v="17"/>
    <x v="4"/>
    <x v="30"/>
    <x v="1"/>
    <n v="77006.880000000005"/>
    <x v="30"/>
    <x v="29"/>
    <x v="5"/>
    <x v="2"/>
    <s v="BULK ORDER"/>
    <s v="EXCELLENT"/>
  </r>
  <r>
    <x v="31"/>
    <x v="11"/>
    <x v="2"/>
    <x v="31"/>
    <x v="1"/>
    <n v="93178.41"/>
    <x v="31"/>
    <x v="30"/>
    <x v="4"/>
    <x v="2"/>
    <s v="BULK ORDER"/>
    <s v="EXCELLENT"/>
  </r>
  <r>
    <x v="32"/>
    <x v="18"/>
    <x v="3"/>
    <x v="32"/>
    <x v="1"/>
    <n v="6774.8099999999995"/>
    <x v="32"/>
    <x v="31"/>
    <x v="4"/>
    <x v="2"/>
    <s v="BULK ORDER"/>
    <s v="EXCELLENT"/>
  </r>
  <r>
    <x v="33"/>
    <x v="17"/>
    <x v="4"/>
    <x v="33"/>
    <x v="2"/>
    <n v="82245.62"/>
    <x v="33"/>
    <x v="32"/>
    <x v="2"/>
    <x v="2"/>
    <s v="REGULAR ORDER"/>
    <s v="EXCELLENT"/>
  </r>
  <r>
    <x v="34"/>
    <x v="16"/>
    <x v="0"/>
    <x v="34"/>
    <x v="1"/>
    <n v="2270.5500000000002"/>
    <x v="34"/>
    <x v="33"/>
    <x v="1"/>
    <x v="2"/>
    <s v="BULK ORDER"/>
    <s v="EXCELLENT"/>
  </r>
  <r>
    <x v="35"/>
    <x v="19"/>
    <x v="2"/>
    <x v="35"/>
    <x v="3"/>
    <n v="24012.7"/>
    <x v="35"/>
    <x v="34"/>
    <x v="3"/>
    <x v="2"/>
    <s v="REGULAR ORDER"/>
    <s v="EXCELLENT"/>
  </r>
  <r>
    <x v="36"/>
    <x v="14"/>
    <x v="3"/>
    <x v="36"/>
    <x v="0"/>
    <n v="127172.36"/>
    <x v="36"/>
    <x v="23"/>
    <x v="0"/>
    <x v="2"/>
    <s v="BULK ORDER"/>
    <s v="EXCELLENT"/>
  </r>
  <r>
    <x v="37"/>
    <x v="18"/>
    <x v="3"/>
    <x v="37"/>
    <x v="4"/>
    <n v="143034.29999999999"/>
    <x v="37"/>
    <x v="35"/>
    <x v="1"/>
    <x v="2"/>
    <s v="BULK ORDER"/>
    <s v="EXCELLENT"/>
  </r>
  <r>
    <x v="38"/>
    <x v="13"/>
    <x v="1"/>
    <x v="38"/>
    <x v="4"/>
    <n v="1092.9000000000001"/>
    <x v="38"/>
    <x v="0"/>
    <x v="4"/>
    <x v="2"/>
    <s v="BULK ORDER"/>
    <s v="EXCELLENT"/>
  </r>
  <r>
    <x v="39"/>
    <x v="20"/>
    <x v="1"/>
    <x v="39"/>
    <x v="4"/>
    <n v="150611.4"/>
    <x v="39"/>
    <x v="36"/>
    <x v="1"/>
    <x v="2"/>
    <s v="BULK ORDER"/>
    <s v="EXCELLENT"/>
  </r>
  <r>
    <x v="40"/>
    <x v="1"/>
    <x v="1"/>
    <x v="40"/>
    <x v="3"/>
    <n v="23005.86"/>
    <x v="40"/>
    <x v="37"/>
    <x v="3"/>
    <x v="2"/>
    <s v="REGULAR ORDER"/>
    <s v="EXCELLENT"/>
  </r>
  <r>
    <x v="41"/>
    <x v="14"/>
    <x v="3"/>
    <x v="41"/>
    <x v="4"/>
    <n v="153288.20000000001"/>
    <x v="41"/>
    <x v="32"/>
    <x v="2"/>
    <x v="2"/>
    <s v="BULK ORDER"/>
    <s v="EXCELLENT"/>
  </r>
  <r>
    <x v="42"/>
    <x v="7"/>
    <x v="2"/>
    <x v="42"/>
    <x v="1"/>
    <n v="17927.670000000002"/>
    <x v="42"/>
    <x v="38"/>
    <x v="1"/>
    <x v="2"/>
    <s v="BULK ORDER"/>
    <s v="EXCELLENT"/>
  </r>
  <r>
    <x v="43"/>
    <x v="3"/>
    <x v="0"/>
    <x v="43"/>
    <x v="0"/>
    <n v="101152.8"/>
    <x v="43"/>
    <x v="39"/>
    <x v="5"/>
    <x v="2"/>
    <s v="BULK ORDER"/>
    <s v="EXCELLENT"/>
  </r>
  <r>
    <x v="44"/>
    <x v="7"/>
    <x v="2"/>
    <x v="44"/>
    <x v="0"/>
    <n v="30731.919999999998"/>
    <x v="44"/>
    <x v="39"/>
    <x v="0"/>
    <x v="2"/>
    <s v="BULK ORDER"/>
    <s v="EXCELLENT"/>
  </r>
  <r>
    <x v="45"/>
    <x v="13"/>
    <x v="1"/>
    <x v="45"/>
    <x v="3"/>
    <n v="24151.49"/>
    <x v="45"/>
    <x v="40"/>
    <x v="1"/>
    <x v="2"/>
    <s v="REGULAR ORDER"/>
    <s v="EXCELLENT"/>
  </r>
  <r>
    <x v="46"/>
    <x v="9"/>
    <x v="2"/>
    <x v="46"/>
    <x v="3"/>
    <n v="7761.67"/>
    <x v="46"/>
    <x v="41"/>
    <x v="1"/>
    <x v="2"/>
    <s v="REGULAR ORDER"/>
    <s v="EXCELLENT"/>
  </r>
  <r>
    <x v="47"/>
    <x v="9"/>
    <x v="2"/>
    <x v="47"/>
    <x v="2"/>
    <n v="74683.899999999994"/>
    <x v="47"/>
    <x v="40"/>
    <x v="5"/>
    <x v="2"/>
    <s v="REGULAR ORDER"/>
    <s v="EXCELLENT"/>
  </r>
  <r>
    <x v="48"/>
    <x v="9"/>
    <x v="2"/>
    <x v="48"/>
    <x v="4"/>
    <n v="199210.75"/>
    <x v="48"/>
    <x v="42"/>
    <x v="5"/>
    <x v="2"/>
    <s v="BULK ORDER"/>
    <s v="EXCELLENT"/>
  </r>
  <r>
    <x v="49"/>
    <x v="4"/>
    <x v="3"/>
    <x v="49"/>
    <x v="1"/>
    <n v="104533.62"/>
    <x v="49"/>
    <x v="43"/>
    <x v="3"/>
    <x v="2"/>
    <s v="BULK ORDER"/>
    <s v="EXCELLENT"/>
  </r>
  <r>
    <x v="50"/>
    <x v="21"/>
    <x v="4"/>
    <x v="50"/>
    <x v="4"/>
    <n v="147962.5"/>
    <x v="50"/>
    <x v="44"/>
    <x v="2"/>
    <x v="3"/>
    <s v="BULK ORDER"/>
    <s v="EXCELLENT"/>
  </r>
  <r>
    <x v="51"/>
    <x v="14"/>
    <x v="3"/>
    <x v="51"/>
    <x v="3"/>
    <n v="23621.02"/>
    <x v="51"/>
    <x v="45"/>
    <x v="4"/>
    <x v="3"/>
    <s v="REGULAR ORDER"/>
    <s v="EXCELLENT"/>
  </r>
  <r>
    <x v="52"/>
    <x v="22"/>
    <x v="3"/>
    <x v="52"/>
    <x v="0"/>
    <n v="140132.48000000001"/>
    <x v="52"/>
    <x v="46"/>
    <x v="1"/>
    <x v="3"/>
    <s v="BULK ORDER"/>
    <s v="EXCELLENT"/>
  </r>
  <r>
    <x v="53"/>
    <x v="7"/>
    <x v="2"/>
    <x v="53"/>
    <x v="4"/>
    <n v="149412.35"/>
    <x v="53"/>
    <x v="47"/>
    <x v="4"/>
    <x v="3"/>
    <s v="BULK ORDER"/>
    <s v="EXCELLENT"/>
  </r>
  <r>
    <x v="54"/>
    <x v="20"/>
    <x v="1"/>
    <x v="54"/>
    <x v="0"/>
    <n v="73707.600000000006"/>
    <x v="54"/>
    <x v="48"/>
    <x v="5"/>
    <x v="3"/>
    <s v="BULK ORDER"/>
    <s v="EXCELLENT"/>
  </r>
  <r>
    <x v="55"/>
    <x v="20"/>
    <x v="1"/>
    <x v="55"/>
    <x v="2"/>
    <n v="65261.66"/>
    <x v="55"/>
    <x v="49"/>
    <x v="1"/>
    <x v="3"/>
    <s v="REGULAR ORDER"/>
    <s v="EXCELLENT"/>
  </r>
  <r>
    <x v="56"/>
    <x v="1"/>
    <x v="1"/>
    <x v="56"/>
    <x v="4"/>
    <n v="19779.3"/>
    <x v="56"/>
    <x v="50"/>
    <x v="2"/>
    <x v="3"/>
    <s v="BULK ORDER"/>
    <s v="EXCELLENT"/>
  </r>
  <r>
    <x v="57"/>
    <x v="14"/>
    <x v="3"/>
    <x v="57"/>
    <x v="4"/>
    <n v="225095"/>
    <x v="57"/>
    <x v="51"/>
    <x v="0"/>
    <x v="3"/>
    <s v="BULK ORDER"/>
    <s v="EXCELLENT"/>
  </r>
  <r>
    <x v="58"/>
    <x v="13"/>
    <x v="1"/>
    <x v="58"/>
    <x v="1"/>
    <n v="51487.92"/>
    <x v="58"/>
    <x v="52"/>
    <x v="0"/>
    <x v="3"/>
    <s v="BULK ORDER"/>
    <s v="EXCELLENT"/>
  </r>
  <r>
    <x v="59"/>
    <x v="22"/>
    <x v="3"/>
    <x v="59"/>
    <x v="1"/>
    <n v="135336.72"/>
    <x v="59"/>
    <x v="53"/>
    <x v="4"/>
    <x v="3"/>
    <s v="BULK ORDER"/>
    <s v="EXCELLENT"/>
  </r>
  <r>
    <x v="60"/>
    <x v="14"/>
    <x v="3"/>
    <x v="60"/>
    <x v="4"/>
    <n v="111133.79999999999"/>
    <x v="60"/>
    <x v="54"/>
    <x v="5"/>
    <x v="3"/>
    <s v="BULK ORDER"/>
    <s v="EXCELLENT"/>
  </r>
  <r>
    <x v="61"/>
    <x v="8"/>
    <x v="0"/>
    <x v="61"/>
    <x v="1"/>
    <n v="36372.57"/>
    <x v="61"/>
    <x v="55"/>
    <x v="5"/>
    <x v="3"/>
    <s v="BULK ORDER"/>
    <s v="EXCELLENT"/>
  </r>
  <r>
    <x v="62"/>
    <x v="15"/>
    <x v="4"/>
    <x v="62"/>
    <x v="2"/>
    <n v="20770.48"/>
    <x v="62"/>
    <x v="56"/>
    <x v="1"/>
    <x v="3"/>
    <s v="REGULAR ORDER"/>
    <s v="EXCELLENT"/>
  </r>
  <r>
    <x v="63"/>
    <x v="9"/>
    <x v="2"/>
    <x v="63"/>
    <x v="0"/>
    <n v="53681.599999999999"/>
    <x v="63"/>
    <x v="57"/>
    <x v="0"/>
    <x v="3"/>
    <s v="BULK ORDER"/>
    <s v="EXCELLENT"/>
  </r>
  <r>
    <x v="64"/>
    <x v="3"/>
    <x v="0"/>
    <x v="64"/>
    <x v="4"/>
    <n v="5056.1000000000004"/>
    <x v="64"/>
    <x v="58"/>
    <x v="2"/>
    <x v="3"/>
    <s v="BULK ORDER"/>
    <s v="EXCELLENT"/>
  </r>
  <r>
    <x v="65"/>
    <x v="20"/>
    <x v="1"/>
    <x v="65"/>
    <x v="1"/>
    <n v="86182.200000000012"/>
    <x v="65"/>
    <x v="59"/>
    <x v="0"/>
    <x v="3"/>
    <s v="BULK ORDER"/>
    <s v="EXCELLENT"/>
  </r>
  <r>
    <x v="66"/>
    <x v="23"/>
    <x v="4"/>
    <x v="66"/>
    <x v="2"/>
    <n v="84815.039999999994"/>
    <x v="66"/>
    <x v="60"/>
    <x v="5"/>
    <x v="3"/>
    <s v="REGULAR ORDER"/>
    <s v="EXCELLENT"/>
  </r>
  <r>
    <x v="67"/>
    <x v="21"/>
    <x v="4"/>
    <x v="67"/>
    <x v="1"/>
    <n v="102071.88"/>
    <x v="67"/>
    <x v="61"/>
    <x v="3"/>
    <x v="4"/>
    <s v="BULK ORDER"/>
    <s v="EXCELLENT"/>
  </r>
  <r>
    <x v="68"/>
    <x v="21"/>
    <x v="4"/>
    <x v="68"/>
    <x v="3"/>
    <n v="3979.4"/>
    <x v="68"/>
    <x v="40"/>
    <x v="5"/>
    <x v="4"/>
    <s v="REGULAR ORDER"/>
    <s v="EXCELLENT"/>
  </r>
  <r>
    <x v="69"/>
    <x v="3"/>
    <x v="0"/>
    <x v="69"/>
    <x v="3"/>
    <n v="3848.54"/>
    <x v="69"/>
    <x v="41"/>
    <x v="2"/>
    <x v="4"/>
    <s v="REGULAR ORDER"/>
    <s v="EXCELLENT"/>
  </r>
  <r>
    <x v="70"/>
    <x v="7"/>
    <x v="2"/>
    <x v="70"/>
    <x v="0"/>
    <n v="170133.04"/>
    <x v="70"/>
    <x v="62"/>
    <x v="5"/>
    <x v="4"/>
    <s v="BULK ORDER"/>
    <s v="EXCELLENT"/>
  </r>
  <r>
    <x v="71"/>
    <x v="19"/>
    <x v="2"/>
    <x v="71"/>
    <x v="0"/>
    <n v="65794.960000000006"/>
    <x v="71"/>
    <x v="63"/>
    <x v="2"/>
    <x v="4"/>
    <s v="BULK ORDER"/>
    <s v="EXCELLENT"/>
  </r>
  <r>
    <x v="72"/>
    <x v="13"/>
    <x v="1"/>
    <x v="72"/>
    <x v="1"/>
    <n v="14804.97"/>
    <x v="72"/>
    <x v="64"/>
    <x v="3"/>
    <x v="4"/>
    <s v="BULK ORDER"/>
    <s v="EXCELLENT"/>
  </r>
  <r>
    <x v="73"/>
    <x v="9"/>
    <x v="2"/>
    <x v="73"/>
    <x v="1"/>
    <n v="40825.74"/>
    <x v="73"/>
    <x v="65"/>
    <x v="1"/>
    <x v="4"/>
    <s v="BULK ORDER"/>
    <s v="EXCELLENT"/>
  </r>
  <r>
    <x v="74"/>
    <x v="12"/>
    <x v="1"/>
    <x v="74"/>
    <x v="2"/>
    <n v="82810.740000000005"/>
    <x v="74"/>
    <x v="66"/>
    <x v="4"/>
    <x v="4"/>
    <s v="REGULAR ORDER"/>
    <s v="EXCELLENT"/>
  </r>
  <r>
    <x v="75"/>
    <x v="20"/>
    <x v="1"/>
    <x v="75"/>
    <x v="3"/>
    <n v="36114.379999999997"/>
    <x v="75"/>
    <x v="38"/>
    <x v="2"/>
    <x v="4"/>
    <s v="REGULAR ORDER"/>
    <s v="EXCELLENT"/>
  </r>
  <r>
    <x v="76"/>
    <x v="9"/>
    <x v="2"/>
    <x v="76"/>
    <x v="1"/>
    <n v="14971.98"/>
    <x v="76"/>
    <x v="67"/>
    <x v="4"/>
    <x v="4"/>
    <s v="BULK ORDER"/>
    <s v="EXCELLENT"/>
  </r>
  <r>
    <x v="77"/>
    <x v="24"/>
    <x v="4"/>
    <x v="77"/>
    <x v="2"/>
    <n v="38268.519999999997"/>
    <x v="77"/>
    <x v="68"/>
    <x v="0"/>
    <x v="4"/>
    <s v="REGULAR ORDER"/>
    <s v="EXCELLENT"/>
  </r>
  <r>
    <x v="78"/>
    <x v="4"/>
    <x v="3"/>
    <x v="78"/>
    <x v="3"/>
    <n v="14014.82"/>
    <x v="78"/>
    <x v="69"/>
    <x v="3"/>
    <x v="4"/>
    <s v="REGULAR ORDER"/>
    <s v="EXCELLENT"/>
  </r>
  <r>
    <x v="79"/>
    <x v="5"/>
    <x v="1"/>
    <x v="79"/>
    <x v="1"/>
    <n v="2725.41"/>
    <x v="79"/>
    <x v="70"/>
    <x v="0"/>
    <x v="4"/>
    <s v="BULK ORDER"/>
    <s v="EXCELLENT"/>
  </r>
  <r>
    <x v="80"/>
    <x v="24"/>
    <x v="4"/>
    <x v="80"/>
    <x v="0"/>
    <n v="171177.60000000001"/>
    <x v="80"/>
    <x v="7"/>
    <x v="0"/>
    <x v="4"/>
    <s v="BULK ORDER"/>
    <s v="EXCELLENT"/>
  </r>
  <r>
    <x v="81"/>
    <x v="21"/>
    <x v="4"/>
    <x v="81"/>
    <x v="2"/>
    <n v="71185.52"/>
    <x v="81"/>
    <x v="3"/>
    <x v="5"/>
    <x v="4"/>
    <s v="REGULAR ORDER"/>
    <s v="EXCELLENT"/>
  </r>
  <r>
    <x v="82"/>
    <x v="13"/>
    <x v="1"/>
    <x v="82"/>
    <x v="0"/>
    <n v="145718.28"/>
    <x v="82"/>
    <x v="22"/>
    <x v="3"/>
    <x v="4"/>
    <s v="BULK ORDER"/>
    <s v="EXCELLENT"/>
  </r>
  <r>
    <x v="83"/>
    <x v="22"/>
    <x v="3"/>
    <x v="83"/>
    <x v="0"/>
    <n v="119101.72"/>
    <x v="83"/>
    <x v="71"/>
    <x v="5"/>
    <x v="4"/>
    <s v="BULK ORDER"/>
    <s v="EXCELLENT"/>
  </r>
  <r>
    <x v="84"/>
    <x v="22"/>
    <x v="3"/>
    <x v="84"/>
    <x v="0"/>
    <n v="22957.200000000001"/>
    <x v="84"/>
    <x v="72"/>
    <x v="3"/>
    <x v="4"/>
    <s v="BULK ORDER"/>
    <s v="EXCELLENT"/>
  </r>
  <r>
    <x v="85"/>
    <x v="12"/>
    <x v="1"/>
    <x v="85"/>
    <x v="0"/>
    <n v="101618.72"/>
    <x v="85"/>
    <x v="73"/>
    <x v="3"/>
    <x v="4"/>
    <s v="BULK ORDER"/>
    <s v="EXCELLENT"/>
  </r>
  <r>
    <x v="86"/>
    <x v="13"/>
    <x v="1"/>
    <x v="86"/>
    <x v="4"/>
    <n v="82901.200000000012"/>
    <x v="86"/>
    <x v="74"/>
    <x v="2"/>
    <x v="4"/>
    <s v="BULK ORDER"/>
    <s v="EXCELLENT"/>
  </r>
  <r>
    <x v="87"/>
    <x v="17"/>
    <x v="4"/>
    <x v="87"/>
    <x v="2"/>
    <n v="15347.24"/>
    <x v="87"/>
    <x v="75"/>
    <x v="0"/>
    <x v="4"/>
    <s v="REGULAR ORDER"/>
    <s v="EXCELLENT"/>
  </r>
  <r>
    <x v="88"/>
    <x v="20"/>
    <x v="1"/>
    <x v="88"/>
    <x v="4"/>
    <n v="157154.69999999998"/>
    <x v="88"/>
    <x v="76"/>
    <x v="5"/>
    <x v="4"/>
    <s v="BULK ORDER"/>
    <s v="EXCELLENT"/>
  </r>
  <r>
    <x v="89"/>
    <x v="2"/>
    <x v="2"/>
    <x v="89"/>
    <x v="0"/>
    <n v="86682.08"/>
    <x v="89"/>
    <x v="77"/>
    <x v="0"/>
    <x v="4"/>
    <s v="BULK ORDER"/>
    <s v="EXCELLENT"/>
  </r>
  <r>
    <x v="90"/>
    <x v="2"/>
    <x v="2"/>
    <x v="90"/>
    <x v="2"/>
    <n v="68920.86"/>
    <x v="90"/>
    <x v="78"/>
    <x v="0"/>
    <x v="4"/>
    <s v="REGULAR ORDER"/>
    <s v="EXCELLENT"/>
  </r>
  <r>
    <x v="91"/>
    <x v="24"/>
    <x v="4"/>
    <x v="91"/>
    <x v="4"/>
    <n v="45226.149999999994"/>
    <x v="91"/>
    <x v="79"/>
    <x v="0"/>
    <x v="4"/>
    <s v="BULK ORDER"/>
    <s v="EXCELLENT"/>
  </r>
  <r>
    <x v="92"/>
    <x v="1"/>
    <x v="1"/>
    <x v="92"/>
    <x v="1"/>
    <n v="51761.009999999995"/>
    <x v="92"/>
    <x v="80"/>
    <x v="5"/>
    <x v="4"/>
    <s v="BULK ORDER"/>
    <s v="EXCELLENT"/>
  </r>
  <r>
    <x v="93"/>
    <x v="13"/>
    <x v="1"/>
    <x v="93"/>
    <x v="3"/>
    <n v="47529.36"/>
    <x v="93"/>
    <x v="81"/>
    <x v="2"/>
    <x v="5"/>
    <s v="REGULAR ORDER"/>
    <s v="EXCELLENT"/>
  </r>
  <r>
    <x v="94"/>
    <x v="2"/>
    <x v="2"/>
    <x v="94"/>
    <x v="0"/>
    <n v="5565.96"/>
    <x v="94"/>
    <x v="82"/>
    <x v="3"/>
    <x v="5"/>
    <s v="BULK ORDER"/>
    <s v="EXCELLENT"/>
  </r>
  <r>
    <x v="95"/>
    <x v="23"/>
    <x v="4"/>
    <x v="95"/>
    <x v="0"/>
    <n v="65874.36"/>
    <x v="95"/>
    <x v="31"/>
    <x v="2"/>
    <x v="5"/>
    <s v="BULK ORDER"/>
    <s v="EXCELLENT"/>
  </r>
  <r>
    <x v="96"/>
    <x v="2"/>
    <x v="2"/>
    <x v="96"/>
    <x v="1"/>
    <n v="68243.459999999992"/>
    <x v="96"/>
    <x v="83"/>
    <x v="5"/>
    <x v="5"/>
    <s v="BULK ORDER"/>
    <s v="EXCELLENT"/>
  </r>
  <r>
    <x v="97"/>
    <x v="22"/>
    <x v="3"/>
    <x v="97"/>
    <x v="1"/>
    <n v="56717.819999999992"/>
    <x v="97"/>
    <x v="84"/>
    <x v="1"/>
    <x v="5"/>
    <s v="BULK ORDER"/>
    <s v="EXCELLENT"/>
  </r>
  <r>
    <x v="98"/>
    <x v="8"/>
    <x v="0"/>
    <x v="98"/>
    <x v="1"/>
    <n v="15381.060000000001"/>
    <x v="98"/>
    <x v="85"/>
    <x v="5"/>
    <x v="5"/>
    <s v="BULK ORDER"/>
    <s v="EXCELLENT"/>
  </r>
  <r>
    <x v="99"/>
    <x v="23"/>
    <x v="4"/>
    <x v="99"/>
    <x v="3"/>
    <n v="27827.66"/>
    <x v="99"/>
    <x v="50"/>
    <x v="0"/>
    <x v="5"/>
    <s v="REGULAR ORDER"/>
    <s v="EXCELLENT"/>
  </r>
  <r>
    <x v="100"/>
    <x v="14"/>
    <x v="3"/>
    <x v="100"/>
    <x v="2"/>
    <n v="50070.92"/>
    <x v="100"/>
    <x v="86"/>
    <x v="5"/>
    <x v="5"/>
    <s v="REGULAR ORDER"/>
    <s v="EXCELLENT"/>
  </r>
  <r>
    <x v="101"/>
    <x v="14"/>
    <x v="3"/>
    <x v="101"/>
    <x v="0"/>
    <n v="174845.8"/>
    <x v="101"/>
    <x v="87"/>
    <x v="4"/>
    <x v="5"/>
    <s v="BULK ORDER"/>
    <s v="EXCELLENT"/>
  </r>
  <r>
    <x v="102"/>
    <x v="18"/>
    <x v="3"/>
    <x v="102"/>
    <x v="1"/>
    <n v="44914.350000000006"/>
    <x v="102"/>
    <x v="88"/>
    <x v="1"/>
    <x v="5"/>
    <s v="BULK ORDER"/>
    <s v="EXCELLENT"/>
  </r>
  <r>
    <x v="103"/>
    <x v="1"/>
    <x v="1"/>
    <x v="103"/>
    <x v="2"/>
    <n v="24490.240000000002"/>
    <x v="103"/>
    <x v="89"/>
    <x v="0"/>
    <x v="5"/>
    <s v="REGULAR ORDER"/>
    <s v="EXCELLENT"/>
  </r>
  <r>
    <x v="104"/>
    <x v="12"/>
    <x v="1"/>
    <x v="104"/>
    <x v="2"/>
    <n v="17727.939999999999"/>
    <x v="104"/>
    <x v="43"/>
    <x v="1"/>
    <x v="5"/>
    <s v="REGULAR ORDER"/>
    <s v="EXCELLENT"/>
  </r>
  <r>
    <x v="105"/>
    <x v="12"/>
    <x v="1"/>
    <x v="105"/>
    <x v="1"/>
    <n v="147157.29"/>
    <x v="105"/>
    <x v="74"/>
    <x v="5"/>
    <x v="5"/>
    <s v="BULK ORDER"/>
    <s v="EXCELLENT"/>
  </r>
  <r>
    <x v="106"/>
    <x v="8"/>
    <x v="0"/>
    <x v="106"/>
    <x v="1"/>
    <n v="96235.44"/>
    <x v="106"/>
    <x v="90"/>
    <x v="3"/>
    <x v="5"/>
    <s v="BULK ORDER"/>
    <s v="EXCELLENT"/>
  </r>
  <r>
    <x v="107"/>
    <x v="10"/>
    <x v="3"/>
    <x v="107"/>
    <x v="2"/>
    <n v="38437.1"/>
    <x v="107"/>
    <x v="83"/>
    <x v="4"/>
    <x v="5"/>
    <s v="REGULAR ORDER"/>
    <s v="EXCELLENT"/>
  </r>
  <r>
    <x v="108"/>
    <x v="19"/>
    <x v="2"/>
    <x v="108"/>
    <x v="0"/>
    <n v="2271.2399999999998"/>
    <x v="108"/>
    <x v="42"/>
    <x v="4"/>
    <x v="5"/>
    <s v="BULK ORDER"/>
    <s v="EXCELLENT"/>
  </r>
  <r>
    <x v="109"/>
    <x v="2"/>
    <x v="2"/>
    <x v="109"/>
    <x v="4"/>
    <n v="33527.15"/>
    <x v="109"/>
    <x v="38"/>
    <x v="4"/>
    <x v="5"/>
    <s v="BULK ORDER"/>
    <s v="EXCELLENT"/>
  </r>
  <r>
    <x v="110"/>
    <x v="17"/>
    <x v="4"/>
    <x v="110"/>
    <x v="0"/>
    <n v="85670.88"/>
    <x v="110"/>
    <x v="91"/>
    <x v="5"/>
    <x v="5"/>
    <s v="BULK ORDER"/>
    <s v="EXCELLENT"/>
  </r>
  <r>
    <x v="111"/>
    <x v="5"/>
    <x v="1"/>
    <x v="111"/>
    <x v="3"/>
    <n v="19376.32"/>
    <x v="111"/>
    <x v="92"/>
    <x v="1"/>
    <x v="5"/>
    <s v="REGULAR ORDER"/>
    <s v="EXCELLENT"/>
  </r>
  <r>
    <x v="112"/>
    <x v="13"/>
    <x v="1"/>
    <x v="112"/>
    <x v="3"/>
    <n v="22430.51"/>
    <x v="112"/>
    <x v="93"/>
    <x v="3"/>
    <x v="5"/>
    <s v="REGULAR ORDER"/>
    <s v="EXCELLENT"/>
  </r>
  <r>
    <x v="113"/>
    <x v="9"/>
    <x v="2"/>
    <x v="113"/>
    <x v="3"/>
    <n v="25282.52"/>
    <x v="113"/>
    <x v="94"/>
    <x v="3"/>
    <x v="5"/>
    <s v="REGULAR ORDER"/>
    <s v="EXCELLENT"/>
  </r>
  <r>
    <x v="114"/>
    <x v="12"/>
    <x v="1"/>
    <x v="114"/>
    <x v="0"/>
    <n v="164003.64000000001"/>
    <x v="114"/>
    <x v="28"/>
    <x v="1"/>
    <x v="5"/>
    <s v="BULK ORDER"/>
    <s v="EXCELLENT"/>
  </r>
  <r>
    <x v="115"/>
    <x v="18"/>
    <x v="3"/>
    <x v="115"/>
    <x v="4"/>
    <n v="177532.5"/>
    <x v="115"/>
    <x v="60"/>
    <x v="1"/>
    <x v="5"/>
    <s v="BULK ORDER"/>
    <s v="EXCELLENT"/>
  </r>
  <r>
    <x v="116"/>
    <x v="16"/>
    <x v="0"/>
    <x v="116"/>
    <x v="1"/>
    <n v="149507.54999999999"/>
    <x v="116"/>
    <x v="95"/>
    <x v="3"/>
    <x v="5"/>
    <s v="BULK ORDER"/>
    <s v="EXCELLENT"/>
  </r>
  <r>
    <x v="117"/>
    <x v="12"/>
    <x v="1"/>
    <x v="117"/>
    <x v="0"/>
    <n v="110029.44"/>
    <x v="117"/>
    <x v="96"/>
    <x v="3"/>
    <x v="5"/>
    <s v="BULK ORDER"/>
    <s v="EXCELLENT"/>
  </r>
  <r>
    <x v="118"/>
    <x v="16"/>
    <x v="0"/>
    <x v="118"/>
    <x v="0"/>
    <n v="44368.76"/>
    <x v="118"/>
    <x v="97"/>
    <x v="5"/>
    <x v="6"/>
    <s v="BULK ORDER"/>
    <s v="AVERAGE"/>
  </r>
  <r>
    <x v="119"/>
    <x v="15"/>
    <x v="4"/>
    <x v="119"/>
    <x v="4"/>
    <n v="162828.85"/>
    <x v="119"/>
    <x v="98"/>
    <x v="0"/>
    <x v="6"/>
    <s v="BULK ORDER"/>
    <s v="AVERAGE"/>
  </r>
  <r>
    <x v="120"/>
    <x v="1"/>
    <x v="1"/>
    <x v="120"/>
    <x v="0"/>
    <n v="137173.51999999999"/>
    <x v="120"/>
    <x v="99"/>
    <x v="2"/>
    <x v="6"/>
    <s v="BULK ORDER"/>
    <s v="AVERAGE"/>
  </r>
  <r>
    <x v="121"/>
    <x v="2"/>
    <x v="2"/>
    <x v="121"/>
    <x v="3"/>
    <n v="42715.55"/>
    <x v="121"/>
    <x v="100"/>
    <x v="3"/>
    <x v="6"/>
    <s v="REGULAR ORDER"/>
    <s v="AVERAGE"/>
  </r>
  <r>
    <x v="122"/>
    <x v="10"/>
    <x v="3"/>
    <x v="122"/>
    <x v="1"/>
    <n v="73500.149999999994"/>
    <x v="122"/>
    <x v="101"/>
    <x v="3"/>
    <x v="6"/>
    <s v="BULK ORDER"/>
    <s v="AVERAGE"/>
  </r>
  <r>
    <x v="123"/>
    <x v="16"/>
    <x v="0"/>
    <x v="123"/>
    <x v="1"/>
    <n v="96850.74"/>
    <x v="123"/>
    <x v="20"/>
    <x v="0"/>
    <x v="6"/>
    <s v="BULK ORDER"/>
    <s v="AVERAGE"/>
  </r>
  <r>
    <x v="124"/>
    <x v="14"/>
    <x v="3"/>
    <x v="124"/>
    <x v="0"/>
    <n v="132084.4"/>
    <x v="124"/>
    <x v="102"/>
    <x v="5"/>
    <x v="6"/>
    <s v="BULK ORDER"/>
    <s v="AVERAGE"/>
  </r>
  <r>
    <x v="125"/>
    <x v="7"/>
    <x v="2"/>
    <x v="125"/>
    <x v="1"/>
    <n v="128643.09"/>
    <x v="125"/>
    <x v="103"/>
    <x v="2"/>
    <x v="6"/>
    <s v="BULK ORDER"/>
    <s v="AVERAGE"/>
  </r>
  <r>
    <x v="126"/>
    <x v="22"/>
    <x v="3"/>
    <x v="126"/>
    <x v="2"/>
    <n v="75156.92"/>
    <x v="126"/>
    <x v="29"/>
    <x v="2"/>
    <x v="6"/>
    <s v="REGULAR ORDER"/>
    <s v="AVERAGE"/>
  </r>
  <r>
    <x v="127"/>
    <x v="18"/>
    <x v="3"/>
    <x v="127"/>
    <x v="3"/>
    <n v="11518.23"/>
    <x v="127"/>
    <x v="36"/>
    <x v="5"/>
    <x v="6"/>
    <s v="REGULAR ORDER"/>
    <s v="AVERAGE"/>
  </r>
  <r>
    <x v="128"/>
    <x v="18"/>
    <x v="3"/>
    <x v="128"/>
    <x v="3"/>
    <n v="46388.81"/>
    <x v="128"/>
    <x v="104"/>
    <x v="0"/>
    <x v="6"/>
    <s v="REGULAR ORDER"/>
    <s v="AVERAGE"/>
  </r>
  <r>
    <x v="129"/>
    <x v="21"/>
    <x v="4"/>
    <x v="129"/>
    <x v="2"/>
    <n v="31652.94"/>
    <x v="129"/>
    <x v="105"/>
    <x v="2"/>
    <x v="6"/>
    <s v="REGULAR ORDER"/>
    <s v="AVERAGE"/>
  </r>
  <r>
    <x v="130"/>
    <x v="7"/>
    <x v="2"/>
    <x v="130"/>
    <x v="4"/>
    <n v="230160.80000000002"/>
    <x v="130"/>
    <x v="106"/>
    <x v="5"/>
    <x v="6"/>
    <s v="BULK ORDER"/>
    <s v="AVERAGE"/>
  </r>
  <r>
    <x v="131"/>
    <x v="9"/>
    <x v="2"/>
    <x v="131"/>
    <x v="2"/>
    <n v="79685"/>
    <x v="131"/>
    <x v="107"/>
    <x v="5"/>
    <x v="6"/>
    <s v="REGULAR ORDER"/>
    <s v="AVERAGE"/>
  </r>
  <r>
    <x v="132"/>
    <x v="19"/>
    <x v="2"/>
    <x v="132"/>
    <x v="4"/>
    <n v="171809.8"/>
    <x v="132"/>
    <x v="56"/>
    <x v="2"/>
    <x v="6"/>
    <s v="BULK ORDER"/>
    <s v="AVERAGE"/>
  </r>
  <r>
    <x v="133"/>
    <x v="5"/>
    <x v="1"/>
    <x v="133"/>
    <x v="2"/>
    <n v="31297.7"/>
    <x v="133"/>
    <x v="41"/>
    <x v="3"/>
    <x v="6"/>
    <s v="REGULAR ORDER"/>
    <s v="AVERAGE"/>
  </r>
  <r>
    <x v="134"/>
    <x v="23"/>
    <x v="4"/>
    <x v="134"/>
    <x v="0"/>
    <n v="117243.04"/>
    <x v="134"/>
    <x v="108"/>
    <x v="4"/>
    <x v="6"/>
    <s v="BULK ORDER"/>
    <s v="AVERAGE"/>
  </r>
  <r>
    <x v="135"/>
    <x v="23"/>
    <x v="4"/>
    <x v="135"/>
    <x v="4"/>
    <n v="150781.79999999999"/>
    <x v="135"/>
    <x v="98"/>
    <x v="1"/>
    <x v="6"/>
    <s v="BULK ORDER"/>
    <s v="AVERAGE"/>
  </r>
  <r>
    <x v="136"/>
    <x v="0"/>
    <x v="0"/>
    <x v="136"/>
    <x v="3"/>
    <n v="4986.8999999999996"/>
    <x v="136"/>
    <x v="10"/>
    <x v="0"/>
    <x v="6"/>
    <s v="REGULAR ORDER"/>
    <s v="AVERAGE"/>
  </r>
  <r>
    <x v="137"/>
    <x v="22"/>
    <x v="3"/>
    <x v="137"/>
    <x v="4"/>
    <n v="217158.2"/>
    <x v="137"/>
    <x v="24"/>
    <x v="3"/>
    <x v="6"/>
    <s v="BULK ORDER"/>
    <s v="AVERAGE"/>
  </r>
  <r>
    <x v="138"/>
    <x v="4"/>
    <x v="3"/>
    <x v="138"/>
    <x v="3"/>
    <n v="37082.11"/>
    <x v="138"/>
    <x v="12"/>
    <x v="1"/>
    <x v="6"/>
    <s v="REGULAR ORDER"/>
    <s v="AVERAGE"/>
  </r>
  <r>
    <x v="139"/>
    <x v="9"/>
    <x v="2"/>
    <x v="139"/>
    <x v="3"/>
    <n v="492.53"/>
    <x v="139"/>
    <x v="86"/>
    <x v="3"/>
    <x v="6"/>
    <s v="REGULAR ORDER"/>
    <s v="AVERAGE"/>
  </r>
  <r>
    <x v="140"/>
    <x v="13"/>
    <x v="1"/>
    <x v="140"/>
    <x v="1"/>
    <n v="19024.86"/>
    <x v="140"/>
    <x v="109"/>
    <x v="3"/>
    <x v="6"/>
    <s v="BULK ORDER"/>
    <s v="AVERAGE"/>
  </r>
  <r>
    <x v="141"/>
    <x v="3"/>
    <x v="0"/>
    <x v="141"/>
    <x v="2"/>
    <n v="6306.32"/>
    <x v="141"/>
    <x v="89"/>
    <x v="2"/>
    <x v="6"/>
    <s v="REGULAR ORDER"/>
    <s v="AVERAGE"/>
  </r>
  <r>
    <x v="142"/>
    <x v="6"/>
    <x v="0"/>
    <x v="142"/>
    <x v="4"/>
    <n v="141898.75"/>
    <x v="142"/>
    <x v="46"/>
    <x v="0"/>
    <x v="6"/>
    <s v="BULK ORDER"/>
    <s v="AVERAGE"/>
  </r>
  <r>
    <x v="143"/>
    <x v="10"/>
    <x v="3"/>
    <x v="143"/>
    <x v="2"/>
    <n v="28719.46"/>
    <x v="143"/>
    <x v="47"/>
    <x v="1"/>
    <x v="6"/>
    <s v="REGULAR ORDER"/>
    <s v="AVERAGE"/>
  </r>
  <r>
    <x v="144"/>
    <x v="5"/>
    <x v="1"/>
    <x v="144"/>
    <x v="1"/>
    <n v="104465.79000000001"/>
    <x v="144"/>
    <x v="110"/>
    <x v="3"/>
    <x v="6"/>
    <s v="BULK ORDER"/>
    <s v="AVERAGE"/>
  </r>
  <r>
    <x v="145"/>
    <x v="16"/>
    <x v="0"/>
    <x v="145"/>
    <x v="4"/>
    <n v="224591.75"/>
    <x v="145"/>
    <x v="111"/>
    <x v="4"/>
    <x v="6"/>
    <s v="BULK ORDER"/>
    <s v="AVERAGE"/>
  </r>
  <r>
    <x v="146"/>
    <x v="15"/>
    <x v="4"/>
    <x v="146"/>
    <x v="1"/>
    <n v="55384.53"/>
    <x v="146"/>
    <x v="96"/>
    <x v="0"/>
    <x v="6"/>
    <s v="BULK ORDER"/>
    <s v="AVERAGE"/>
  </r>
  <r>
    <x v="147"/>
    <x v="19"/>
    <x v="2"/>
    <x v="147"/>
    <x v="4"/>
    <n v="37329.450000000004"/>
    <x v="147"/>
    <x v="112"/>
    <x v="5"/>
    <x v="6"/>
    <s v="BULK ORDER"/>
    <s v="AVERAGE"/>
  </r>
  <r>
    <x v="148"/>
    <x v="6"/>
    <x v="0"/>
    <x v="148"/>
    <x v="0"/>
    <n v="143519.16"/>
    <x v="148"/>
    <x v="113"/>
    <x v="1"/>
    <x v="6"/>
    <s v="BULK ORDER"/>
    <s v="AVERAGE"/>
  </r>
  <r>
    <x v="149"/>
    <x v="2"/>
    <x v="2"/>
    <x v="149"/>
    <x v="3"/>
    <n v="42170.48"/>
    <x v="149"/>
    <x v="114"/>
    <x v="1"/>
    <x v="6"/>
    <s v="REGULAR ORDER"/>
    <s v="AVERAGE"/>
  </r>
  <r>
    <x v="150"/>
    <x v="17"/>
    <x v="4"/>
    <x v="150"/>
    <x v="1"/>
    <n v="111389.19"/>
    <x v="150"/>
    <x v="115"/>
    <x v="4"/>
    <x v="7"/>
    <s v="BULK ORDER"/>
    <s v="AVERAGE"/>
  </r>
  <r>
    <x v="151"/>
    <x v="9"/>
    <x v="2"/>
    <x v="151"/>
    <x v="2"/>
    <n v="45110.42"/>
    <x v="151"/>
    <x v="116"/>
    <x v="1"/>
    <x v="7"/>
    <s v="REGULAR ORDER"/>
    <s v="AVERAGE"/>
  </r>
  <r>
    <x v="152"/>
    <x v="22"/>
    <x v="3"/>
    <x v="152"/>
    <x v="2"/>
    <n v="4546.0200000000004"/>
    <x v="152"/>
    <x v="117"/>
    <x v="1"/>
    <x v="7"/>
    <s v="REGULAR ORDER"/>
    <s v="AVERAGE"/>
  </r>
  <r>
    <x v="153"/>
    <x v="17"/>
    <x v="4"/>
    <x v="153"/>
    <x v="4"/>
    <n v="50297.25"/>
    <x v="153"/>
    <x v="118"/>
    <x v="0"/>
    <x v="7"/>
    <s v="BULK ORDER"/>
    <s v="AVERAGE"/>
  </r>
  <r>
    <x v="154"/>
    <x v="8"/>
    <x v="0"/>
    <x v="154"/>
    <x v="3"/>
    <n v="4820.8"/>
    <x v="154"/>
    <x v="32"/>
    <x v="4"/>
    <x v="7"/>
    <s v="REGULAR ORDER"/>
    <s v="AVERAGE"/>
  </r>
  <r>
    <x v="155"/>
    <x v="18"/>
    <x v="3"/>
    <x v="155"/>
    <x v="4"/>
    <n v="160080.54999999999"/>
    <x v="155"/>
    <x v="70"/>
    <x v="5"/>
    <x v="7"/>
    <s v="BULK ORDER"/>
    <s v="AVERAGE"/>
  </r>
  <r>
    <x v="156"/>
    <x v="5"/>
    <x v="1"/>
    <x v="156"/>
    <x v="4"/>
    <n v="166253.5"/>
    <x v="156"/>
    <x v="119"/>
    <x v="4"/>
    <x v="7"/>
    <s v="BULK ORDER"/>
    <s v="AVERAGE"/>
  </r>
  <r>
    <x v="157"/>
    <x v="9"/>
    <x v="2"/>
    <x v="157"/>
    <x v="4"/>
    <n v="7417.5"/>
    <x v="157"/>
    <x v="33"/>
    <x v="5"/>
    <x v="7"/>
    <s v="BULK ORDER"/>
    <s v="AVERAGE"/>
  </r>
  <r>
    <x v="158"/>
    <x v="14"/>
    <x v="3"/>
    <x v="158"/>
    <x v="4"/>
    <n v="83952.299999999988"/>
    <x v="158"/>
    <x v="89"/>
    <x v="2"/>
    <x v="7"/>
    <s v="BULK ORDER"/>
    <s v="AVERAGE"/>
  </r>
  <r>
    <x v="159"/>
    <x v="10"/>
    <x v="3"/>
    <x v="159"/>
    <x v="0"/>
    <n v="198345.24"/>
    <x v="159"/>
    <x v="120"/>
    <x v="1"/>
    <x v="7"/>
    <s v="BULK ORDER"/>
    <s v="AVERAGE"/>
  </r>
  <r>
    <x v="160"/>
    <x v="2"/>
    <x v="2"/>
    <x v="160"/>
    <x v="4"/>
    <n v="43224.95"/>
    <x v="160"/>
    <x v="121"/>
    <x v="5"/>
    <x v="7"/>
    <s v="BULK ORDER"/>
    <s v="AVERAGE"/>
  </r>
  <r>
    <x v="161"/>
    <x v="11"/>
    <x v="2"/>
    <x v="161"/>
    <x v="1"/>
    <n v="83543.430000000008"/>
    <x v="161"/>
    <x v="122"/>
    <x v="2"/>
    <x v="7"/>
    <s v="BULK ORDER"/>
    <s v="AVERAGE"/>
  </r>
  <r>
    <x v="162"/>
    <x v="9"/>
    <x v="2"/>
    <x v="162"/>
    <x v="1"/>
    <n v="57165.09"/>
    <x v="162"/>
    <x v="123"/>
    <x v="3"/>
    <x v="7"/>
    <s v="BULK ORDER"/>
    <s v="AVERAGE"/>
  </r>
  <r>
    <x v="163"/>
    <x v="9"/>
    <x v="2"/>
    <x v="163"/>
    <x v="1"/>
    <n v="80418.180000000008"/>
    <x v="163"/>
    <x v="124"/>
    <x v="4"/>
    <x v="7"/>
    <s v="BULK ORDER"/>
    <s v="AVERAGE"/>
  </r>
  <r>
    <x v="164"/>
    <x v="1"/>
    <x v="1"/>
    <x v="164"/>
    <x v="3"/>
    <n v="8867.7199999999993"/>
    <x v="164"/>
    <x v="125"/>
    <x v="2"/>
    <x v="7"/>
    <s v="REGULAR ORDER"/>
    <s v="AVERAGE"/>
  </r>
  <r>
    <x v="165"/>
    <x v="1"/>
    <x v="1"/>
    <x v="165"/>
    <x v="1"/>
    <n v="56397.149999999994"/>
    <x v="165"/>
    <x v="126"/>
    <x v="1"/>
    <x v="7"/>
    <s v="BULK ORDER"/>
    <s v="AVERAGE"/>
  </r>
  <r>
    <x v="166"/>
    <x v="1"/>
    <x v="1"/>
    <x v="166"/>
    <x v="4"/>
    <n v="127286.7"/>
    <x v="166"/>
    <x v="18"/>
    <x v="1"/>
    <x v="7"/>
    <s v="BULK ORDER"/>
    <s v="AVERAGE"/>
  </r>
  <r>
    <x v="167"/>
    <x v="2"/>
    <x v="2"/>
    <x v="167"/>
    <x v="0"/>
    <n v="63526.68"/>
    <x v="167"/>
    <x v="127"/>
    <x v="4"/>
    <x v="7"/>
    <s v="BULK ORDER"/>
    <s v="AVERAGE"/>
  </r>
  <r>
    <x v="168"/>
    <x v="10"/>
    <x v="3"/>
    <x v="168"/>
    <x v="3"/>
    <n v="25634.9"/>
    <x v="168"/>
    <x v="125"/>
    <x v="2"/>
    <x v="7"/>
    <s v="REGULAR ORDER"/>
    <s v="AVERAGE"/>
  </r>
  <r>
    <x v="169"/>
    <x v="15"/>
    <x v="4"/>
    <x v="169"/>
    <x v="3"/>
    <n v="36454.629999999997"/>
    <x v="169"/>
    <x v="128"/>
    <x v="1"/>
    <x v="7"/>
    <s v="REGULAR ORDER"/>
    <s v="AVERAGE"/>
  </r>
  <r>
    <x v="170"/>
    <x v="22"/>
    <x v="3"/>
    <x v="170"/>
    <x v="2"/>
    <n v="56522.2"/>
    <x v="170"/>
    <x v="129"/>
    <x v="4"/>
    <x v="7"/>
    <s v="REGULAR ORDER"/>
    <s v="AVERAGE"/>
  </r>
  <r>
    <x v="171"/>
    <x v="8"/>
    <x v="0"/>
    <x v="171"/>
    <x v="3"/>
    <n v="18179.43"/>
    <x v="171"/>
    <x v="21"/>
    <x v="4"/>
    <x v="7"/>
    <s v="REGULAR ORDER"/>
    <s v="AVERAGE"/>
  </r>
  <r>
    <x v="172"/>
    <x v="13"/>
    <x v="1"/>
    <x v="172"/>
    <x v="4"/>
    <n v="93014.25"/>
    <x v="172"/>
    <x v="130"/>
    <x v="1"/>
    <x v="7"/>
    <s v="BULK ORDER"/>
    <s v="AVERAGE"/>
  </r>
  <r>
    <x v="173"/>
    <x v="20"/>
    <x v="1"/>
    <x v="173"/>
    <x v="4"/>
    <n v="20423.099999999999"/>
    <x v="173"/>
    <x v="45"/>
    <x v="1"/>
    <x v="7"/>
    <s v="BULK ORDER"/>
    <s v="AVERAGE"/>
  </r>
  <r>
    <x v="174"/>
    <x v="16"/>
    <x v="0"/>
    <x v="174"/>
    <x v="3"/>
    <n v="26281.98"/>
    <x v="174"/>
    <x v="131"/>
    <x v="5"/>
    <x v="7"/>
    <s v="REGULAR ORDER"/>
    <s v="AVERAGE"/>
  </r>
  <r>
    <x v="175"/>
    <x v="1"/>
    <x v="1"/>
    <x v="175"/>
    <x v="1"/>
    <n v="8940.24"/>
    <x v="175"/>
    <x v="132"/>
    <x v="2"/>
    <x v="8"/>
    <s v="BULK ORDER"/>
    <s v="AVERAGE"/>
  </r>
  <r>
    <x v="176"/>
    <x v="14"/>
    <x v="3"/>
    <x v="176"/>
    <x v="3"/>
    <n v="33698.339999999997"/>
    <x v="176"/>
    <x v="133"/>
    <x v="5"/>
    <x v="8"/>
    <s v="REGULAR ORDER"/>
    <s v="AVERAGE"/>
  </r>
  <r>
    <x v="177"/>
    <x v="21"/>
    <x v="4"/>
    <x v="177"/>
    <x v="4"/>
    <n v="214070.84999999998"/>
    <x v="177"/>
    <x v="70"/>
    <x v="5"/>
    <x v="8"/>
    <s v="BULK ORDER"/>
    <s v="AVERAGE"/>
  </r>
  <r>
    <x v="178"/>
    <x v="18"/>
    <x v="3"/>
    <x v="178"/>
    <x v="1"/>
    <n v="146832.03"/>
    <x v="178"/>
    <x v="79"/>
    <x v="0"/>
    <x v="8"/>
    <s v="BULK ORDER"/>
    <s v="AVERAGE"/>
  </r>
  <r>
    <x v="179"/>
    <x v="4"/>
    <x v="3"/>
    <x v="179"/>
    <x v="1"/>
    <n v="65970.75"/>
    <x v="179"/>
    <x v="134"/>
    <x v="4"/>
    <x v="8"/>
    <s v="BULK ORDER"/>
    <s v="AVERAGE"/>
  </r>
  <r>
    <x v="180"/>
    <x v="19"/>
    <x v="2"/>
    <x v="180"/>
    <x v="1"/>
    <n v="11130.210000000001"/>
    <x v="180"/>
    <x v="135"/>
    <x v="3"/>
    <x v="8"/>
    <s v="BULK ORDER"/>
    <s v="AVERAGE"/>
  </r>
  <r>
    <x v="181"/>
    <x v="12"/>
    <x v="1"/>
    <x v="181"/>
    <x v="1"/>
    <n v="129008.04000000001"/>
    <x v="181"/>
    <x v="65"/>
    <x v="1"/>
    <x v="8"/>
    <s v="BULK ORDER"/>
    <s v="AVERAGE"/>
  </r>
  <r>
    <x v="182"/>
    <x v="15"/>
    <x v="4"/>
    <x v="182"/>
    <x v="3"/>
    <n v="40384.620000000003"/>
    <x v="182"/>
    <x v="136"/>
    <x v="1"/>
    <x v="8"/>
    <s v="REGULAR ORDER"/>
    <s v="AVERAGE"/>
  </r>
  <r>
    <x v="183"/>
    <x v="23"/>
    <x v="4"/>
    <x v="183"/>
    <x v="1"/>
    <n v="14482.47"/>
    <x v="183"/>
    <x v="137"/>
    <x v="5"/>
    <x v="8"/>
    <s v="BULK ORDER"/>
    <s v="AVERAGE"/>
  </r>
  <r>
    <x v="184"/>
    <x v="17"/>
    <x v="4"/>
    <x v="184"/>
    <x v="3"/>
    <n v="43502.85"/>
    <x v="184"/>
    <x v="138"/>
    <x v="2"/>
    <x v="8"/>
    <s v="REGULAR ORDER"/>
    <s v="AVERAGE"/>
  </r>
  <r>
    <x v="185"/>
    <x v="9"/>
    <x v="2"/>
    <x v="185"/>
    <x v="4"/>
    <n v="168217.5"/>
    <x v="185"/>
    <x v="17"/>
    <x v="1"/>
    <x v="8"/>
    <s v="BULK ORDER"/>
    <s v="AVERAGE"/>
  </r>
  <r>
    <x v="186"/>
    <x v="23"/>
    <x v="4"/>
    <x v="186"/>
    <x v="2"/>
    <n v="16364.38"/>
    <x v="186"/>
    <x v="139"/>
    <x v="0"/>
    <x v="8"/>
    <s v="REGULAR ORDER"/>
    <s v="AVERAGE"/>
  </r>
  <r>
    <x v="187"/>
    <x v="13"/>
    <x v="1"/>
    <x v="187"/>
    <x v="1"/>
    <n v="88479.180000000008"/>
    <x v="187"/>
    <x v="140"/>
    <x v="3"/>
    <x v="8"/>
    <s v="BULK ORDER"/>
    <s v="AVERAGE"/>
  </r>
  <r>
    <x v="188"/>
    <x v="9"/>
    <x v="2"/>
    <x v="188"/>
    <x v="1"/>
    <n v="16586.07"/>
    <x v="188"/>
    <x v="28"/>
    <x v="5"/>
    <x v="8"/>
    <s v="BULK ORDER"/>
    <s v="AVERAGE"/>
  </r>
  <r>
    <x v="189"/>
    <x v="21"/>
    <x v="4"/>
    <x v="189"/>
    <x v="0"/>
    <n v="75028.28"/>
    <x v="189"/>
    <x v="141"/>
    <x v="1"/>
    <x v="8"/>
    <s v="BULK ORDER"/>
    <s v="AVERAGE"/>
  </r>
  <r>
    <x v="190"/>
    <x v="15"/>
    <x v="4"/>
    <x v="190"/>
    <x v="0"/>
    <n v="180509.24"/>
    <x v="190"/>
    <x v="142"/>
    <x v="0"/>
    <x v="8"/>
    <s v="BULK ORDER"/>
    <s v="AVERAGE"/>
  </r>
  <r>
    <x v="191"/>
    <x v="16"/>
    <x v="0"/>
    <x v="191"/>
    <x v="4"/>
    <n v="90466.7"/>
    <x v="191"/>
    <x v="143"/>
    <x v="3"/>
    <x v="8"/>
    <s v="BULK ORDER"/>
    <s v="AVERAGE"/>
  </r>
  <r>
    <x v="192"/>
    <x v="5"/>
    <x v="1"/>
    <x v="192"/>
    <x v="4"/>
    <n v="3884.5499999999997"/>
    <x v="192"/>
    <x v="144"/>
    <x v="0"/>
    <x v="8"/>
    <s v="BULK ORDER"/>
    <s v="AVERAGE"/>
  </r>
  <r>
    <x v="193"/>
    <x v="1"/>
    <x v="1"/>
    <x v="193"/>
    <x v="2"/>
    <n v="26697.68"/>
    <x v="193"/>
    <x v="145"/>
    <x v="0"/>
    <x v="8"/>
    <s v="REGULAR ORDER"/>
    <s v="AVERAGE"/>
  </r>
  <r>
    <x v="194"/>
    <x v="6"/>
    <x v="0"/>
    <x v="194"/>
    <x v="4"/>
    <n v="47674.45"/>
    <x v="194"/>
    <x v="100"/>
    <x v="2"/>
    <x v="8"/>
    <s v="BULK ORDER"/>
    <s v="AVERAGE"/>
  </r>
  <r>
    <x v="195"/>
    <x v="9"/>
    <x v="2"/>
    <x v="195"/>
    <x v="3"/>
    <n v="48670.07"/>
    <x v="195"/>
    <x v="126"/>
    <x v="1"/>
    <x v="8"/>
    <s v="REGULAR ORDER"/>
    <s v="AVERAGE"/>
  </r>
  <r>
    <x v="196"/>
    <x v="13"/>
    <x v="1"/>
    <x v="196"/>
    <x v="0"/>
    <n v="76035.240000000005"/>
    <x v="196"/>
    <x v="146"/>
    <x v="0"/>
    <x v="8"/>
    <s v="BULK ORDER"/>
    <s v="AVERAGE"/>
  </r>
  <r>
    <x v="197"/>
    <x v="23"/>
    <x v="4"/>
    <x v="197"/>
    <x v="1"/>
    <n v="131557.01999999999"/>
    <x v="197"/>
    <x v="15"/>
    <x v="2"/>
    <x v="8"/>
    <s v="BULK ORDER"/>
    <s v="AVERAGE"/>
  </r>
  <r>
    <x v="198"/>
    <x v="4"/>
    <x v="3"/>
    <x v="198"/>
    <x v="1"/>
    <n v="28283.489999999998"/>
    <x v="198"/>
    <x v="147"/>
    <x v="2"/>
    <x v="8"/>
    <s v="BULK ORDER"/>
    <s v="AVERAGE"/>
  </r>
  <r>
    <x v="199"/>
    <x v="18"/>
    <x v="3"/>
    <x v="199"/>
    <x v="3"/>
    <n v="40753.519999999997"/>
    <x v="199"/>
    <x v="148"/>
    <x v="5"/>
    <x v="8"/>
    <s v="REGULAR ORDER"/>
    <s v="AVERAGE"/>
  </r>
  <r>
    <x v="200"/>
    <x v="7"/>
    <x v="2"/>
    <x v="200"/>
    <x v="4"/>
    <n v="60487.299999999996"/>
    <x v="200"/>
    <x v="149"/>
    <x v="0"/>
    <x v="8"/>
    <s v="BULK ORDER"/>
    <s v="AVERAGE"/>
  </r>
  <r>
    <x v="201"/>
    <x v="17"/>
    <x v="4"/>
    <x v="201"/>
    <x v="3"/>
    <n v="47608.93"/>
    <x v="201"/>
    <x v="150"/>
    <x v="1"/>
    <x v="8"/>
    <s v="REGULAR ORDER"/>
    <s v="AVERAGE"/>
  </r>
  <r>
    <x v="202"/>
    <x v="11"/>
    <x v="2"/>
    <x v="202"/>
    <x v="2"/>
    <n v="32780.879999999997"/>
    <x v="202"/>
    <x v="151"/>
    <x v="3"/>
    <x v="8"/>
    <s v="REGULAR ORDER"/>
    <s v="AVERAGE"/>
  </r>
  <r>
    <x v="203"/>
    <x v="3"/>
    <x v="0"/>
    <x v="203"/>
    <x v="0"/>
    <n v="114523.68"/>
    <x v="203"/>
    <x v="152"/>
    <x v="3"/>
    <x v="8"/>
    <s v="BULK ORDER"/>
    <s v="AVERAGE"/>
  </r>
  <r>
    <x v="204"/>
    <x v="1"/>
    <x v="1"/>
    <x v="204"/>
    <x v="1"/>
    <n v="32299.739999999998"/>
    <x v="204"/>
    <x v="65"/>
    <x v="3"/>
    <x v="8"/>
    <s v="BULK ORDER"/>
    <s v="AVERAGE"/>
  </r>
  <r>
    <x v="205"/>
    <x v="5"/>
    <x v="1"/>
    <x v="205"/>
    <x v="2"/>
    <n v="35591.4"/>
    <x v="205"/>
    <x v="54"/>
    <x v="0"/>
    <x v="8"/>
    <s v="REGULAR ORDER"/>
    <s v="AVERAGE"/>
  </r>
  <r>
    <x v="206"/>
    <x v="13"/>
    <x v="1"/>
    <x v="206"/>
    <x v="1"/>
    <n v="48476.22"/>
    <x v="206"/>
    <x v="153"/>
    <x v="0"/>
    <x v="8"/>
    <s v="BULK ORDER"/>
    <s v="AVERAGE"/>
  </r>
  <r>
    <x v="207"/>
    <x v="17"/>
    <x v="4"/>
    <x v="207"/>
    <x v="3"/>
    <n v="15387.4"/>
    <x v="207"/>
    <x v="154"/>
    <x v="1"/>
    <x v="8"/>
    <s v="REGULAR ORDER"/>
    <s v="AVERAGE"/>
  </r>
  <r>
    <x v="208"/>
    <x v="8"/>
    <x v="0"/>
    <x v="208"/>
    <x v="2"/>
    <n v="65425.82"/>
    <x v="208"/>
    <x v="120"/>
    <x v="2"/>
    <x v="8"/>
    <s v="REGULAR ORDER"/>
    <s v="AVERAGE"/>
  </r>
  <r>
    <x v="209"/>
    <x v="21"/>
    <x v="4"/>
    <x v="209"/>
    <x v="4"/>
    <n v="230279.4"/>
    <x v="209"/>
    <x v="109"/>
    <x v="0"/>
    <x v="8"/>
    <s v="BULK ORDER"/>
    <s v="AVERAGE"/>
  </r>
  <r>
    <x v="210"/>
    <x v="7"/>
    <x v="2"/>
    <x v="210"/>
    <x v="1"/>
    <n v="138674.63999999998"/>
    <x v="210"/>
    <x v="155"/>
    <x v="3"/>
    <x v="9"/>
    <s v="BULK ORDER"/>
    <s v="AVERAGE"/>
  </r>
  <r>
    <x v="211"/>
    <x v="17"/>
    <x v="4"/>
    <x v="211"/>
    <x v="4"/>
    <n v="195882.7"/>
    <x v="211"/>
    <x v="156"/>
    <x v="2"/>
    <x v="9"/>
    <s v="BULK ORDER"/>
    <s v="AVERAGE"/>
  </r>
  <r>
    <x v="212"/>
    <x v="0"/>
    <x v="0"/>
    <x v="212"/>
    <x v="2"/>
    <n v="49239.68"/>
    <x v="212"/>
    <x v="109"/>
    <x v="5"/>
    <x v="9"/>
    <s v="REGULAR ORDER"/>
    <s v="AVERAGE"/>
  </r>
  <r>
    <x v="213"/>
    <x v="7"/>
    <x v="2"/>
    <x v="213"/>
    <x v="3"/>
    <n v="19386.27"/>
    <x v="213"/>
    <x v="144"/>
    <x v="0"/>
    <x v="9"/>
    <s v="REGULAR ORDER"/>
    <s v="AVERAGE"/>
  </r>
  <r>
    <x v="214"/>
    <x v="15"/>
    <x v="4"/>
    <x v="214"/>
    <x v="3"/>
    <n v="32264.17"/>
    <x v="214"/>
    <x v="157"/>
    <x v="2"/>
    <x v="9"/>
    <s v="REGULAR ORDER"/>
    <s v="AVERAGE"/>
  </r>
  <r>
    <x v="215"/>
    <x v="5"/>
    <x v="1"/>
    <x v="215"/>
    <x v="1"/>
    <n v="141008.16"/>
    <x v="215"/>
    <x v="158"/>
    <x v="5"/>
    <x v="9"/>
    <s v="BULK ORDER"/>
    <s v="AVERAGE"/>
  </r>
  <r>
    <x v="216"/>
    <x v="6"/>
    <x v="0"/>
    <x v="216"/>
    <x v="3"/>
    <n v="39372.11"/>
    <x v="216"/>
    <x v="16"/>
    <x v="4"/>
    <x v="9"/>
    <s v="REGULAR ORDER"/>
    <s v="AVERAGE"/>
  </r>
  <r>
    <x v="217"/>
    <x v="22"/>
    <x v="3"/>
    <x v="217"/>
    <x v="4"/>
    <n v="21241.25"/>
    <x v="217"/>
    <x v="124"/>
    <x v="4"/>
    <x v="9"/>
    <s v="BULK ORDER"/>
    <s v="AVERAGE"/>
  </r>
  <r>
    <x v="218"/>
    <x v="23"/>
    <x v="4"/>
    <x v="218"/>
    <x v="0"/>
    <n v="91872.72"/>
    <x v="218"/>
    <x v="159"/>
    <x v="2"/>
    <x v="9"/>
    <s v="BULK ORDER"/>
    <s v="AVERAGE"/>
  </r>
  <r>
    <x v="219"/>
    <x v="13"/>
    <x v="1"/>
    <x v="219"/>
    <x v="4"/>
    <n v="215219.1"/>
    <x v="219"/>
    <x v="160"/>
    <x v="4"/>
    <x v="9"/>
    <s v="BULK ORDER"/>
    <s v="AVERAGE"/>
  </r>
  <r>
    <x v="220"/>
    <x v="20"/>
    <x v="1"/>
    <x v="220"/>
    <x v="1"/>
    <n v="1392.54"/>
    <x v="220"/>
    <x v="161"/>
    <x v="5"/>
    <x v="9"/>
    <s v="BULK ORDER"/>
    <s v="AVERAGE"/>
  </r>
  <r>
    <x v="221"/>
    <x v="4"/>
    <x v="3"/>
    <x v="221"/>
    <x v="2"/>
    <n v="46586.28"/>
    <x v="221"/>
    <x v="29"/>
    <x v="1"/>
    <x v="9"/>
    <s v="REGULAR ORDER"/>
    <s v="AVERAGE"/>
  </r>
  <r>
    <x v="222"/>
    <x v="0"/>
    <x v="0"/>
    <x v="222"/>
    <x v="2"/>
    <n v="70650.759999999995"/>
    <x v="222"/>
    <x v="97"/>
    <x v="1"/>
    <x v="9"/>
    <s v="REGULAR ORDER"/>
    <s v="AVERAGE"/>
  </r>
  <r>
    <x v="223"/>
    <x v="18"/>
    <x v="3"/>
    <x v="223"/>
    <x v="0"/>
    <n v="100935.8"/>
    <x v="223"/>
    <x v="130"/>
    <x v="0"/>
    <x v="9"/>
    <s v="BULK ORDER"/>
    <s v="AVERAGE"/>
  </r>
  <r>
    <x v="224"/>
    <x v="22"/>
    <x v="3"/>
    <x v="224"/>
    <x v="2"/>
    <n v="53895.08"/>
    <x v="224"/>
    <x v="162"/>
    <x v="2"/>
    <x v="9"/>
    <s v="REGULAR ORDER"/>
    <s v="AVERAGE"/>
  </r>
  <r>
    <x v="225"/>
    <x v="19"/>
    <x v="2"/>
    <x v="225"/>
    <x v="1"/>
    <n v="54257.19"/>
    <x v="225"/>
    <x v="52"/>
    <x v="2"/>
    <x v="9"/>
    <s v="BULK ORDER"/>
    <s v="AVERAGE"/>
  </r>
  <r>
    <x v="226"/>
    <x v="14"/>
    <x v="3"/>
    <x v="226"/>
    <x v="1"/>
    <n v="88527.42"/>
    <x v="226"/>
    <x v="163"/>
    <x v="2"/>
    <x v="9"/>
    <s v="BULK ORDER"/>
    <s v="AVERAGE"/>
  </r>
  <r>
    <x v="227"/>
    <x v="16"/>
    <x v="0"/>
    <x v="227"/>
    <x v="0"/>
    <n v="143644.88"/>
    <x v="227"/>
    <x v="13"/>
    <x v="3"/>
    <x v="9"/>
    <s v="BULK ORDER"/>
    <s v="AVERAGE"/>
  </r>
  <r>
    <x v="228"/>
    <x v="1"/>
    <x v="1"/>
    <x v="228"/>
    <x v="0"/>
    <n v="121011.56"/>
    <x v="228"/>
    <x v="164"/>
    <x v="4"/>
    <x v="9"/>
    <s v="BULK ORDER"/>
    <s v="AVERAGE"/>
  </r>
  <r>
    <x v="229"/>
    <x v="1"/>
    <x v="1"/>
    <x v="229"/>
    <x v="1"/>
    <n v="70754.67"/>
    <x v="229"/>
    <x v="165"/>
    <x v="4"/>
    <x v="9"/>
    <s v="BULK ORDER"/>
    <s v="AVERAGE"/>
  </r>
  <r>
    <x v="230"/>
    <x v="11"/>
    <x v="2"/>
    <x v="230"/>
    <x v="1"/>
    <n v="89656.08"/>
    <x v="230"/>
    <x v="166"/>
    <x v="5"/>
    <x v="9"/>
    <s v="BULK ORDER"/>
    <s v="AVERAGE"/>
  </r>
  <r>
    <x v="231"/>
    <x v="2"/>
    <x v="2"/>
    <x v="231"/>
    <x v="1"/>
    <n v="62060.819999999992"/>
    <x v="231"/>
    <x v="57"/>
    <x v="4"/>
    <x v="9"/>
    <s v="BULK ORDER"/>
    <s v="AVERAGE"/>
  </r>
  <r>
    <x v="232"/>
    <x v="7"/>
    <x v="2"/>
    <x v="232"/>
    <x v="0"/>
    <n v="197639.56"/>
    <x v="232"/>
    <x v="43"/>
    <x v="2"/>
    <x v="9"/>
    <s v="BULK ORDER"/>
    <s v="AVERAGE"/>
  </r>
  <r>
    <x v="233"/>
    <x v="12"/>
    <x v="1"/>
    <x v="233"/>
    <x v="4"/>
    <n v="114178.9"/>
    <x v="233"/>
    <x v="1"/>
    <x v="4"/>
    <x v="9"/>
    <s v="BULK ORDER"/>
    <s v="AVERAGE"/>
  </r>
  <r>
    <x v="234"/>
    <x v="15"/>
    <x v="4"/>
    <x v="234"/>
    <x v="4"/>
    <n v="211535.9"/>
    <x v="234"/>
    <x v="102"/>
    <x v="0"/>
    <x v="9"/>
    <s v="BULK ORDER"/>
    <s v="AVERAGE"/>
  </r>
  <r>
    <x v="235"/>
    <x v="9"/>
    <x v="2"/>
    <x v="235"/>
    <x v="3"/>
    <n v="49796.61"/>
    <x v="235"/>
    <x v="130"/>
    <x v="0"/>
    <x v="9"/>
    <s v="REGULAR ORDER"/>
    <s v="AVERAGE"/>
  </r>
  <r>
    <x v="236"/>
    <x v="10"/>
    <x v="3"/>
    <x v="236"/>
    <x v="2"/>
    <n v="32006.76"/>
    <x v="236"/>
    <x v="167"/>
    <x v="1"/>
    <x v="9"/>
    <s v="REGULAR ORDER"/>
    <s v="AVERAGE"/>
  </r>
  <r>
    <x v="237"/>
    <x v="18"/>
    <x v="3"/>
    <x v="237"/>
    <x v="0"/>
    <n v="192295.2"/>
    <x v="237"/>
    <x v="168"/>
    <x v="3"/>
    <x v="9"/>
    <s v="BULK ORDER"/>
    <s v="AVERAGE"/>
  </r>
  <r>
    <x v="238"/>
    <x v="22"/>
    <x v="3"/>
    <x v="238"/>
    <x v="2"/>
    <n v="53753.02"/>
    <x v="238"/>
    <x v="169"/>
    <x v="5"/>
    <x v="10"/>
    <s v="REGULAR ORDER"/>
    <s v="GOOD"/>
  </r>
  <r>
    <x v="239"/>
    <x v="11"/>
    <x v="2"/>
    <x v="239"/>
    <x v="4"/>
    <n v="21992.95"/>
    <x v="239"/>
    <x v="56"/>
    <x v="4"/>
    <x v="10"/>
    <s v="BULK ORDER"/>
    <s v="GOOD"/>
  </r>
  <r>
    <x v="240"/>
    <x v="2"/>
    <x v="2"/>
    <x v="240"/>
    <x v="0"/>
    <n v="148018.16"/>
    <x v="240"/>
    <x v="170"/>
    <x v="5"/>
    <x v="10"/>
    <s v="BULK ORDER"/>
    <s v="GOOD"/>
  </r>
  <r>
    <x v="241"/>
    <x v="11"/>
    <x v="2"/>
    <x v="241"/>
    <x v="4"/>
    <n v="139808.9"/>
    <x v="241"/>
    <x v="171"/>
    <x v="2"/>
    <x v="10"/>
    <s v="BULK ORDER"/>
    <s v="GOOD"/>
  </r>
  <r>
    <x v="242"/>
    <x v="3"/>
    <x v="0"/>
    <x v="242"/>
    <x v="4"/>
    <n v="106586.55"/>
    <x v="242"/>
    <x v="144"/>
    <x v="3"/>
    <x v="10"/>
    <s v="BULK ORDER"/>
    <s v="GOOD"/>
  </r>
  <r>
    <x v="243"/>
    <x v="14"/>
    <x v="3"/>
    <x v="243"/>
    <x v="2"/>
    <n v="60476.94"/>
    <x v="243"/>
    <x v="172"/>
    <x v="2"/>
    <x v="10"/>
    <s v="REGULAR ORDER"/>
    <s v="GOOD"/>
  </r>
  <r>
    <x v="244"/>
    <x v="9"/>
    <x v="2"/>
    <x v="244"/>
    <x v="4"/>
    <n v="163941"/>
    <x v="244"/>
    <x v="165"/>
    <x v="3"/>
    <x v="10"/>
    <s v="BULK ORDER"/>
    <s v="GOOD"/>
  </r>
  <r>
    <x v="245"/>
    <x v="24"/>
    <x v="4"/>
    <x v="245"/>
    <x v="1"/>
    <n v="81929.19"/>
    <x v="245"/>
    <x v="173"/>
    <x v="2"/>
    <x v="10"/>
    <s v="BULK ORDER"/>
    <s v="GOOD"/>
  </r>
  <r>
    <x v="246"/>
    <x v="0"/>
    <x v="0"/>
    <x v="246"/>
    <x v="3"/>
    <n v="15344.02"/>
    <x v="246"/>
    <x v="174"/>
    <x v="1"/>
    <x v="10"/>
    <s v="REGULAR ORDER"/>
    <s v="GOOD"/>
  </r>
  <r>
    <x v="247"/>
    <x v="5"/>
    <x v="1"/>
    <x v="247"/>
    <x v="3"/>
    <n v="43444.93"/>
    <x v="247"/>
    <x v="175"/>
    <x v="4"/>
    <x v="10"/>
    <s v="REGULAR ORDER"/>
    <s v="GOOD"/>
  </r>
  <r>
    <x v="248"/>
    <x v="15"/>
    <x v="4"/>
    <x v="248"/>
    <x v="3"/>
    <n v="37295.08"/>
    <x v="248"/>
    <x v="176"/>
    <x v="1"/>
    <x v="10"/>
    <s v="REGULAR ORDER"/>
    <s v="GOOD"/>
  </r>
  <r>
    <x v="249"/>
    <x v="20"/>
    <x v="1"/>
    <x v="249"/>
    <x v="3"/>
    <n v="41333.21"/>
    <x v="249"/>
    <x v="177"/>
    <x v="2"/>
    <x v="10"/>
    <s v="REGULAR ORDER"/>
    <s v="GOOD"/>
  </r>
  <r>
    <x v="250"/>
    <x v="4"/>
    <x v="3"/>
    <x v="250"/>
    <x v="4"/>
    <n v="3522.75"/>
    <x v="250"/>
    <x v="178"/>
    <x v="5"/>
    <x v="10"/>
    <s v="BULK ORDER"/>
    <s v="GOOD"/>
  </r>
  <r>
    <x v="251"/>
    <x v="12"/>
    <x v="1"/>
    <x v="251"/>
    <x v="3"/>
    <n v="38629"/>
    <x v="251"/>
    <x v="72"/>
    <x v="2"/>
    <x v="10"/>
    <s v="REGULAR ORDER"/>
    <s v="GOOD"/>
  </r>
  <r>
    <x v="252"/>
    <x v="18"/>
    <x v="3"/>
    <x v="252"/>
    <x v="2"/>
    <n v="76321.960000000006"/>
    <x v="252"/>
    <x v="14"/>
    <x v="5"/>
    <x v="10"/>
    <s v="REGULAR ORDER"/>
    <s v="GOOD"/>
  </r>
  <r>
    <x v="253"/>
    <x v="23"/>
    <x v="4"/>
    <x v="253"/>
    <x v="0"/>
    <n v="15981.76"/>
    <x v="253"/>
    <x v="60"/>
    <x v="5"/>
    <x v="10"/>
    <s v="BULK ORDER"/>
    <s v="GOOD"/>
  </r>
  <r>
    <x v="254"/>
    <x v="16"/>
    <x v="0"/>
    <x v="254"/>
    <x v="3"/>
    <n v="38728.75"/>
    <x v="254"/>
    <x v="179"/>
    <x v="4"/>
    <x v="10"/>
    <s v="REGULAR ORDER"/>
    <s v="GOOD"/>
  </r>
  <r>
    <x v="255"/>
    <x v="14"/>
    <x v="3"/>
    <x v="255"/>
    <x v="0"/>
    <n v="124020.24"/>
    <x v="255"/>
    <x v="157"/>
    <x v="2"/>
    <x v="10"/>
    <s v="BULK ORDER"/>
    <s v="GOOD"/>
  </r>
  <r>
    <x v="256"/>
    <x v="9"/>
    <x v="2"/>
    <x v="256"/>
    <x v="0"/>
    <n v="25289.68"/>
    <x v="256"/>
    <x v="180"/>
    <x v="1"/>
    <x v="10"/>
    <s v="BULK ORDER"/>
    <s v="GOOD"/>
  </r>
  <r>
    <x v="257"/>
    <x v="7"/>
    <x v="2"/>
    <x v="257"/>
    <x v="0"/>
    <n v="67215.039999999994"/>
    <x v="257"/>
    <x v="60"/>
    <x v="4"/>
    <x v="10"/>
    <s v="BULK ORDER"/>
    <s v="GOOD"/>
  </r>
  <r>
    <x v="258"/>
    <x v="22"/>
    <x v="3"/>
    <x v="258"/>
    <x v="4"/>
    <n v="158685.65"/>
    <x v="258"/>
    <x v="181"/>
    <x v="2"/>
    <x v="10"/>
    <s v="BULK ORDER"/>
    <s v="GOOD"/>
  </r>
  <r>
    <x v="259"/>
    <x v="5"/>
    <x v="1"/>
    <x v="259"/>
    <x v="0"/>
    <n v="63057"/>
    <x v="259"/>
    <x v="182"/>
    <x v="0"/>
    <x v="10"/>
    <s v="BULK ORDER"/>
    <s v="GOOD"/>
  </r>
  <r>
    <x v="260"/>
    <x v="8"/>
    <x v="0"/>
    <x v="260"/>
    <x v="4"/>
    <n v="91693.799999999988"/>
    <x v="260"/>
    <x v="183"/>
    <x v="4"/>
    <x v="10"/>
    <s v="BULK ORDER"/>
    <s v="GOOD"/>
  </r>
  <r>
    <x v="261"/>
    <x v="8"/>
    <x v="0"/>
    <x v="261"/>
    <x v="4"/>
    <n v="215590.95"/>
    <x v="261"/>
    <x v="42"/>
    <x v="2"/>
    <x v="10"/>
    <s v="BULK ORDER"/>
    <s v="GOOD"/>
  </r>
  <r>
    <x v="262"/>
    <x v="24"/>
    <x v="4"/>
    <x v="262"/>
    <x v="4"/>
    <n v="240653"/>
    <x v="262"/>
    <x v="69"/>
    <x v="1"/>
    <x v="10"/>
    <s v="BULK ORDER"/>
    <s v="GOOD"/>
  </r>
  <r>
    <x v="263"/>
    <x v="19"/>
    <x v="2"/>
    <x v="263"/>
    <x v="2"/>
    <n v="45419.9"/>
    <x v="263"/>
    <x v="31"/>
    <x v="3"/>
    <x v="10"/>
    <s v="REGULAR ORDER"/>
    <s v="GOOD"/>
  </r>
  <r>
    <x v="264"/>
    <x v="22"/>
    <x v="3"/>
    <x v="264"/>
    <x v="4"/>
    <n v="4236.95"/>
    <x v="264"/>
    <x v="163"/>
    <x v="2"/>
    <x v="10"/>
    <s v="BULK ORDER"/>
    <s v="GOOD"/>
  </r>
  <r>
    <x v="265"/>
    <x v="15"/>
    <x v="4"/>
    <x v="265"/>
    <x v="4"/>
    <n v="23645.200000000001"/>
    <x v="265"/>
    <x v="184"/>
    <x v="0"/>
    <x v="10"/>
    <s v="BULK ORDER"/>
    <s v="GOOD"/>
  </r>
  <r>
    <x v="266"/>
    <x v="19"/>
    <x v="2"/>
    <x v="266"/>
    <x v="4"/>
    <n v="237136.5"/>
    <x v="266"/>
    <x v="185"/>
    <x v="4"/>
    <x v="10"/>
    <s v="BULK ORDER"/>
    <s v="GOOD"/>
  </r>
  <r>
    <x v="267"/>
    <x v="7"/>
    <x v="2"/>
    <x v="267"/>
    <x v="3"/>
    <n v="38005.050000000003"/>
    <x v="267"/>
    <x v="117"/>
    <x v="1"/>
    <x v="10"/>
    <s v="REGULAR ORDER"/>
    <s v="GOOD"/>
  </r>
  <r>
    <x v="268"/>
    <x v="14"/>
    <x v="3"/>
    <x v="268"/>
    <x v="1"/>
    <n v="59537.16"/>
    <x v="268"/>
    <x v="186"/>
    <x v="0"/>
    <x v="10"/>
    <s v="BULK ORDER"/>
    <s v="GOOD"/>
  </r>
  <r>
    <x v="269"/>
    <x v="14"/>
    <x v="3"/>
    <x v="269"/>
    <x v="2"/>
    <n v="95799.44"/>
    <x v="269"/>
    <x v="187"/>
    <x v="0"/>
    <x v="10"/>
    <s v="REGULAR ORDER"/>
    <s v="GOOD"/>
  </r>
  <r>
    <x v="270"/>
    <x v="23"/>
    <x v="4"/>
    <x v="270"/>
    <x v="2"/>
    <n v="92202.28"/>
    <x v="270"/>
    <x v="148"/>
    <x v="2"/>
    <x v="10"/>
    <s v="REGULAR ORDER"/>
    <s v="GOOD"/>
  </r>
  <r>
    <x v="271"/>
    <x v="16"/>
    <x v="0"/>
    <x v="271"/>
    <x v="4"/>
    <n v="174848.45"/>
    <x v="271"/>
    <x v="188"/>
    <x v="2"/>
    <x v="10"/>
    <s v="BULK ORDER"/>
    <s v="GOOD"/>
  </r>
  <r>
    <x v="272"/>
    <x v="17"/>
    <x v="4"/>
    <x v="272"/>
    <x v="0"/>
    <n v="51023.4"/>
    <x v="272"/>
    <x v="189"/>
    <x v="1"/>
    <x v="11"/>
    <s v="BULK ORDER"/>
    <s v="GOOD"/>
  </r>
  <r>
    <x v="273"/>
    <x v="2"/>
    <x v="2"/>
    <x v="273"/>
    <x v="1"/>
    <n v="43517.37"/>
    <x v="273"/>
    <x v="187"/>
    <x v="1"/>
    <x v="11"/>
    <s v="BULK ORDER"/>
    <s v="GOOD"/>
  </r>
  <r>
    <x v="274"/>
    <x v="15"/>
    <x v="4"/>
    <x v="274"/>
    <x v="1"/>
    <n v="57542.31"/>
    <x v="274"/>
    <x v="177"/>
    <x v="4"/>
    <x v="11"/>
    <s v="BULK ORDER"/>
    <s v="GOOD"/>
  </r>
  <r>
    <x v="275"/>
    <x v="19"/>
    <x v="2"/>
    <x v="275"/>
    <x v="3"/>
    <n v="30826.720000000001"/>
    <x v="275"/>
    <x v="139"/>
    <x v="1"/>
    <x v="11"/>
    <s v="REGULAR ORDER"/>
    <s v="GOOD"/>
  </r>
  <r>
    <x v="276"/>
    <x v="9"/>
    <x v="2"/>
    <x v="276"/>
    <x v="3"/>
    <n v="19787.61"/>
    <x v="276"/>
    <x v="190"/>
    <x v="5"/>
    <x v="11"/>
    <s v="REGULAR ORDER"/>
    <s v="GOOD"/>
  </r>
  <r>
    <x v="277"/>
    <x v="24"/>
    <x v="4"/>
    <x v="277"/>
    <x v="4"/>
    <n v="113560.9"/>
    <x v="277"/>
    <x v="191"/>
    <x v="0"/>
    <x v="11"/>
    <s v="BULK ORDER"/>
    <s v="GOOD"/>
  </r>
  <r>
    <x v="278"/>
    <x v="22"/>
    <x v="3"/>
    <x v="278"/>
    <x v="1"/>
    <n v="119099.54999999999"/>
    <x v="278"/>
    <x v="192"/>
    <x v="4"/>
    <x v="11"/>
    <s v="BULK ORDER"/>
    <s v="GOOD"/>
  </r>
  <r>
    <x v="279"/>
    <x v="23"/>
    <x v="4"/>
    <x v="279"/>
    <x v="1"/>
    <n v="41746.5"/>
    <x v="279"/>
    <x v="193"/>
    <x v="2"/>
    <x v="11"/>
    <s v="BULK ORDER"/>
    <s v="GOOD"/>
  </r>
  <r>
    <x v="280"/>
    <x v="2"/>
    <x v="2"/>
    <x v="280"/>
    <x v="4"/>
    <n v="135876.85"/>
    <x v="280"/>
    <x v="161"/>
    <x v="0"/>
    <x v="11"/>
    <s v="BULK ORDER"/>
    <s v="GOOD"/>
  </r>
  <r>
    <x v="281"/>
    <x v="6"/>
    <x v="0"/>
    <x v="281"/>
    <x v="3"/>
    <n v="5463.13"/>
    <x v="281"/>
    <x v="194"/>
    <x v="5"/>
    <x v="11"/>
    <s v="REGULAR ORDER"/>
    <s v="GOOD"/>
  </r>
  <r>
    <x v="282"/>
    <x v="21"/>
    <x v="4"/>
    <x v="282"/>
    <x v="1"/>
    <n v="120744.81"/>
    <x v="282"/>
    <x v="195"/>
    <x v="4"/>
    <x v="11"/>
    <s v="BULK ORDER"/>
    <s v="GOOD"/>
  </r>
  <r>
    <x v="283"/>
    <x v="20"/>
    <x v="1"/>
    <x v="283"/>
    <x v="3"/>
    <n v="45866.22"/>
    <x v="283"/>
    <x v="196"/>
    <x v="0"/>
    <x v="11"/>
    <s v="REGULAR ORDER"/>
    <s v="GOOD"/>
  </r>
  <r>
    <x v="284"/>
    <x v="2"/>
    <x v="2"/>
    <x v="284"/>
    <x v="2"/>
    <n v="2269.56"/>
    <x v="284"/>
    <x v="197"/>
    <x v="5"/>
    <x v="11"/>
    <s v="REGULAR ORDER"/>
    <s v="GOOD"/>
  </r>
  <r>
    <x v="285"/>
    <x v="3"/>
    <x v="0"/>
    <x v="285"/>
    <x v="1"/>
    <n v="89533.77"/>
    <x v="285"/>
    <x v="198"/>
    <x v="3"/>
    <x v="11"/>
    <s v="BULK ORDER"/>
    <s v="GOOD"/>
  </r>
  <r>
    <x v="286"/>
    <x v="17"/>
    <x v="4"/>
    <x v="286"/>
    <x v="1"/>
    <n v="120715.5"/>
    <x v="286"/>
    <x v="199"/>
    <x v="4"/>
    <x v="11"/>
    <s v="BULK ORDER"/>
    <s v="GOOD"/>
  </r>
  <r>
    <x v="287"/>
    <x v="3"/>
    <x v="0"/>
    <x v="287"/>
    <x v="2"/>
    <n v="18670.38"/>
    <x v="287"/>
    <x v="62"/>
    <x v="0"/>
    <x v="11"/>
    <s v="REGULAR ORDER"/>
    <s v="GOOD"/>
  </r>
  <r>
    <x v="288"/>
    <x v="9"/>
    <x v="2"/>
    <x v="288"/>
    <x v="4"/>
    <n v="194821.8"/>
    <x v="288"/>
    <x v="114"/>
    <x v="4"/>
    <x v="11"/>
    <s v="BULK ORDER"/>
    <s v="GOOD"/>
  </r>
  <r>
    <x v="289"/>
    <x v="10"/>
    <x v="3"/>
    <x v="289"/>
    <x v="4"/>
    <n v="109961.90000000001"/>
    <x v="289"/>
    <x v="27"/>
    <x v="5"/>
    <x v="11"/>
    <s v="BULK ORDER"/>
    <s v="GOOD"/>
  </r>
  <r>
    <x v="290"/>
    <x v="9"/>
    <x v="2"/>
    <x v="290"/>
    <x v="4"/>
    <n v="38641.65"/>
    <x v="290"/>
    <x v="198"/>
    <x v="0"/>
    <x v="11"/>
    <s v="BULK ORDER"/>
    <s v="GOOD"/>
  </r>
  <r>
    <x v="291"/>
    <x v="1"/>
    <x v="1"/>
    <x v="291"/>
    <x v="3"/>
    <n v="17539.189999999999"/>
    <x v="291"/>
    <x v="165"/>
    <x v="4"/>
    <x v="11"/>
    <s v="REGULAR ORDER"/>
    <s v="GOOD"/>
  </r>
  <r>
    <x v="292"/>
    <x v="16"/>
    <x v="0"/>
    <x v="292"/>
    <x v="0"/>
    <n v="155874.07999999999"/>
    <x v="292"/>
    <x v="33"/>
    <x v="2"/>
    <x v="11"/>
    <s v="BULK ORDER"/>
    <s v="GOOD"/>
  </r>
  <r>
    <x v="293"/>
    <x v="1"/>
    <x v="1"/>
    <x v="293"/>
    <x v="0"/>
    <n v="34286.199999999997"/>
    <x v="293"/>
    <x v="134"/>
    <x v="4"/>
    <x v="11"/>
    <s v="BULK ORDER"/>
    <s v="GOOD"/>
  </r>
  <r>
    <x v="294"/>
    <x v="18"/>
    <x v="3"/>
    <x v="294"/>
    <x v="2"/>
    <n v="54240.72"/>
    <x v="294"/>
    <x v="75"/>
    <x v="3"/>
    <x v="12"/>
    <s v="REGULAR ORDER"/>
    <s v="GOOD"/>
  </r>
  <r>
    <x v="295"/>
    <x v="7"/>
    <x v="2"/>
    <x v="295"/>
    <x v="1"/>
    <n v="128943.24"/>
    <x v="295"/>
    <x v="200"/>
    <x v="0"/>
    <x v="12"/>
    <s v="BULK ORDER"/>
    <s v="GOOD"/>
  </r>
  <r>
    <x v="296"/>
    <x v="5"/>
    <x v="1"/>
    <x v="296"/>
    <x v="4"/>
    <n v="196319.7"/>
    <x v="296"/>
    <x v="201"/>
    <x v="4"/>
    <x v="12"/>
    <s v="BULK ORDER"/>
    <s v="GOOD"/>
  </r>
  <r>
    <x v="297"/>
    <x v="14"/>
    <x v="3"/>
    <x v="297"/>
    <x v="4"/>
    <n v="5521.25"/>
    <x v="297"/>
    <x v="62"/>
    <x v="1"/>
    <x v="12"/>
    <s v="BULK ORDER"/>
    <s v="GOOD"/>
  </r>
  <r>
    <x v="298"/>
    <x v="11"/>
    <x v="2"/>
    <x v="298"/>
    <x v="3"/>
    <n v="24032.880000000001"/>
    <x v="298"/>
    <x v="202"/>
    <x v="4"/>
    <x v="12"/>
    <s v="REGULAR ORDER"/>
    <s v="GOOD"/>
  </r>
  <r>
    <x v="299"/>
    <x v="0"/>
    <x v="0"/>
    <x v="299"/>
    <x v="0"/>
    <n v="120686.96"/>
    <x v="299"/>
    <x v="203"/>
    <x v="2"/>
    <x v="12"/>
    <s v="BULK ORDER"/>
    <s v="GOOD"/>
  </r>
  <r>
    <x v="300"/>
    <x v="11"/>
    <x v="2"/>
    <x v="300"/>
    <x v="4"/>
    <n v="225225.15"/>
    <x v="300"/>
    <x v="20"/>
    <x v="2"/>
    <x v="12"/>
    <s v="BULK ORDER"/>
    <s v="GOOD"/>
  </r>
  <r>
    <x v="301"/>
    <x v="1"/>
    <x v="1"/>
    <x v="301"/>
    <x v="3"/>
    <n v="32749.9"/>
    <x v="301"/>
    <x v="161"/>
    <x v="2"/>
    <x v="12"/>
    <s v="REGULAR ORDER"/>
    <s v="GOOD"/>
  </r>
  <r>
    <x v="302"/>
    <x v="21"/>
    <x v="4"/>
    <x v="302"/>
    <x v="3"/>
    <n v="33683.4"/>
    <x v="302"/>
    <x v="204"/>
    <x v="5"/>
    <x v="12"/>
    <s v="REGULAR ORDER"/>
    <s v="GOOD"/>
  </r>
  <r>
    <x v="303"/>
    <x v="9"/>
    <x v="2"/>
    <x v="303"/>
    <x v="2"/>
    <n v="15267.7"/>
    <x v="303"/>
    <x v="38"/>
    <x v="2"/>
    <x v="12"/>
    <s v="REGULAR ORDER"/>
    <s v="GOOD"/>
  </r>
  <r>
    <x v="304"/>
    <x v="17"/>
    <x v="4"/>
    <x v="304"/>
    <x v="2"/>
    <n v="44671.16"/>
    <x v="304"/>
    <x v="205"/>
    <x v="4"/>
    <x v="12"/>
    <s v="REGULAR ORDER"/>
    <s v="GOOD"/>
  </r>
  <r>
    <x v="305"/>
    <x v="2"/>
    <x v="2"/>
    <x v="305"/>
    <x v="2"/>
    <n v="16897.54"/>
    <x v="305"/>
    <x v="182"/>
    <x v="1"/>
    <x v="12"/>
    <s v="REGULAR ORDER"/>
    <s v="GOOD"/>
  </r>
  <r>
    <x v="306"/>
    <x v="15"/>
    <x v="4"/>
    <x v="306"/>
    <x v="3"/>
    <n v="23433.86"/>
    <x v="306"/>
    <x v="206"/>
    <x v="0"/>
    <x v="12"/>
    <s v="REGULAR ORDER"/>
    <s v="GOOD"/>
  </r>
  <r>
    <x v="307"/>
    <x v="5"/>
    <x v="1"/>
    <x v="307"/>
    <x v="2"/>
    <n v="28547.48"/>
    <x v="307"/>
    <x v="207"/>
    <x v="2"/>
    <x v="12"/>
    <s v="REGULAR ORDER"/>
    <s v="GOOD"/>
  </r>
  <r>
    <x v="308"/>
    <x v="19"/>
    <x v="2"/>
    <x v="308"/>
    <x v="3"/>
    <n v="27434.25"/>
    <x v="308"/>
    <x v="113"/>
    <x v="0"/>
    <x v="12"/>
    <s v="REGULAR ORDER"/>
    <s v="GOOD"/>
  </r>
  <r>
    <x v="309"/>
    <x v="9"/>
    <x v="2"/>
    <x v="309"/>
    <x v="1"/>
    <n v="6040.92"/>
    <x v="309"/>
    <x v="138"/>
    <x v="1"/>
    <x v="12"/>
    <s v="BULK ORDER"/>
    <s v="GOOD"/>
  </r>
  <r>
    <x v="310"/>
    <x v="19"/>
    <x v="2"/>
    <x v="310"/>
    <x v="0"/>
    <n v="18468.8"/>
    <x v="310"/>
    <x v="208"/>
    <x v="1"/>
    <x v="12"/>
    <s v="BULK ORDER"/>
    <s v="GOOD"/>
  </r>
  <r>
    <x v="311"/>
    <x v="18"/>
    <x v="3"/>
    <x v="311"/>
    <x v="4"/>
    <n v="102176.7"/>
    <x v="311"/>
    <x v="209"/>
    <x v="3"/>
    <x v="12"/>
    <s v="BULK ORDER"/>
    <s v="GOOD"/>
  </r>
  <r>
    <x v="312"/>
    <x v="10"/>
    <x v="3"/>
    <x v="312"/>
    <x v="1"/>
    <n v="81918.930000000008"/>
    <x v="312"/>
    <x v="210"/>
    <x v="3"/>
    <x v="12"/>
    <s v="BULK ORDER"/>
    <s v="GOOD"/>
  </r>
  <r>
    <x v="313"/>
    <x v="3"/>
    <x v="0"/>
    <x v="313"/>
    <x v="4"/>
    <n v="91926.6"/>
    <x v="313"/>
    <x v="30"/>
    <x v="1"/>
    <x v="12"/>
    <s v="BULK ORDER"/>
    <s v="GOOD"/>
  </r>
  <r>
    <x v="314"/>
    <x v="3"/>
    <x v="0"/>
    <x v="314"/>
    <x v="0"/>
    <n v="89016.68"/>
    <x v="314"/>
    <x v="211"/>
    <x v="5"/>
    <x v="12"/>
    <s v="BULK ORDER"/>
    <s v="GOOD"/>
  </r>
  <r>
    <x v="315"/>
    <x v="9"/>
    <x v="2"/>
    <x v="315"/>
    <x v="1"/>
    <n v="75560.37"/>
    <x v="315"/>
    <x v="1"/>
    <x v="0"/>
    <x v="12"/>
    <s v="BULK ORDER"/>
    <s v="GOOD"/>
  </r>
  <r>
    <x v="316"/>
    <x v="1"/>
    <x v="1"/>
    <x v="316"/>
    <x v="2"/>
    <n v="8321.0400000000009"/>
    <x v="316"/>
    <x v="109"/>
    <x v="2"/>
    <x v="12"/>
    <s v="REGULAR ORDER"/>
    <s v="GOOD"/>
  </r>
  <r>
    <x v="317"/>
    <x v="11"/>
    <x v="2"/>
    <x v="317"/>
    <x v="3"/>
    <n v="40379.730000000003"/>
    <x v="317"/>
    <x v="76"/>
    <x v="0"/>
    <x v="12"/>
    <s v="REGULAR ORDER"/>
    <s v="GOOD"/>
  </r>
  <r>
    <x v="318"/>
    <x v="18"/>
    <x v="3"/>
    <x v="318"/>
    <x v="3"/>
    <n v="18097.79"/>
    <x v="318"/>
    <x v="59"/>
    <x v="2"/>
    <x v="12"/>
    <s v="REGULAR ORDER"/>
    <s v="GOOD"/>
  </r>
  <r>
    <x v="319"/>
    <x v="20"/>
    <x v="1"/>
    <x v="319"/>
    <x v="0"/>
    <n v="4156.4399999999996"/>
    <x v="319"/>
    <x v="209"/>
    <x v="3"/>
    <x v="12"/>
    <s v="BULK ORDER"/>
    <s v="GOOD"/>
  </r>
  <r>
    <x v="320"/>
    <x v="13"/>
    <x v="1"/>
    <x v="320"/>
    <x v="1"/>
    <n v="91694.94"/>
    <x v="320"/>
    <x v="100"/>
    <x v="5"/>
    <x v="12"/>
    <s v="BULK ORDER"/>
    <s v="GOOD"/>
  </r>
  <r>
    <x v="321"/>
    <x v="4"/>
    <x v="3"/>
    <x v="321"/>
    <x v="3"/>
    <n v="10826.05"/>
    <x v="321"/>
    <x v="88"/>
    <x v="4"/>
    <x v="13"/>
    <s v="REGULAR ORDER"/>
    <s v="GOOD"/>
  </r>
  <r>
    <x v="322"/>
    <x v="3"/>
    <x v="0"/>
    <x v="322"/>
    <x v="0"/>
    <n v="196388.04"/>
    <x v="322"/>
    <x v="201"/>
    <x v="3"/>
    <x v="13"/>
    <s v="BULK ORDER"/>
    <s v="GOOD"/>
  </r>
  <r>
    <x v="323"/>
    <x v="12"/>
    <x v="1"/>
    <x v="323"/>
    <x v="1"/>
    <n v="11032.2"/>
    <x v="323"/>
    <x v="205"/>
    <x v="1"/>
    <x v="13"/>
    <s v="BULK ORDER"/>
    <s v="GOOD"/>
  </r>
  <r>
    <x v="324"/>
    <x v="2"/>
    <x v="2"/>
    <x v="324"/>
    <x v="2"/>
    <n v="5311.6"/>
    <x v="324"/>
    <x v="68"/>
    <x v="2"/>
    <x v="13"/>
    <s v="REGULAR ORDER"/>
    <s v="GOOD"/>
  </r>
  <r>
    <x v="325"/>
    <x v="8"/>
    <x v="0"/>
    <x v="325"/>
    <x v="4"/>
    <n v="143792.09999999998"/>
    <x v="325"/>
    <x v="92"/>
    <x v="2"/>
    <x v="13"/>
    <s v="BULK ORDER"/>
    <s v="GOOD"/>
  </r>
  <r>
    <x v="326"/>
    <x v="3"/>
    <x v="0"/>
    <x v="326"/>
    <x v="0"/>
    <n v="57144.08"/>
    <x v="326"/>
    <x v="212"/>
    <x v="1"/>
    <x v="13"/>
    <s v="BULK ORDER"/>
    <s v="GOOD"/>
  </r>
  <r>
    <x v="327"/>
    <x v="24"/>
    <x v="4"/>
    <x v="327"/>
    <x v="4"/>
    <n v="214938.2"/>
    <x v="327"/>
    <x v="188"/>
    <x v="4"/>
    <x v="13"/>
    <s v="BULK ORDER"/>
    <s v="GOOD"/>
  </r>
  <r>
    <x v="328"/>
    <x v="7"/>
    <x v="2"/>
    <x v="328"/>
    <x v="2"/>
    <n v="58186.04"/>
    <x v="328"/>
    <x v="213"/>
    <x v="5"/>
    <x v="13"/>
    <s v="REGULAR ORDER"/>
    <s v="GOOD"/>
  </r>
  <r>
    <x v="329"/>
    <x v="12"/>
    <x v="1"/>
    <x v="329"/>
    <x v="4"/>
    <n v="230397.44999999998"/>
    <x v="329"/>
    <x v="214"/>
    <x v="2"/>
    <x v="13"/>
    <s v="BULK ORDER"/>
    <s v="GOOD"/>
  </r>
  <r>
    <x v="330"/>
    <x v="15"/>
    <x v="4"/>
    <x v="330"/>
    <x v="0"/>
    <n v="104667.56"/>
    <x v="330"/>
    <x v="94"/>
    <x v="3"/>
    <x v="13"/>
    <s v="BULK ORDER"/>
    <s v="GOOD"/>
  </r>
  <r>
    <x v="331"/>
    <x v="15"/>
    <x v="4"/>
    <x v="331"/>
    <x v="2"/>
    <n v="67086.38"/>
    <x v="331"/>
    <x v="215"/>
    <x v="1"/>
    <x v="13"/>
    <s v="REGULAR ORDER"/>
    <s v="GOOD"/>
  </r>
  <r>
    <x v="332"/>
    <x v="5"/>
    <x v="1"/>
    <x v="332"/>
    <x v="0"/>
    <n v="129840.52"/>
    <x v="332"/>
    <x v="216"/>
    <x v="3"/>
    <x v="13"/>
    <s v="BULK ORDER"/>
    <s v="GOOD"/>
  </r>
  <r>
    <x v="333"/>
    <x v="8"/>
    <x v="0"/>
    <x v="333"/>
    <x v="1"/>
    <n v="32208.959999999999"/>
    <x v="333"/>
    <x v="72"/>
    <x v="1"/>
    <x v="13"/>
    <s v="BULK ORDER"/>
    <s v="GOOD"/>
  </r>
  <r>
    <x v="334"/>
    <x v="17"/>
    <x v="4"/>
    <x v="334"/>
    <x v="0"/>
    <n v="106111.12"/>
    <x v="334"/>
    <x v="183"/>
    <x v="2"/>
    <x v="13"/>
    <s v="BULK ORDER"/>
    <s v="GOOD"/>
  </r>
  <r>
    <x v="335"/>
    <x v="13"/>
    <x v="1"/>
    <x v="335"/>
    <x v="4"/>
    <n v="185852"/>
    <x v="335"/>
    <x v="186"/>
    <x v="5"/>
    <x v="13"/>
    <s v="BULK ORDER"/>
    <s v="GOOD"/>
  </r>
  <r>
    <x v="336"/>
    <x v="14"/>
    <x v="3"/>
    <x v="336"/>
    <x v="4"/>
    <n v="129678.3"/>
    <x v="336"/>
    <x v="10"/>
    <x v="5"/>
    <x v="13"/>
    <s v="BULK ORDER"/>
    <s v="GOOD"/>
  </r>
  <r>
    <x v="337"/>
    <x v="8"/>
    <x v="0"/>
    <x v="337"/>
    <x v="0"/>
    <n v="68038.92"/>
    <x v="337"/>
    <x v="217"/>
    <x v="5"/>
    <x v="13"/>
    <s v="BULK ORDER"/>
    <s v="GOOD"/>
  </r>
  <r>
    <x v="338"/>
    <x v="5"/>
    <x v="1"/>
    <x v="338"/>
    <x v="2"/>
    <n v="20483.560000000001"/>
    <x v="338"/>
    <x v="142"/>
    <x v="4"/>
    <x v="13"/>
    <s v="REGULAR ORDER"/>
    <s v="GOOD"/>
  </r>
  <r>
    <x v="339"/>
    <x v="15"/>
    <x v="4"/>
    <x v="339"/>
    <x v="0"/>
    <n v="24458.2"/>
    <x v="339"/>
    <x v="89"/>
    <x v="5"/>
    <x v="13"/>
    <s v="BULK ORDER"/>
    <s v="GOOD"/>
  </r>
  <r>
    <x v="340"/>
    <x v="19"/>
    <x v="2"/>
    <x v="340"/>
    <x v="2"/>
    <n v="8085.12"/>
    <x v="340"/>
    <x v="169"/>
    <x v="5"/>
    <x v="13"/>
    <s v="REGULAR ORDER"/>
    <s v="GOOD"/>
  </r>
  <r>
    <x v="341"/>
    <x v="14"/>
    <x v="3"/>
    <x v="341"/>
    <x v="0"/>
    <n v="114715.52"/>
    <x v="341"/>
    <x v="209"/>
    <x v="2"/>
    <x v="13"/>
    <s v="BULK ORDER"/>
    <s v="GOOD"/>
  </r>
  <r>
    <x v="342"/>
    <x v="20"/>
    <x v="1"/>
    <x v="342"/>
    <x v="2"/>
    <n v="63956.06"/>
    <x v="342"/>
    <x v="9"/>
    <x v="3"/>
    <x v="13"/>
    <s v="REGULAR ORDER"/>
    <s v="GOOD"/>
  </r>
  <r>
    <x v="343"/>
    <x v="17"/>
    <x v="4"/>
    <x v="343"/>
    <x v="0"/>
    <n v="118419.08"/>
    <x v="343"/>
    <x v="3"/>
    <x v="4"/>
    <x v="13"/>
    <s v="BULK ORDER"/>
    <s v="GOOD"/>
  </r>
  <r>
    <x v="344"/>
    <x v="21"/>
    <x v="4"/>
    <x v="344"/>
    <x v="2"/>
    <n v="39855.440000000002"/>
    <x v="344"/>
    <x v="218"/>
    <x v="3"/>
    <x v="13"/>
    <s v="REGULAR ORDER"/>
    <s v="GOOD"/>
  </r>
  <r>
    <x v="345"/>
    <x v="10"/>
    <x v="3"/>
    <x v="345"/>
    <x v="4"/>
    <n v="115626.65000000001"/>
    <x v="345"/>
    <x v="127"/>
    <x v="5"/>
    <x v="13"/>
    <s v="BULK ORDER"/>
    <s v="GOOD"/>
  </r>
  <r>
    <x v="346"/>
    <x v="12"/>
    <x v="1"/>
    <x v="346"/>
    <x v="0"/>
    <n v="143053.92000000001"/>
    <x v="346"/>
    <x v="219"/>
    <x v="1"/>
    <x v="13"/>
    <s v="BULK ORDER"/>
    <s v="GOOD"/>
  </r>
  <r>
    <x v="347"/>
    <x v="20"/>
    <x v="1"/>
    <x v="347"/>
    <x v="2"/>
    <n v="51022.92"/>
    <x v="347"/>
    <x v="220"/>
    <x v="2"/>
    <x v="13"/>
    <s v="REGULAR ORDER"/>
    <s v="GOOD"/>
  </r>
  <r>
    <x v="348"/>
    <x v="8"/>
    <x v="0"/>
    <x v="348"/>
    <x v="3"/>
    <n v="47651.19"/>
    <x v="348"/>
    <x v="211"/>
    <x v="2"/>
    <x v="14"/>
    <s v="REGULAR ORDER"/>
    <s v="GOOD"/>
  </r>
  <r>
    <x v="349"/>
    <x v="14"/>
    <x v="3"/>
    <x v="349"/>
    <x v="3"/>
    <n v="29745"/>
    <x v="349"/>
    <x v="221"/>
    <x v="1"/>
    <x v="14"/>
    <s v="REGULAR ORDER"/>
    <s v="GOOD"/>
  </r>
  <r>
    <x v="350"/>
    <x v="19"/>
    <x v="2"/>
    <x v="350"/>
    <x v="0"/>
    <n v="75322.36"/>
    <x v="350"/>
    <x v="174"/>
    <x v="2"/>
    <x v="14"/>
    <s v="BULK ORDER"/>
    <s v="GOOD"/>
  </r>
  <r>
    <x v="351"/>
    <x v="8"/>
    <x v="0"/>
    <x v="351"/>
    <x v="2"/>
    <n v="38996.639999999999"/>
    <x v="351"/>
    <x v="69"/>
    <x v="3"/>
    <x v="14"/>
    <s v="REGULAR ORDER"/>
    <s v="GOOD"/>
  </r>
  <r>
    <x v="352"/>
    <x v="4"/>
    <x v="3"/>
    <x v="352"/>
    <x v="1"/>
    <n v="79847.91"/>
    <x v="352"/>
    <x v="222"/>
    <x v="2"/>
    <x v="14"/>
    <s v="BULK ORDER"/>
    <s v="GOOD"/>
  </r>
  <r>
    <x v="353"/>
    <x v="1"/>
    <x v="1"/>
    <x v="353"/>
    <x v="1"/>
    <n v="98472.150000000009"/>
    <x v="353"/>
    <x v="95"/>
    <x v="3"/>
    <x v="14"/>
    <s v="BULK ORDER"/>
    <s v="GOOD"/>
  </r>
  <r>
    <x v="354"/>
    <x v="20"/>
    <x v="1"/>
    <x v="354"/>
    <x v="4"/>
    <n v="38857.9"/>
    <x v="354"/>
    <x v="206"/>
    <x v="5"/>
    <x v="14"/>
    <s v="BULK ORDER"/>
    <s v="GOOD"/>
  </r>
  <r>
    <x v="355"/>
    <x v="22"/>
    <x v="3"/>
    <x v="355"/>
    <x v="3"/>
    <n v="27400.84"/>
    <x v="355"/>
    <x v="85"/>
    <x v="2"/>
    <x v="14"/>
    <s v="REGULAR ORDER"/>
    <s v="GOOD"/>
  </r>
  <r>
    <x v="356"/>
    <x v="15"/>
    <x v="4"/>
    <x v="356"/>
    <x v="2"/>
    <n v="12075.96"/>
    <x v="356"/>
    <x v="212"/>
    <x v="0"/>
    <x v="14"/>
    <s v="REGULAR ORDER"/>
    <s v="GOOD"/>
  </r>
  <r>
    <x v="357"/>
    <x v="13"/>
    <x v="1"/>
    <x v="357"/>
    <x v="4"/>
    <n v="202430.40000000002"/>
    <x v="357"/>
    <x v="34"/>
    <x v="4"/>
    <x v="14"/>
    <s v="BULK ORDER"/>
    <s v="GOOD"/>
  </r>
  <r>
    <x v="358"/>
    <x v="2"/>
    <x v="2"/>
    <x v="358"/>
    <x v="2"/>
    <n v="8633.64"/>
    <x v="358"/>
    <x v="223"/>
    <x v="3"/>
    <x v="14"/>
    <s v="REGULAR ORDER"/>
    <s v="GOOD"/>
  </r>
  <r>
    <x v="359"/>
    <x v="11"/>
    <x v="2"/>
    <x v="359"/>
    <x v="3"/>
    <n v="6842.69"/>
    <x v="359"/>
    <x v="224"/>
    <x v="1"/>
    <x v="14"/>
    <s v="REGULAR ORDER"/>
    <s v="GOOD"/>
  </r>
  <r>
    <x v="360"/>
    <x v="18"/>
    <x v="3"/>
    <x v="360"/>
    <x v="4"/>
    <n v="227661.69999999998"/>
    <x v="360"/>
    <x v="216"/>
    <x v="3"/>
    <x v="14"/>
    <s v="BULK ORDER"/>
    <s v="GOOD"/>
  </r>
  <r>
    <x v="361"/>
    <x v="15"/>
    <x v="4"/>
    <x v="361"/>
    <x v="2"/>
    <n v="50229.54"/>
    <x v="361"/>
    <x v="225"/>
    <x v="0"/>
    <x v="14"/>
    <s v="REGULAR ORDER"/>
    <s v="GOOD"/>
  </r>
  <r>
    <x v="362"/>
    <x v="8"/>
    <x v="0"/>
    <x v="362"/>
    <x v="4"/>
    <n v="101012.8"/>
    <x v="362"/>
    <x v="226"/>
    <x v="3"/>
    <x v="14"/>
    <s v="BULK ORDER"/>
    <s v="GOOD"/>
  </r>
  <r>
    <x v="363"/>
    <x v="24"/>
    <x v="4"/>
    <x v="363"/>
    <x v="2"/>
    <n v="16160.44"/>
    <x v="363"/>
    <x v="227"/>
    <x v="5"/>
    <x v="14"/>
    <s v="REGULAR ORDER"/>
    <s v="GOOD"/>
  </r>
  <r>
    <x v="364"/>
    <x v="16"/>
    <x v="0"/>
    <x v="364"/>
    <x v="3"/>
    <n v="34866.42"/>
    <x v="364"/>
    <x v="189"/>
    <x v="0"/>
    <x v="14"/>
    <s v="REGULAR ORDER"/>
    <s v="GOOD"/>
  </r>
  <r>
    <x v="365"/>
    <x v="21"/>
    <x v="4"/>
    <x v="365"/>
    <x v="4"/>
    <n v="68815.850000000006"/>
    <x v="365"/>
    <x v="59"/>
    <x v="4"/>
    <x v="14"/>
    <s v="BULK ORDER"/>
    <s v="GOOD"/>
  </r>
  <r>
    <x v="366"/>
    <x v="14"/>
    <x v="3"/>
    <x v="366"/>
    <x v="3"/>
    <n v="11448.28"/>
    <x v="366"/>
    <x v="139"/>
    <x v="2"/>
    <x v="14"/>
    <s v="REGULAR ORDER"/>
    <s v="GOOD"/>
  </r>
  <r>
    <x v="367"/>
    <x v="4"/>
    <x v="3"/>
    <x v="367"/>
    <x v="1"/>
    <n v="43909.649999999994"/>
    <x v="367"/>
    <x v="228"/>
    <x v="3"/>
    <x v="14"/>
    <s v="BULK ORDER"/>
    <s v="GOOD"/>
  </r>
  <r>
    <x v="368"/>
    <x v="22"/>
    <x v="3"/>
    <x v="368"/>
    <x v="2"/>
    <n v="83852.06"/>
    <x v="368"/>
    <x v="126"/>
    <x v="0"/>
    <x v="14"/>
    <s v="REGULAR ORDER"/>
    <s v="GOOD"/>
  </r>
  <r>
    <x v="369"/>
    <x v="8"/>
    <x v="0"/>
    <x v="369"/>
    <x v="0"/>
    <n v="174427.32"/>
    <x v="369"/>
    <x v="229"/>
    <x v="5"/>
    <x v="14"/>
    <s v="BULK ORDER"/>
    <s v="GOOD"/>
  </r>
  <r>
    <x v="370"/>
    <x v="12"/>
    <x v="1"/>
    <x v="370"/>
    <x v="1"/>
    <n v="40678.17"/>
    <x v="370"/>
    <x v="19"/>
    <x v="2"/>
    <x v="14"/>
    <s v="BULK ORDER"/>
    <s v="GOOD"/>
  </r>
  <r>
    <x v="371"/>
    <x v="12"/>
    <x v="1"/>
    <x v="371"/>
    <x v="3"/>
    <n v="11540.73"/>
    <x v="371"/>
    <x v="230"/>
    <x v="4"/>
    <x v="14"/>
    <s v="REGULAR ORDER"/>
    <s v="GOOD"/>
  </r>
  <r>
    <x v="372"/>
    <x v="13"/>
    <x v="1"/>
    <x v="372"/>
    <x v="2"/>
    <n v="11071.52"/>
    <x v="372"/>
    <x v="231"/>
    <x v="1"/>
    <x v="14"/>
    <s v="REGULAR ORDER"/>
    <s v="GOOD"/>
  </r>
  <r>
    <x v="373"/>
    <x v="7"/>
    <x v="2"/>
    <x v="373"/>
    <x v="4"/>
    <n v="76200.800000000003"/>
    <x v="373"/>
    <x v="147"/>
    <x v="2"/>
    <x v="14"/>
    <s v="BULK ORDER"/>
    <s v="GOOD"/>
  </r>
  <r>
    <x v="374"/>
    <x v="4"/>
    <x v="3"/>
    <x v="374"/>
    <x v="2"/>
    <n v="59562.22"/>
    <x v="374"/>
    <x v="232"/>
    <x v="5"/>
    <x v="14"/>
    <s v="REGULAR ORDER"/>
    <s v="GOOD"/>
  </r>
  <r>
    <x v="375"/>
    <x v="9"/>
    <x v="2"/>
    <x v="375"/>
    <x v="1"/>
    <n v="17136.63"/>
    <x v="375"/>
    <x v="28"/>
    <x v="1"/>
    <x v="14"/>
    <s v="BULK ORDER"/>
    <s v="GOOD"/>
  </r>
  <r>
    <x v="376"/>
    <x v="9"/>
    <x v="2"/>
    <x v="376"/>
    <x v="2"/>
    <n v="98139.12"/>
    <x v="376"/>
    <x v="13"/>
    <x v="5"/>
    <x v="15"/>
    <s v="REGULAR ORDER"/>
    <s v="GOOD"/>
  </r>
  <r>
    <x v="377"/>
    <x v="18"/>
    <x v="3"/>
    <x v="377"/>
    <x v="2"/>
    <n v="98710.9"/>
    <x v="377"/>
    <x v="233"/>
    <x v="0"/>
    <x v="15"/>
    <s v="REGULAR ORDER"/>
    <s v="GOOD"/>
  </r>
  <r>
    <x v="378"/>
    <x v="10"/>
    <x v="3"/>
    <x v="378"/>
    <x v="0"/>
    <n v="3862.04"/>
    <x v="378"/>
    <x v="234"/>
    <x v="0"/>
    <x v="15"/>
    <s v="BULK ORDER"/>
    <s v="GOOD"/>
  </r>
  <r>
    <x v="379"/>
    <x v="24"/>
    <x v="4"/>
    <x v="379"/>
    <x v="3"/>
    <n v="33613.18"/>
    <x v="379"/>
    <x v="153"/>
    <x v="4"/>
    <x v="15"/>
    <s v="REGULAR ORDER"/>
    <s v="GOOD"/>
  </r>
  <r>
    <x v="380"/>
    <x v="18"/>
    <x v="3"/>
    <x v="380"/>
    <x v="1"/>
    <n v="65224.59"/>
    <x v="380"/>
    <x v="74"/>
    <x v="0"/>
    <x v="15"/>
    <s v="BULK ORDER"/>
    <s v="GOOD"/>
  </r>
  <r>
    <x v="381"/>
    <x v="10"/>
    <x v="3"/>
    <x v="381"/>
    <x v="3"/>
    <n v="39749.19"/>
    <x v="381"/>
    <x v="124"/>
    <x v="0"/>
    <x v="15"/>
    <s v="REGULAR ORDER"/>
    <s v="GOOD"/>
  </r>
  <r>
    <x v="382"/>
    <x v="4"/>
    <x v="3"/>
    <x v="382"/>
    <x v="0"/>
    <n v="148814.6"/>
    <x v="382"/>
    <x v="192"/>
    <x v="4"/>
    <x v="15"/>
    <s v="BULK ORDER"/>
    <s v="GOOD"/>
  </r>
  <r>
    <x v="383"/>
    <x v="1"/>
    <x v="1"/>
    <x v="383"/>
    <x v="3"/>
    <n v="46858.63"/>
    <x v="383"/>
    <x v="76"/>
    <x v="5"/>
    <x v="15"/>
    <s v="REGULAR ORDER"/>
    <s v="GOOD"/>
  </r>
  <r>
    <x v="384"/>
    <x v="8"/>
    <x v="0"/>
    <x v="384"/>
    <x v="0"/>
    <n v="89903.76"/>
    <x v="384"/>
    <x v="61"/>
    <x v="5"/>
    <x v="15"/>
    <s v="BULK ORDER"/>
    <s v="GOOD"/>
  </r>
  <r>
    <x v="385"/>
    <x v="4"/>
    <x v="3"/>
    <x v="385"/>
    <x v="2"/>
    <n v="51228.7"/>
    <x v="385"/>
    <x v="151"/>
    <x v="4"/>
    <x v="15"/>
    <s v="REGULAR ORDER"/>
    <s v="GOOD"/>
  </r>
  <r>
    <x v="386"/>
    <x v="9"/>
    <x v="2"/>
    <x v="386"/>
    <x v="4"/>
    <n v="72530.55"/>
    <x v="386"/>
    <x v="17"/>
    <x v="5"/>
    <x v="15"/>
    <s v="BULK ORDER"/>
    <s v="GOOD"/>
  </r>
  <r>
    <x v="387"/>
    <x v="21"/>
    <x v="4"/>
    <x v="387"/>
    <x v="1"/>
    <n v="134311.95000000001"/>
    <x v="387"/>
    <x v="235"/>
    <x v="4"/>
    <x v="15"/>
    <s v="BULK ORDER"/>
    <s v="GOOD"/>
  </r>
  <r>
    <x v="388"/>
    <x v="24"/>
    <x v="4"/>
    <x v="388"/>
    <x v="0"/>
    <n v="101518.72"/>
    <x v="388"/>
    <x v="66"/>
    <x v="4"/>
    <x v="15"/>
    <s v="BULK ORDER"/>
    <s v="GOOD"/>
  </r>
  <r>
    <x v="389"/>
    <x v="6"/>
    <x v="0"/>
    <x v="389"/>
    <x v="1"/>
    <n v="148684.71"/>
    <x v="389"/>
    <x v="236"/>
    <x v="2"/>
    <x v="15"/>
    <s v="BULK ORDER"/>
    <s v="GOOD"/>
  </r>
  <r>
    <x v="390"/>
    <x v="21"/>
    <x v="4"/>
    <x v="390"/>
    <x v="0"/>
    <n v="104387.84"/>
    <x v="390"/>
    <x v="112"/>
    <x v="5"/>
    <x v="15"/>
    <s v="BULK ORDER"/>
    <s v="GOOD"/>
  </r>
  <r>
    <x v="391"/>
    <x v="0"/>
    <x v="0"/>
    <x v="391"/>
    <x v="1"/>
    <n v="142692.87"/>
    <x v="391"/>
    <x v="237"/>
    <x v="2"/>
    <x v="15"/>
    <s v="BULK ORDER"/>
    <s v="GOOD"/>
  </r>
  <r>
    <x v="392"/>
    <x v="2"/>
    <x v="2"/>
    <x v="392"/>
    <x v="2"/>
    <n v="1808.58"/>
    <x v="392"/>
    <x v="233"/>
    <x v="5"/>
    <x v="15"/>
    <s v="REGULAR ORDER"/>
    <s v="GOOD"/>
  </r>
  <r>
    <x v="393"/>
    <x v="4"/>
    <x v="3"/>
    <x v="393"/>
    <x v="1"/>
    <n v="90932.76"/>
    <x v="393"/>
    <x v="0"/>
    <x v="1"/>
    <x v="15"/>
    <s v="BULK ORDER"/>
    <s v="GOOD"/>
  </r>
  <r>
    <x v="394"/>
    <x v="24"/>
    <x v="4"/>
    <x v="394"/>
    <x v="2"/>
    <n v="66142.179999999993"/>
    <x v="394"/>
    <x v="179"/>
    <x v="0"/>
    <x v="15"/>
    <s v="REGULAR ORDER"/>
    <s v="GOOD"/>
  </r>
  <r>
    <x v="395"/>
    <x v="4"/>
    <x v="3"/>
    <x v="395"/>
    <x v="4"/>
    <n v="52111.4"/>
    <x v="395"/>
    <x v="238"/>
    <x v="2"/>
    <x v="15"/>
    <s v="BULK ORDER"/>
    <s v="GOOD"/>
  </r>
  <r>
    <x v="396"/>
    <x v="4"/>
    <x v="3"/>
    <x v="396"/>
    <x v="4"/>
    <n v="60986.8"/>
    <x v="396"/>
    <x v="175"/>
    <x v="5"/>
    <x v="15"/>
    <s v="BULK ORDER"/>
    <s v="GOOD"/>
  </r>
  <r>
    <x v="397"/>
    <x v="6"/>
    <x v="0"/>
    <x v="397"/>
    <x v="3"/>
    <n v="16017.54"/>
    <x v="397"/>
    <x v="54"/>
    <x v="1"/>
    <x v="15"/>
    <s v="REGULAR ORDER"/>
    <s v="GOOD"/>
  </r>
  <r>
    <x v="398"/>
    <x v="22"/>
    <x v="3"/>
    <x v="398"/>
    <x v="3"/>
    <n v="21881.01"/>
    <x v="398"/>
    <x v="18"/>
    <x v="4"/>
    <x v="15"/>
    <s v="REGULAR ORDER"/>
    <s v="GOOD"/>
  </r>
  <r>
    <x v="399"/>
    <x v="1"/>
    <x v="1"/>
    <x v="399"/>
    <x v="1"/>
    <n v="18006.75"/>
    <x v="399"/>
    <x v="221"/>
    <x v="0"/>
    <x v="15"/>
    <s v="BULK ORDER"/>
    <s v="GOOD"/>
  </r>
  <r>
    <x v="400"/>
    <x v="15"/>
    <x v="4"/>
    <x v="400"/>
    <x v="4"/>
    <n v="30111.550000000003"/>
    <x v="400"/>
    <x v="239"/>
    <x v="3"/>
    <x v="15"/>
    <s v="BULK ORDER"/>
    <s v="GOOD"/>
  </r>
  <r>
    <x v="401"/>
    <x v="24"/>
    <x v="4"/>
    <x v="401"/>
    <x v="4"/>
    <n v="69425.25"/>
    <x v="401"/>
    <x v="240"/>
    <x v="3"/>
    <x v="15"/>
    <s v="BULK ORDER"/>
    <s v="GOOD"/>
  </r>
  <r>
    <x v="402"/>
    <x v="3"/>
    <x v="0"/>
    <x v="402"/>
    <x v="1"/>
    <n v="10183.14"/>
    <x v="402"/>
    <x v="238"/>
    <x v="1"/>
    <x v="15"/>
    <s v="BULK ORDER"/>
    <s v="GOOD"/>
  </r>
  <r>
    <x v="403"/>
    <x v="11"/>
    <x v="2"/>
    <x v="403"/>
    <x v="1"/>
    <n v="74040.569999999992"/>
    <x v="403"/>
    <x v="149"/>
    <x v="0"/>
    <x v="15"/>
    <s v="BULK ORDER"/>
    <s v="GOOD"/>
  </r>
  <r>
    <x v="404"/>
    <x v="8"/>
    <x v="0"/>
    <x v="404"/>
    <x v="3"/>
    <n v="17212.34"/>
    <x v="404"/>
    <x v="176"/>
    <x v="0"/>
    <x v="15"/>
    <s v="REGULAR ORDER"/>
    <s v="GOOD"/>
  </r>
  <r>
    <x v="405"/>
    <x v="10"/>
    <x v="3"/>
    <x v="405"/>
    <x v="1"/>
    <n v="122960.45999999999"/>
    <x v="405"/>
    <x v="115"/>
    <x v="0"/>
    <x v="15"/>
    <s v="BULK ORDER"/>
    <s v="GOOD"/>
  </r>
  <r>
    <x v="406"/>
    <x v="7"/>
    <x v="2"/>
    <x v="406"/>
    <x v="1"/>
    <n v="1621.8899999999999"/>
    <x v="406"/>
    <x v="181"/>
    <x v="0"/>
    <x v="15"/>
    <s v="BULK ORDER"/>
    <s v="GOOD"/>
  </r>
  <r>
    <x v="407"/>
    <x v="5"/>
    <x v="1"/>
    <x v="407"/>
    <x v="2"/>
    <n v="59430.62"/>
    <x v="407"/>
    <x v="181"/>
    <x v="0"/>
    <x v="15"/>
    <s v="REGULAR ORDER"/>
    <s v="GOOD"/>
  </r>
  <r>
    <x v="408"/>
    <x v="24"/>
    <x v="4"/>
    <x v="408"/>
    <x v="0"/>
    <n v="109476.68"/>
    <x v="408"/>
    <x v="28"/>
    <x v="1"/>
    <x v="15"/>
    <s v="BULK ORDER"/>
    <s v="GOOD"/>
  </r>
  <r>
    <x v="409"/>
    <x v="6"/>
    <x v="0"/>
    <x v="409"/>
    <x v="0"/>
    <n v="2638.92"/>
    <x v="409"/>
    <x v="106"/>
    <x v="1"/>
    <x v="15"/>
    <s v="BULK ORDER"/>
    <s v="GOOD"/>
  </r>
  <r>
    <x v="410"/>
    <x v="15"/>
    <x v="4"/>
    <x v="410"/>
    <x v="2"/>
    <n v="2868.46"/>
    <x v="410"/>
    <x v="241"/>
    <x v="1"/>
    <x v="15"/>
    <s v="REGULAR ORDER"/>
    <s v="GOOD"/>
  </r>
  <r>
    <x v="411"/>
    <x v="15"/>
    <x v="4"/>
    <x v="411"/>
    <x v="0"/>
    <n v="8212.44"/>
    <x v="411"/>
    <x v="111"/>
    <x v="0"/>
    <x v="16"/>
    <s v="BULK ORDER"/>
    <s v="GOOD"/>
  </r>
  <r>
    <x v="412"/>
    <x v="12"/>
    <x v="1"/>
    <x v="412"/>
    <x v="1"/>
    <n v="6474.36"/>
    <x v="412"/>
    <x v="20"/>
    <x v="0"/>
    <x v="16"/>
    <s v="BULK ORDER"/>
    <s v="GOOD"/>
  </r>
  <r>
    <x v="413"/>
    <x v="9"/>
    <x v="2"/>
    <x v="413"/>
    <x v="1"/>
    <n v="116813.75999999999"/>
    <x v="413"/>
    <x v="22"/>
    <x v="3"/>
    <x v="16"/>
    <s v="BULK ORDER"/>
    <s v="GOOD"/>
  </r>
  <r>
    <x v="414"/>
    <x v="5"/>
    <x v="1"/>
    <x v="414"/>
    <x v="4"/>
    <n v="231691.45"/>
    <x v="414"/>
    <x v="56"/>
    <x v="0"/>
    <x v="16"/>
    <s v="BULK ORDER"/>
    <s v="GOOD"/>
  </r>
  <r>
    <x v="415"/>
    <x v="2"/>
    <x v="2"/>
    <x v="415"/>
    <x v="0"/>
    <n v="82452.56"/>
    <x v="415"/>
    <x v="67"/>
    <x v="1"/>
    <x v="16"/>
    <s v="BULK ORDER"/>
    <s v="GOOD"/>
  </r>
  <r>
    <x v="416"/>
    <x v="13"/>
    <x v="1"/>
    <x v="416"/>
    <x v="4"/>
    <n v="17160"/>
    <x v="416"/>
    <x v="181"/>
    <x v="3"/>
    <x v="16"/>
    <s v="BULK ORDER"/>
    <s v="GOOD"/>
  </r>
  <r>
    <x v="417"/>
    <x v="19"/>
    <x v="2"/>
    <x v="417"/>
    <x v="4"/>
    <n v="162687.29999999999"/>
    <x v="417"/>
    <x v="202"/>
    <x v="1"/>
    <x v="16"/>
    <s v="BULK ORDER"/>
    <s v="GOOD"/>
  </r>
  <r>
    <x v="418"/>
    <x v="14"/>
    <x v="3"/>
    <x v="418"/>
    <x v="3"/>
    <n v="5413.09"/>
    <x v="418"/>
    <x v="242"/>
    <x v="1"/>
    <x v="16"/>
    <s v="REGULAR ORDER"/>
    <s v="GOOD"/>
  </r>
  <r>
    <x v="419"/>
    <x v="21"/>
    <x v="4"/>
    <x v="419"/>
    <x v="3"/>
    <n v="42189.9"/>
    <x v="419"/>
    <x v="134"/>
    <x v="3"/>
    <x v="16"/>
    <s v="REGULAR ORDER"/>
    <s v="GOOD"/>
  </r>
  <r>
    <x v="420"/>
    <x v="10"/>
    <x v="3"/>
    <x v="420"/>
    <x v="2"/>
    <n v="29594.54"/>
    <x v="420"/>
    <x v="243"/>
    <x v="1"/>
    <x v="16"/>
    <s v="REGULAR ORDER"/>
    <s v="GOOD"/>
  </r>
  <r>
    <x v="421"/>
    <x v="2"/>
    <x v="2"/>
    <x v="421"/>
    <x v="0"/>
    <n v="18326.919999999998"/>
    <x v="421"/>
    <x v="244"/>
    <x v="3"/>
    <x v="16"/>
    <s v="BULK ORDER"/>
    <s v="GOOD"/>
  </r>
  <r>
    <x v="422"/>
    <x v="5"/>
    <x v="1"/>
    <x v="422"/>
    <x v="0"/>
    <n v="122886.04"/>
    <x v="422"/>
    <x v="27"/>
    <x v="4"/>
    <x v="16"/>
    <s v="BULK ORDER"/>
    <s v="GOOD"/>
  </r>
  <r>
    <x v="423"/>
    <x v="8"/>
    <x v="0"/>
    <x v="423"/>
    <x v="0"/>
    <n v="1848"/>
    <x v="423"/>
    <x v="50"/>
    <x v="0"/>
    <x v="16"/>
    <s v="BULK ORDER"/>
    <s v="GOOD"/>
  </r>
  <r>
    <x v="424"/>
    <x v="14"/>
    <x v="3"/>
    <x v="424"/>
    <x v="4"/>
    <n v="155811.95000000001"/>
    <x v="424"/>
    <x v="245"/>
    <x v="3"/>
    <x v="16"/>
    <s v="BULK ORDER"/>
    <s v="GOOD"/>
  </r>
  <r>
    <x v="425"/>
    <x v="24"/>
    <x v="4"/>
    <x v="425"/>
    <x v="2"/>
    <n v="24844.18"/>
    <x v="425"/>
    <x v="65"/>
    <x v="0"/>
    <x v="16"/>
    <s v="REGULAR ORDER"/>
    <s v="GOOD"/>
  </r>
  <r>
    <x v="426"/>
    <x v="4"/>
    <x v="3"/>
    <x v="426"/>
    <x v="4"/>
    <n v="125809.55"/>
    <x v="426"/>
    <x v="166"/>
    <x v="4"/>
    <x v="16"/>
    <s v="BULK ORDER"/>
    <s v="GOOD"/>
  </r>
  <r>
    <x v="427"/>
    <x v="23"/>
    <x v="4"/>
    <x v="427"/>
    <x v="4"/>
    <n v="218598.55"/>
    <x v="427"/>
    <x v="217"/>
    <x v="1"/>
    <x v="16"/>
    <s v="BULK ORDER"/>
    <s v="GOOD"/>
  </r>
  <r>
    <x v="428"/>
    <x v="18"/>
    <x v="3"/>
    <x v="428"/>
    <x v="2"/>
    <n v="42944.28"/>
    <x v="428"/>
    <x v="246"/>
    <x v="5"/>
    <x v="16"/>
    <s v="REGULAR ORDER"/>
    <s v="GOOD"/>
  </r>
  <r>
    <x v="429"/>
    <x v="16"/>
    <x v="0"/>
    <x v="429"/>
    <x v="3"/>
    <n v="33472.93"/>
    <x v="429"/>
    <x v="247"/>
    <x v="3"/>
    <x v="16"/>
    <s v="REGULAR ORDER"/>
    <s v="GOOD"/>
  </r>
  <r>
    <x v="430"/>
    <x v="1"/>
    <x v="1"/>
    <x v="430"/>
    <x v="4"/>
    <n v="119492.90000000001"/>
    <x v="430"/>
    <x v="62"/>
    <x v="3"/>
    <x v="17"/>
    <s v="BULK ORDER"/>
    <s v="GOOD"/>
  </r>
  <r>
    <x v="431"/>
    <x v="16"/>
    <x v="0"/>
    <x v="431"/>
    <x v="0"/>
    <n v="184047.35999999999"/>
    <x v="431"/>
    <x v="233"/>
    <x v="0"/>
    <x v="17"/>
    <s v="BULK ORDER"/>
    <s v="GOOD"/>
  </r>
  <r>
    <x v="432"/>
    <x v="18"/>
    <x v="3"/>
    <x v="432"/>
    <x v="0"/>
    <n v="17440.2"/>
    <x v="432"/>
    <x v="152"/>
    <x v="4"/>
    <x v="17"/>
    <s v="BULK ORDER"/>
    <s v="GOOD"/>
  </r>
  <r>
    <x v="433"/>
    <x v="6"/>
    <x v="0"/>
    <x v="433"/>
    <x v="2"/>
    <n v="70573.94"/>
    <x v="433"/>
    <x v="248"/>
    <x v="2"/>
    <x v="17"/>
    <s v="REGULAR ORDER"/>
    <s v="GOOD"/>
  </r>
  <r>
    <x v="434"/>
    <x v="3"/>
    <x v="0"/>
    <x v="434"/>
    <x v="0"/>
    <n v="134638.68"/>
    <x v="434"/>
    <x v="146"/>
    <x v="4"/>
    <x v="17"/>
    <s v="BULK ORDER"/>
    <s v="GOOD"/>
  </r>
  <r>
    <x v="435"/>
    <x v="21"/>
    <x v="4"/>
    <x v="435"/>
    <x v="0"/>
    <n v="7951.92"/>
    <x v="435"/>
    <x v="171"/>
    <x v="1"/>
    <x v="17"/>
    <s v="BULK ORDER"/>
    <s v="GOOD"/>
  </r>
  <r>
    <x v="436"/>
    <x v="6"/>
    <x v="0"/>
    <x v="436"/>
    <x v="1"/>
    <n v="92931.540000000008"/>
    <x v="436"/>
    <x v="249"/>
    <x v="1"/>
    <x v="17"/>
    <s v="BULK ORDER"/>
    <s v="GOOD"/>
  </r>
  <r>
    <x v="437"/>
    <x v="23"/>
    <x v="4"/>
    <x v="437"/>
    <x v="0"/>
    <n v="184362.6"/>
    <x v="437"/>
    <x v="243"/>
    <x v="1"/>
    <x v="17"/>
    <s v="BULK ORDER"/>
    <s v="GOOD"/>
  </r>
  <r>
    <x v="438"/>
    <x v="24"/>
    <x v="4"/>
    <x v="438"/>
    <x v="0"/>
    <n v="171901.44"/>
    <x v="438"/>
    <x v="250"/>
    <x v="0"/>
    <x v="17"/>
    <s v="BULK ORDER"/>
    <s v="GOOD"/>
  </r>
  <r>
    <x v="439"/>
    <x v="6"/>
    <x v="0"/>
    <x v="439"/>
    <x v="4"/>
    <n v="63788.35"/>
    <x v="439"/>
    <x v="251"/>
    <x v="1"/>
    <x v="17"/>
    <s v="BULK ORDER"/>
    <s v="GOOD"/>
  </r>
  <r>
    <x v="440"/>
    <x v="13"/>
    <x v="1"/>
    <x v="440"/>
    <x v="0"/>
    <n v="77522"/>
    <x v="440"/>
    <x v="252"/>
    <x v="1"/>
    <x v="17"/>
    <s v="BULK ORDER"/>
    <s v="GOOD"/>
  </r>
  <r>
    <x v="441"/>
    <x v="16"/>
    <x v="0"/>
    <x v="441"/>
    <x v="2"/>
    <n v="13927.12"/>
    <x v="441"/>
    <x v="109"/>
    <x v="5"/>
    <x v="17"/>
    <s v="REGULAR ORDER"/>
    <s v="GOOD"/>
  </r>
  <r>
    <x v="442"/>
    <x v="19"/>
    <x v="2"/>
    <x v="442"/>
    <x v="0"/>
    <n v="104882.68"/>
    <x v="442"/>
    <x v="253"/>
    <x v="2"/>
    <x v="17"/>
    <s v="BULK ORDER"/>
    <s v="GOOD"/>
  </r>
  <r>
    <x v="443"/>
    <x v="10"/>
    <x v="3"/>
    <x v="443"/>
    <x v="2"/>
    <n v="58836.66"/>
    <x v="443"/>
    <x v="254"/>
    <x v="0"/>
    <x v="17"/>
    <s v="REGULAR ORDER"/>
    <s v="GOOD"/>
  </r>
  <r>
    <x v="444"/>
    <x v="21"/>
    <x v="4"/>
    <x v="444"/>
    <x v="3"/>
    <n v="19846.64"/>
    <x v="444"/>
    <x v="239"/>
    <x v="2"/>
    <x v="17"/>
    <s v="REGULAR ORDER"/>
    <s v="GOOD"/>
  </r>
  <r>
    <x v="445"/>
    <x v="9"/>
    <x v="2"/>
    <x v="445"/>
    <x v="3"/>
    <n v="18574.12"/>
    <x v="445"/>
    <x v="255"/>
    <x v="4"/>
    <x v="17"/>
    <s v="REGULAR ORDER"/>
    <s v="GOOD"/>
  </r>
  <r>
    <x v="446"/>
    <x v="4"/>
    <x v="3"/>
    <x v="446"/>
    <x v="4"/>
    <n v="55711.899999999994"/>
    <x v="446"/>
    <x v="225"/>
    <x v="3"/>
    <x v="17"/>
    <s v="BULK ORDER"/>
    <s v="GOOD"/>
  </r>
  <r>
    <x v="447"/>
    <x v="2"/>
    <x v="2"/>
    <x v="447"/>
    <x v="3"/>
    <n v="26403.73"/>
    <x v="447"/>
    <x v="249"/>
    <x v="5"/>
    <x v="17"/>
    <s v="REGULAR ORDER"/>
    <s v="GOOD"/>
  </r>
  <r>
    <x v="448"/>
    <x v="18"/>
    <x v="3"/>
    <x v="448"/>
    <x v="1"/>
    <n v="142089.59999999998"/>
    <x v="448"/>
    <x v="217"/>
    <x v="3"/>
    <x v="17"/>
    <s v="BULK ORDER"/>
    <s v="GOOD"/>
  </r>
  <r>
    <x v="449"/>
    <x v="23"/>
    <x v="4"/>
    <x v="449"/>
    <x v="0"/>
    <n v="106202.64"/>
    <x v="449"/>
    <x v="215"/>
    <x v="0"/>
    <x v="17"/>
    <s v="BULK ORDER"/>
    <s v="GOOD"/>
  </r>
  <r>
    <x v="450"/>
    <x v="7"/>
    <x v="2"/>
    <x v="450"/>
    <x v="0"/>
    <n v="54560.4"/>
    <x v="450"/>
    <x v="256"/>
    <x v="4"/>
    <x v="17"/>
    <s v="BULK ORDER"/>
    <s v="GOOD"/>
  </r>
  <r>
    <x v="451"/>
    <x v="14"/>
    <x v="3"/>
    <x v="451"/>
    <x v="3"/>
    <n v="32657.81"/>
    <x v="451"/>
    <x v="249"/>
    <x v="5"/>
    <x v="18"/>
    <s v="REGULAR ORDER"/>
    <s v="GOOD"/>
  </r>
  <r>
    <x v="452"/>
    <x v="18"/>
    <x v="3"/>
    <x v="452"/>
    <x v="1"/>
    <n v="110940.29999999999"/>
    <x v="452"/>
    <x v="125"/>
    <x v="0"/>
    <x v="18"/>
    <s v="BULK ORDER"/>
    <s v="GOOD"/>
  </r>
  <r>
    <x v="453"/>
    <x v="8"/>
    <x v="0"/>
    <x v="453"/>
    <x v="3"/>
    <n v="2097.9899999999998"/>
    <x v="453"/>
    <x v="257"/>
    <x v="5"/>
    <x v="18"/>
    <s v="REGULAR ORDER"/>
    <s v="GOOD"/>
  </r>
  <r>
    <x v="454"/>
    <x v="12"/>
    <x v="1"/>
    <x v="454"/>
    <x v="2"/>
    <n v="25543.82"/>
    <x v="454"/>
    <x v="258"/>
    <x v="4"/>
    <x v="18"/>
    <s v="REGULAR ORDER"/>
    <s v="GOOD"/>
  </r>
  <r>
    <x v="455"/>
    <x v="22"/>
    <x v="3"/>
    <x v="455"/>
    <x v="0"/>
    <n v="150737.12"/>
    <x v="455"/>
    <x v="259"/>
    <x v="0"/>
    <x v="18"/>
    <s v="BULK ORDER"/>
    <s v="GOOD"/>
  </r>
  <r>
    <x v="456"/>
    <x v="23"/>
    <x v="4"/>
    <x v="456"/>
    <x v="4"/>
    <n v="192962.44999999998"/>
    <x v="456"/>
    <x v="260"/>
    <x v="4"/>
    <x v="18"/>
    <s v="BULK ORDER"/>
    <s v="GOOD"/>
  </r>
  <r>
    <x v="457"/>
    <x v="18"/>
    <x v="3"/>
    <x v="457"/>
    <x v="0"/>
    <n v="79517.600000000006"/>
    <x v="457"/>
    <x v="25"/>
    <x v="5"/>
    <x v="18"/>
    <s v="BULK ORDER"/>
    <s v="GOOD"/>
  </r>
  <r>
    <x v="458"/>
    <x v="10"/>
    <x v="3"/>
    <x v="458"/>
    <x v="2"/>
    <n v="54962.3"/>
    <x v="458"/>
    <x v="261"/>
    <x v="0"/>
    <x v="18"/>
    <s v="REGULAR ORDER"/>
    <s v="GOOD"/>
  </r>
  <r>
    <x v="459"/>
    <x v="23"/>
    <x v="4"/>
    <x v="459"/>
    <x v="1"/>
    <n v="36140.699999999997"/>
    <x v="459"/>
    <x v="262"/>
    <x v="0"/>
    <x v="18"/>
    <s v="BULK ORDER"/>
    <s v="GOOD"/>
  </r>
  <r>
    <x v="460"/>
    <x v="2"/>
    <x v="2"/>
    <x v="460"/>
    <x v="1"/>
    <n v="74919.39"/>
    <x v="460"/>
    <x v="106"/>
    <x v="5"/>
    <x v="18"/>
    <s v="BULK ORDER"/>
    <s v="GOOD"/>
  </r>
  <r>
    <x v="461"/>
    <x v="22"/>
    <x v="3"/>
    <x v="461"/>
    <x v="0"/>
    <n v="171784.44"/>
    <x v="461"/>
    <x v="263"/>
    <x v="1"/>
    <x v="18"/>
    <s v="BULK ORDER"/>
    <s v="GOOD"/>
  </r>
  <r>
    <x v="462"/>
    <x v="12"/>
    <x v="1"/>
    <x v="462"/>
    <x v="0"/>
    <n v="192512.08"/>
    <x v="462"/>
    <x v="264"/>
    <x v="4"/>
    <x v="18"/>
    <s v="BULK ORDER"/>
    <s v="GOOD"/>
  </r>
  <r>
    <x v="463"/>
    <x v="23"/>
    <x v="4"/>
    <x v="463"/>
    <x v="3"/>
    <n v="5369.5"/>
    <x v="463"/>
    <x v="248"/>
    <x v="0"/>
    <x v="18"/>
    <s v="REGULAR ORDER"/>
    <s v="GOOD"/>
  </r>
  <r>
    <x v="464"/>
    <x v="0"/>
    <x v="0"/>
    <x v="464"/>
    <x v="3"/>
    <n v="22564.13"/>
    <x v="464"/>
    <x v="107"/>
    <x v="4"/>
    <x v="18"/>
    <s v="REGULAR ORDER"/>
    <s v="GOOD"/>
  </r>
  <r>
    <x v="465"/>
    <x v="17"/>
    <x v="4"/>
    <x v="465"/>
    <x v="2"/>
    <n v="46641.88"/>
    <x v="465"/>
    <x v="223"/>
    <x v="4"/>
    <x v="18"/>
    <s v="REGULAR ORDER"/>
    <s v="GOOD"/>
  </r>
  <r>
    <x v="466"/>
    <x v="23"/>
    <x v="4"/>
    <x v="466"/>
    <x v="0"/>
    <n v="147672.79999999999"/>
    <x v="466"/>
    <x v="214"/>
    <x v="4"/>
    <x v="18"/>
    <s v="BULK ORDER"/>
    <s v="GOOD"/>
  </r>
  <r>
    <x v="467"/>
    <x v="13"/>
    <x v="1"/>
    <x v="467"/>
    <x v="3"/>
    <n v="35777.51"/>
    <x v="467"/>
    <x v="10"/>
    <x v="2"/>
    <x v="18"/>
    <s v="REGULAR ORDER"/>
    <s v="GOOD"/>
  </r>
  <r>
    <x v="468"/>
    <x v="20"/>
    <x v="1"/>
    <x v="468"/>
    <x v="3"/>
    <n v="30519.71"/>
    <x v="468"/>
    <x v="61"/>
    <x v="2"/>
    <x v="18"/>
    <s v="REGULAR ORDER"/>
    <s v="GOOD"/>
  </r>
  <r>
    <x v="469"/>
    <x v="5"/>
    <x v="1"/>
    <x v="469"/>
    <x v="1"/>
    <n v="2998.62"/>
    <x v="469"/>
    <x v="265"/>
    <x v="5"/>
    <x v="18"/>
    <s v="BULK ORDER"/>
    <s v="GOOD"/>
  </r>
  <r>
    <x v="470"/>
    <x v="15"/>
    <x v="4"/>
    <x v="470"/>
    <x v="4"/>
    <n v="84693.75"/>
    <x v="470"/>
    <x v="266"/>
    <x v="5"/>
    <x v="18"/>
    <s v="BULK ORDER"/>
    <s v="GOOD"/>
  </r>
  <r>
    <x v="471"/>
    <x v="24"/>
    <x v="4"/>
    <x v="471"/>
    <x v="4"/>
    <n v="12076.6"/>
    <x v="471"/>
    <x v="172"/>
    <x v="0"/>
    <x v="18"/>
    <s v="BULK ORDER"/>
    <s v="GOOD"/>
  </r>
  <r>
    <x v="472"/>
    <x v="7"/>
    <x v="2"/>
    <x v="472"/>
    <x v="4"/>
    <n v="55674.15"/>
    <x v="472"/>
    <x v="248"/>
    <x v="2"/>
    <x v="18"/>
    <s v="BULK ORDER"/>
    <s v="GOOD"/>
  </r>
  <r>
    <x v="473"/>
    <x v="0"/>
    <x v="0"/>
    <x v="473"/>
    <x v="3"/>
    <n v="41402.76"/>
    <x v="473"/>
    <x v="187"/>
    <x v="3"/>
    <x v="18"/>
    <s v="REGULAR ORDER"/>
    <s v="GOOD"/>
  </r>
  <r>
    <x v="474"/>
    <x v="13"/>
    <x v="1"/>
    <x v="474"/>
    <x v="0"/>
    <n v="138967.16"/>
    <x v="474"/>
    <x v="40"/>
    <x v="2"/>
    <x v="18"/>
    <s v="BULK ORDER"/>
    <s v="GOOD"/>
  </r>
  <r>
    <x v="475"/>
    <x v="13"/>
    <x v="1"/>
    <x v="475"/>
    <x v="1"/>
    <n v="79770.240000000005"/>
    <x v="475"/>
    <x v="219"/>
    <x v="1"/>
    <x v="19"/>
    <s v="BULK ORDER"/>
    <s v="GOOD"/>
  </r>
  <r>
    <x v="476"/>
    <x v="12"/>
    <x v="1"/>
    <x v="476"/>
    <x v="2"/>
    <n v="76289.34"/>
    <x v="476"/>
    <x v="72"/>
    <x v="2"/>
    <x v="19"/>
    <s v="REGULAR ORDER"/>
    <s v="GOOD"/>
  </r>
  <r>
    <x v="477"/>
    <x v="11"/>
    <x v="2"/>
    <x v="477"/>
    <x v="4"/>
    <n v="158135"/>
    <x v="477"/>
    <x v="27"/>
    <x v="5"/>
    <x v="19"/>
    <s v="BULK ORDER"/>
    <s v="GOOD"/>
  </r>
  <r>
    <x v="478"/>
    <x v="23"/>
    <x v="4"/>
    <x v="478"/>
    <x v="2"/>
    <n v="64697.84"/>
    <x v="478"/>
    <x v="267"/>
    <x v="3"/>
    <x v="19"/>
    <s v="REGULAR ORDER"/>
    <s v="GOOD"/>
  </r>
  <r>
    <x v="479"/>
    <x v="21"/>
    <x v="4"/>
    <x v="479"/>
    <x v="0"/>
    <n v="56172.639999999999"/>
    <x v="479"/>
    <x v="268"/>
    <x v="4"/>
    <x v="19"/>
    <s v="BULK ORDER"/>
    <s v="GOOD"/>
  </r>
  <r>
    <x v="480"/>
    <x v="12"/>
    <x v="1"/>
    <x v="480"/>
    <x v="2"/>
    <n v="16767.72"/>
    <x v="480"/>
    <x v="93"/>
    <x v="4"/>
    <x v="19"/>
    <s v="REGULAR ORDER"/>
    <s v="GOOD"/>
  </r>
  <r>
    <x v="481"/>
    <x v="19"/>
    <x v="2"/>
    <x v="481"/>
    <x v="4"/>
    <n v="225911.34999999998"/>
    <x v="481"/>
    <x v="188"/>
    <x v="5"/>
    <x v="19"/>
    <s v="BULK ORDER"/>
    <s v="GOOD"/>
  </r>
  <r>
    <x v="482"/>
    <x v="4"/>
    <x v="3"/>
    <x v="482"/>
    <x v="2"/>
    <n v="17126.28"/>
    <x v="482"/>
    <x v="154"/>
    <x v="0"/>
    <x v="19"/>
    <s v="REGULAR ORDER"/>
    <s v="GOOD"/>
  </r>
  <r>
    <x v="483"/>
    <x v="20"/>
    <x v="1"/>
    <x v="483"/>
    <x v="4"/>
    <n v="215593.65000000002"/>
    <x v="483"/>
    <x v="235"/>
    <x v="5"/>
    <x v="19"/>
    <s v="BULK ORDER"/>
    <s v="GOOD"/>
  </r>
  <r>
    <x v="484"/>
    <x v="12"/>
    <x v="1"/>
    <x v="484"/>
    <x v="3"/>
    <n v="24172.560000000001"/>
    <x v="484"/>
    <x v="269"/>
    <x v="1"/>
    <x v="19"/>
    <s v="REGULAR ORDER"/>
    <s v="GOOD"/>
  </r>
  <r>
    <x v="485"/>
    <x v="13"/>
    <x v="1"/>
    <x v="485"/>
    <x v="3"/>
    <n v="44248.09"/>
    <x v="485"/>
    <x v="23"/>
    <x v="2"/>
    <x v="19"/>
    <s v="REGULAR ORDER"/>
    <s v="GOOD"/>
  </r>
  <r>
    <x v="486"/>
    <x v="15"/>
    <x v="4"/>
    <x v="486"/>
    <x v="2"/>
    <n v="46178.64"/>
    <x v="486"/>
    <x v="270"/>
    <x v="2"/>
    <x v="19"/>
    <s v="REGULAR ORDER"/>
    <s v="GOOD"/>
  </r>
  <r>
    <x v="487"/>
    <x v="13"/>
    <x v="1"/>
    <x v="487"/>
    <x v="3"/>
    <n v="31749.94"/>
    <x v="487"/>
    <x v="212"/>
    <x v="0"/>
    <x v="19"/>
    <s v="REGULAR ORDER"/>
    <s v="GOOD"/>
  </r>
  <r>
    <x v="488"/>
    <x v="15"/>
    <x v="4"/>
    <x v="488"/>
    <x v="4"/>
    <n v="149871.75"/>
    <x v="488"/>
    <x v="117"/>
    <x v="4"/>
    <x v="19"/>
    <s v="BULK ORDER"/>
    <s v="GOOD"/>
  </r>
  <r>
    <x v="489"/>
    <x v="23"/>
    <x v="4"/>
    <x v="489"/>
    <x v="3"/>
    <n v="47288.95"/>
    <x v="489"/>
    <x v="175"/>
    <x v="4"/>
    <x v="19"/>
    <s v="REGULAR ORDER"/>
    <s v="GOOD"/>
  </r>
  <r>
    <x v="490"/>
    <x v="3"/>
    <x v="0"/>
    <x v="490"/>
    <x v="2"/>
    <n v="40388.400000000001"/>
    <x v="490"/>
    <x v="64"/>
    <x v="5"/>
    <x v="19"/>
    <s v="REGULAR ORDER"/>
    <s v="GOOD"/>
  </r>
  <r>
    <x v="491"/>
    <x v="13"/>
    <x v="1"/>
    <x v="491"/>
    <x v="4"/>
    <n v="11853.050000000001"/>
    <x v="491"/>
    <x v="29"/>
    <x v="5"/>
    <x v="19"/>
    <s v="BULK ORDER"/>
    <s v="GOOD"/>
  </r>
  <r>
    <x v="492"/>
    <x v="11"/>
    <x v="2"/>
    <x v="492"/>
    <x v="0"/>
    <n v="39091.279999999999"/>
    <x v="492"/>
    <x v="33"/>
    <x v="1"/>
    <x v="19"/>
    <s v="BULK ORDER"/>
    <s v="GOOD"/>
  </r>
  <r>
    <x v="493"/>
    <x v="0"/>
    <x v="0"/>
    <x v="493"/>
    <x v="2"/>
    <n v="60871.5"/>
    <x v="493"/>
    <x v="77"/>
    <x v="3"/>
    <x v="19"/>
    <s v="REGULAR ORDER"/>
    <s v="GOOD"/>
  </r>
  <r>
    <x v="494"/>
    <x v="3"/>
    <x v="0"/>
    <x v="494"/>
    <x v="1"/>
    <n v="149735.25"/>
    <x v="494"/>
    <x v="97"/>
    <x v="4"/>
    <x v="19"/>
    <s v="BULK ORDER"/>
    <s v="GOOD"/>
  </r>
  <r>
    <x v="495"/>
    <x v="9"/>
    <x v="2"/>
    <x v="495"/>
    <x v="0"/>
    <n v="97343.12"/>
    <x v="495"/>
    <x v="77"/>
    <x v="1"/>
    <x v="19"/>
    <s v="BULK ORDER"/>
    <s v="GOOD"/>
  </r>
  <r>
    <x v="496"/>
    <x v="11"/>
    <x v="2"/>
    <x v="496"/>
    <x v="2"/>
    <n v="91585.14"/>
    <x v="496"/>
    <x v="271"/>
    <x v="3"/>
    <x v="19"/>
    <s v="REGULAR ORDER"/>
    <s v="GOOD"/>
  </r>
  <r>
    <x v="497"/>
    <x v="2"/>
    <x v="2"/>
    <x v="497"/>
    <x v="4"/>
    <n v="39683.5"/>
    <x v="497"/>
    <x v="32"/>
    <x v="5"/>
    <x v="19"/>
    <s v="BULK ORDER"/>
    <s v="GOOD"/>
  </r>
  <r>
    <x v="498"/>
    <x v="17"/>
    <x v="4"/>
    <x v="498"/>
    <x v="4"/>
    <n v="237403.55"/>
    <x v="498"/>
    <x v="184"/>
    <x v="1"/>
    <x v="19"/>
    <s v="BULK ORDER"/>
    <s v="GOOD"/>
  </r>
  <r>
    <x v="499"/>
    <x v="22"/>
    <x v="3"/>
    <x v="499"/>
    <x v="0"/>
    <n v="143690.56"/>
    <x v="499"/>
    <x v="71"/>
    <x v="1"/>
    <x v="19"/>
    <s v="BULK ORDER"/>
    <s v="GOOD"/>
  </r>
  <r>
    <x v="500"/>
    <x v="7"/>
    <x v="2"/>
    <x v="500"/>
    <x v="3"/>
    <n v="10435.030000000001"/>
    <x v="500"/>
    <x v="272"/>
    <x v="5"/>
    <x v="19"/>
    <s v="REGULAR ORDER"/>
    <s v="GOOD"/>
  </r>
  <r>
    <x v="501"/>
    <x v="16"/>
    <x v="0"/>
    <x v="501"/>
    <x v="3"/>
    <n v="40840.800000000003"/>
    <x v="501"/>
    <x v="273"/>
    <x v="1"/>
    <x v="19"/>
    <s v="REGULAR ORDER"/>
    <s v="GOOD"/>
  </r>
  <r>
    <x v="502"/>
    <x v="3"/>
    <x v="0"/>
    <x v="502"/>
    <x v="0"/>
    <n v="105517.4"/>
    <x v="502"/>
    <x v="26"/>
    <x v="1"/>
    <x v="20"/>
    <s v="BULK ORDER"/>
    <s v="GOOD"/>
  </r>
  <r>
    <x v="503"/>
    <x v="21"/>
    <x v="4"/>
    <x v="503"/>
    <x v="3"/>
    <n v="38093.14"/>
    <x v="503"/>
    <x v="274"/>
    <x v="3"/>
    <x v="20"/>
    <s v="REGULAR ORDER"/>
    <s v="GOOD"/>
  </r>
  <r>
    <x v="504"/>
    <x v="16"/>
    <x v="0"/>
    <x v="504"/>
    <x v="1"/>
    <n v="130465.26"/>
    <x v="504"/>
    <x v="37"/>
    <x v="2"/>
    <x v="20"/>
    <s v="BULK ORDER"/>
    <s v="GOOD"/>
  </r>
  <r>
    <x v="505"/>
    <x v="24"/>
    <x v="4"/>
    <x v="505"/>
    <x v="1"/>
    <n v="36251.879999999997"/>
    <x v="505"/>
    <x v="69"/>
    <x v="4"/>
    <x v="20"/>
    <s v="BULK ORDER"/>
    <s v="GOOD"/>
  </r>
  <r>
    <x v="506"/>
    <x v="1"/>
    <x v="1"/>
    <x v="506"/>
    <x v="4"/>
    <n v="154557.19999999998"/>
    <x v="506"/>
    <x v="275"/>
    <x v="5"/>
    <x v="20"/>
    <s v="BULK ORDER"/>
    <s v="GOOD"/>
  </r>
  <r>
    <x v="507"/>
    <x v="0"/>
    <x v="0"/>
    <x v="507"/>
    <x v="3"/>
    <n v="14517.08"/>
    <x v="507"/>
    <x v="9"/>
    <x v="1"/>
    <x v="20"/>
    <s v="REGULAR ORDER"/>
    <s v="GOOD"/>
  </r>
  <r>
    <x v="508"/>
    <x v="15"/>
    <x v="4"/>
    <x v="508"/>
    <x v="0"/>
    <n v="164795.35999999999"/>
    <x v="508"/>
    <x v="22"/>
    <x v="3"/>
    <x v="20"/>
    <s v="BULK ORDER"/>
    <s v="GOOD"/>
  </r>
  <r>
    <x v="509"/>
    <x v="20"/>
    <x v="1"/>
    <x v="509"/>
    <x v="2"/>
    <n v="94106.880000000005"/>
    <x v="509"/>
    <x v="162"/>
    <x v="0"/>
    <x v="20"/>
    <s v="REGULAR ORDER"/>
    <s v="GOOD"/>
  </r>
  <r>
    <x v="510"/>
    <x v="14"/>
    <x v="3"/>
    <x v="510"/>
    <x v="2"/>
    <n v="16394.939999999999"/>
    <x v="510"/>
    <x v="276"/>
    <x v="4"/>
    <x v="20"/>
    <s v="REGULAR ORDER"/>
    <s v="GOOD"/>
  </r>
  <r>
    <x v="511"/>
    <x v="17"/>
    <x v="4"/>
    <x v="511"/>
    <x v="2"/>
    <n v="74270.720000000001"/>
    <x v="511"/>
    <x v="10"/>
    <x v="2"/>
    <x v="20"/>
    <s v="REGULAR ORDER"/>
    <s v="GOOD"/>
  </r>
  <r>
    <x v="512"/>
    <x v="16"/>
    <x v="0"/>
    <x v="512"/>
    <x v="0"/>
    <n v="182178.16"/>
    <x v="512"/>
    <x v="277"/>
    <x v="0"/>
    <x v="20"/>
    <s v="BULK ORDER"/>
    <s v="GOOD"/>
  </r>
  <r>
    <x v="513"/>
    <x v="17"/>
    <x v="4"/>
    <x v="513"/>
    <x v="1"/>
    <n v="22894.44"/>
    <x v="513"/>
    <x v="37"/>
    <x v="5"/>
    <x v="20"/>
    <s v="BULK ORDER"/>
    <s v="GOOD"/>
  </r>
  <r>
    <x v="514"/>
    <x v="5"/>
    <x v="1"/>
    <x v="514"/>
    <x v="3"/>
    <n v="1549.63"/>
    <x v="514"/>
    <x v="220"/>
    <x v="0"/>
    <x v="20"/>
    <s v="REGULAR ORDER"/>
    <s v="GOOD"/>
  </r>
  <r>
    <x v="515"/>
    <x v="1"/>
    <x v="1"/>
    <x v="515"/>
    <x v="2"/>
    <n v="60018.400000000001"/>
    <x v="515"/>
    <x v="75"/>
    <x v="5"/>
    <x v="20"/>
    <s v="REGULAR ORDER"/>
    <s v="GOOD"/>
  </r>
  <r>
    <x v="516"/>
    <x v="14"/>
    <x v="3"/>
    <x v="516"/>
    <x v="3"/>
    <n v="31277.18"/>
    <x v="516"/>
    <x v="278"/>
    <x v="5"/>
    <x v="20"/>
    <s v="REGULAR ORDER"/>
    <s v="GOOD"/>
  </r>
  <r>
    <x v="517"/>
    <x v="23"/>
    <x v="4"/>
    <x v="517"/>
    <x v="3"/>
    <n v="48580.6"/>
    <x v="517"/>
    <x v="248"/>
    <x v="1"/>
    <x v="20"/>
    <s v="REGULAR ORDER"/>
    <s v="GOOD"/>
  </r>
  <r>
    <x v="518"/>
    <x v="21"/>
    <x v="4"/>
    <x v="518"/>
    <x v="4"/>
    <n v="235236.15000000002"/>
    <x v="518"/>
    <x v="279"/>
    <x v="4"/>
    <x v="20"/>
    <s v="BULK ORDER"/>
    <s v="GOOD"/>
  </r>
  <r>
    <x v="519"/>
    <x v="10"/>
    <x v="3"/>
    <x v="519"/>
    <x v="3"/>
    <n v="36115.480000000003"/>
    <x v="519"/>
    <x v="16"/>
    <x v="1"/>
    <x v="20"/>
    <s v="REGULAR ORDER"/>
    <s v="GOOD"/>
  </r>
  <r>
    <x v="520"/>
    <x v="16"/>
    <x v="0"/>
    <x v="520"/>
    <x v="1"/>
    <n v="56586.03"/>
    <x v="520"/>
    <x v="32"/>
    <x v="4"/>
    <x v="20"/>
    <s v="BULK ORDER"/>
    <s v="GOOD"/>
  </r>
  <r>
    <x v="521"/>
    <x v="6"/>
    <x v="0"/>
    <x v="521"/>
    <x v="2"/>
    <n v="48768.1"/>
    <x v="521"/>
    <x v="273"/>
    <x v="5"/>
    <x v="20"/>
    <s v="REGULAR ORDER"/>
    <s v="GOOD"/>
  </r>
  <r>
    <x v="522"/>
    <x v="20"/>
    <x v="1"/>
    <x v="522"/>
    <x v="0"/>
    <n v="147803.92000000001"/>
    <x v="522"/>
    <x v="190"/>
    <x v="5"/>
    <x v="20"/>
    <s v="BULK ORDER"/>
    <s v="GOOD"/>
  </r>
  <r>
    <x v="523"/>
    <x v="0"/>
    <x v="0"/>
    <x v="523"/>
    <x v="4"/>
    <n v="57308.6"/>
    <x v="523"/>
    <x v="2"/>
    <x v="5"/>
    <x v="20"/>
    <s v="BULK ORDER"/>
    <s v="GOOD"/>
  </r>
  <r>
    <x v="524"/>
    <x v="5"/>
    <x v="1"/>
    <x v="524"/>
    <x v="4"/>
    <n v="213024.75"/>
    <x v="524"/>
    <x v="258"/>
    <x v="2"/>
    <x v="20"/>
    <s v="BULK ORDER"/>
    <s v="GOOD"/>
  </r>
  <r>
    <x v="525"/>
    <x v="0"/>
    <x v="0"/>
    <x v="525"/>
    <x v="2"/>
    <n v="10722.36"/>
    <x v="525"/>
    <x v="64"/>
    <x v="2"/>
    <x v="20"/>
    <s v="REGULAR ORDER"/>
    <s v="GOOD"/>
  </r>
  <r>
    <x v="526"/>
    <x v="6"/>
    <x v="0"/>
    <x v="526"/>
    <x v="3"/>
    <n v="34069.64"/>
    <x v="526"/>
    <x v="280"/>
    <x v="4"/>
    <x v="20"/>
    <s v="REGULAR ORDER"/>
    <s v="GOOD"/>
  </r>
  <r>
    <x v="527"/>
    <x v="9"/>
    <x v="2"/>
    <x v="527"/>
    <x v="4"/>
    <n v="219200.2"/>
    <x v="527"/>
    <x v="235"/>
    <x v="3"/>
    <x v="20"/>
    <s v="BULK ORDER"/>
    <s v="GOOD"/>
  </r>
  <r>
    <x v="528"/>
    <x v="21"/>
    <x v="4"/>
    <x v="528"/>
    <x v="3"/>
    <n v="31486.57"/>
    <x v="528"/>
    <x v="35"/>
    <x v="4"/>
    <x v="20"/>
    <s v="REGULAR ORDER"/>
    <s v="GOOD"/>
  </r>
  <r>
    <x v="529"/>
    <x v="3"/>
    <x v="0"/>
    <x v="529"/>
    <x v="3"/>
    <n v="47055.28"/>
    <x v="529"/>
    <x v="17"/>
    <x v="3"/>
    <x v="20"/>
    <s v="REGULAR ORDER"/>
    <s v="GOOD"/>
  </r>
  <r>
    <x v="530"/>
    <x v="17"/>
    <x v="4"/>
    <x v="530"/>
    <x v="1"/>
    <n v="68672.850000000006"/>
    <x v="530"/>
    <x v="281"/>
    <x v="3"/>
    <x v="20"/>
    <s v="BULK ORDER"/>
    <s v="GOOD"/>
  </r>
  <r>
    <x v="531"/>
    <x v="15"/>
    <x v="4"/>
    <x v="531"/>
    <x v="3"/>
    <n v="39355.589999999997"/>
    <x v="531"/>
    <x v="274"/>
    <x v="4"/>
    <x v="21"/>
    <s v="REGULAR ORDER"/>
    <s v="GOOD"/>
  </r>
  <r>
    <x v="532"/>
    <x v="8"/>
    <x v="0"/>
    <x v="532"/>
    <x v="1"/>
    <n v="5782.14"/>
    <x v="532"/>
    <x v="263"/>
    <x v="5"/>
    <x v="21"/>
    <s v="BULK ORDER"/>
    <s v="GOOD"/>
  </r>
  <r>
    <x v="533"/>
    <x v="19"/>
    <x v="2"/>
    <x v="533"/>
    <x v="2"/>
    <n v="68510.78"/>
    <x v="533"/>
    <x v="282"/>
    <x v="1"/>
    <x v="21"/>
    <s v="REGULAR ORDER"/>
    <s v="GOOD"/>
  </r>
  <r>
    <x v="534"/>
    <x v="17"/>
    <x v="4"/>
    <x v="534"/>
    <x v="3"/>
    <n v="6953.88"/>
    <x v="534"/>
    <x v="192"/>
    <x v="1"/>
    <x v="21"/>
    <s v="REGULAR ORDER"/>
    <s v="GOOD"/>
  </r>
  <r>
    <x v="535"/>
    <x v="2"/>
    <x v="2"/>
    <x v="535"/>
    <x v="1"/>
    <n v="76889.64"/>
    <x v="535"/>
    <x v="283"/>
    <x v="5"/>
    <x v="21"/>
    <s v="BULK ORDER"/>
    <s v="GOOD"/>
  </r>
  <r>
    <x v="536"/>
    <x v="16"/>
    <x v="0"/>
    <x v="536"/>
    <x v="0"/>
    <n v="141494"/>
    <x v="536"/>
    <x v="239"/>
    <x v="3"/>
    <x v="21"/>
    <s v="BULK ORDER"/>
    <s v="GOOD"/>
  </r>
  <r>
    <x v="537"/>
    <x v="10"/>
    <x v="3"/>
    <x v="537"/>
    <x v="1"/>
    <n v="108249.66"/>
    <x v="537"/>
    <x v="44"/>
    <x v="3"/>
    <x v="21"/>
    <s v="BULK ORDER"/>
    <s v="GOOD"/>
  </r>
  <r>
    <x v="538"/>
    <x v="10"/>
    <x v="3"/>
    <x v="538"/>
    <x v="4"/>
    <n v="61246.75"/>
    <x v="538"/>
    <x v="284"/>
    <x v="4"/>
    <x v="21"/>
    <s v="BULK ORDER"/>
    <s v="GOOD"/>
  </r>
  <r>
    <x v="539"/>
    <x v="9"/>
    <x v="2"/>
    <x v="539"/>
    <x v="0"/>
    <n v="192604.36"/>
    <x v="539"/>
    <x v="111"/>
    <x v="1"/>
    <x v="21"/>
    <s v="BULK ORDER"/>
    <s v="GOOD"/>
  </r>
  <r>
    <x v="540"/>
    <x v="19"/>
    <x v="2"/>
    <x v="540"/>
    <x v="4"/>
    <n v="77332"/>
    <x v="540"/>
    <x v="203"/>
    <x v="4"/>
    <x v="21"/>
    <s v="BULK ORDER"/>
    <s v="GOOD"/>
  </r>
  <r>
    <x v="541"/>
    <x v="12"/>
    <x v="1"/>
    <x v="541"/>
    <x v="0"/>
    <n v="56410.239999999998"/>
    <x v="541"/>
    <x v="83"/>
    <x v="0"/>
    <x v="21"/>
    <s v="BULK ORDER"/>
    <s v="GOOD"/>
  </r>
  <r>
    <x v="542"/>
    <x v="9"/>
    <x v="2"/>
    <x v="542"/>
    <x v="3"/>
    <n v="20353.400000000001"/>
    <x v="542"/>
    <x v="165"/>
    <x v="1"/>
    <x v="21"/>
    <s v="REGULAR ORDER"/>
    <s v="GOOD"/>
  </r>
  <r>
    <x v="543"/>
    <x v="7"/>
    <x v="2"/>
    <x v="543"/>
    <x v="0"/>
    <n v="149213.04"/>
    <x v="543"/>
    <x v="51"/>
    <x v="0"/>
    <x v="21"/>
    <s v="BULK ORDER"/>
    <s v="GOOD"/>
  </r>
  <r>
    <x v="544"/>
    <x v="10"/>
    <x v="3"/>
    <x v="544"/>
    <x v="1"/>
    <n v="89542.200000000012"/>
    <x v="544"/>
    <x v="224"/>
    <x v="5"/>
    <x v="21"/>
    <s v="BULK ORDER"/>
    <s v="GOOD"/>
  </r>
  <r>
    <x v="545"/>
    <x v="4"/>
    <x v="3"/>
    <x v="545"/>
    <x v="4"/>
    <n v="233850.05000000002"/>
    <x v="545"/>
    <x v="256"/>
    <x v="2"/>
    <x v="21"/>
    <s v="BULK ORDER"/>
    <s v="GOOD"/>
  </r>
  <r>
    <x v="546"/>
    <x v="6"/>
    <x v="0"/>
    <x v="546"/>
    <x v="1"/>
    <n v="4748.5199999999995"/>
    <x v="546"/>
    <x v="278"/>
    <x v="5"/>
    <x v="21"/>
    <s v="BULK ORDER"/>
    <s v="GOOD"/>
  </r>
  <r>
    <x v="547"/>
    <x v="0"/>
    <x v="0"/>
    <x v="547"/>
    <x v="2"/>
    <n v="81889.539999999994"/>
    <x v="547"/>
    <x v="285"/>
    <x v="3"/>
    <x v="21"/>
    <s v="REGULAR ORDER"/>
    <s v="GOOD"/>
  </r>
  <r>
    <x v="548"/>
    <x v="8"/>
    <x v="0"/>
    <x v="548"/>
    <x v="4"/>
    <n v="235557.8"/>
    <x v="548"/>
    <x v="253"/>
    <x v="1"/>
    <x v="21"/>
    <s v="BULK ORDER"/>
    <s v="GOOD"/>
  </r>
  <r>
    <x v="549"/>
    <x v="3"/>
    <x v="0"/>
    <x v="549"/>
    <x v="1"/>
    <n v="59883.09"/>
    <x v="549"/>
    <x v="62"/>
    <x v="3"/>
    <x v="21"/>
    <s v="BULK ORDER"/>
    <s v="GOOD"/>
  </r>
  <r>
    <x v="550"/>
    <x v="24"/>
    <x v="4"/>
    <x v="550"/>
    <x v="1"/>
    <n v="40788.54"/>
    <x v="550"/>
    <x v="286"/>
    <x v="3"/>
    <x v="21"/>
    <s v="BULK ORDER"/>
    <s v="GOOD"/>
  </r>
  <r>
    <x v="551"/>
    <x v="11"/>
    <x v="2"/>
    <x v="551"/>
    <x v="0"/>
    <n v="139321.12"/>
    <x v="551"/>
    <x v="53"/>
    <x v="3"/>
    <x v="21"/>
    <s v="BULK ORDER"/>
    <s v="GOOD"/>
  </r>
  <r>
    <x v="552"/>
    <x v="24"/>
    <x v="4"/>
    <x v="552"/>
    <x v="1"/>
    <n v="53402.22"/>
    <x v="552"/>
    <x v="58"/>
    <x v="4"/>
    <x v="21"/>
    <s v="BULK ORDER"/>
    <s v="GOOD"/>
  </r>
  <r>
    <x v="553"/>
    <x v="6"/>
    <x v="0"/>
    <x v="553"/>
    <x v="0"/>
    <n v="130505.28"/>
    <x v="553"/>
    <x v="287"/>
    <x v="1"/>
    <x v="21"/>
    <s v="BULK ORDER"/>
    <s v="GOOD"/>
  </r>
  <r>
    <x v="554"/>
    <x v="14"/>
    <x v="3"/>
    <x v="554"/>
    <x v="1"/>
    <n v="140674.95000000001"/>
    <x v="554"/>
    <x v="249"/>
    <x v="2"/>
    <x v="21"/>
    <s v="BULK ORDER"/>
    <s v="GOOD"/>
  </r>
  <r>
    <x v="555"/>
    <x v="16"/>
    <x v="0"/>
    <x v="555"/>
    <x v="2"/>
    <n v="28128.7"/>
    <x v="555"/>
    <x v="195"/>
    <x v="2"/>
    <x v="21"/>
    <s v="REGULAR ORDER"/>
    <s v="GOOD"/>
  </r>
  <r>
    <x v="556"/>
    <x v="17"/>
    <x v="4"/>
    <x v="556"/>
    <x v="3"/>
    <n v="35139.53"/>
    <x v="556"/>
    <x v="9"/>
    <x v="4"/>
    <x v="21"/>
    <s v="REGULAR ORDER"/>
    <s v="GOOD"/>
  </r>
  <r>
    <x v="557"/>
    <x v="5"/>
    <x v="1"/>
    <x v="557"/>
    <x v="1"/>
    <n v="24175.199999999997"/>
    <x v="557"/>
    <x v="62"/>
    <x v="2"/>
    <x v="21"/>
    <s v="BULK ORDER"/>
    <s v="GOOD"/>
  </r>
  <r>
    <x v="558"/>
    <x v="18"/>
    <x v="3"/>
    <x v="558"/>
    <x v="0"/>
    <n v="122824.6"/>
    <x v="558"/>
    <x v="288"/>
    <x v="1"/>
    <x v="21"/>
    <s v="BULK ORDER"/>
    <s v="GOOD"/>
  </r>
  <r>
    <x v="559"/>
    <x v="7"/>
    <x v="2"/>
    <x v="559"/>
    <x v="1"/>
    <n v="89036.549999999988"/>
    <x v="559"/>
    <x v="130"/>
    <x v="1"/>
    <x v="21"/>
    <s v="BULK ORDER"/>
    <s v="GOOD"/>
  </r>
  <r>
    <x v="560"/>
    <x v="1"/>
    <x v="1"/>
    <x v="560"/>
    <x v="3"/>
    <n v="32505.96"/>
    <x v="560"/>
    <x v="208"/>
    <x v="4"/>
    <x v="22"/>
    <s v="REGULAR ORDER"/>
    <s v="GOOD"/>
  </r>
  <r>
    <x v="561"/>
    <x v="0"/>
    <x v="0"/>
    <x v="561"/>
    <x v="2"/>
    <n v="63700.3"/>
    <x v="561"/>
    <x v="211"/>
    <x v="2"/>
    <x v="22"/>
    <s v="REGULAR ORDER"/>
    <s v="GOOD"/>
  </r>
  <r>
    <x v="562"/>
    <x v="15"/>
    <x v="4"/>
    <x v="562"/>
    <x v="1"/>
    <n v="39057.21"/>
    <x v="562"/>
    <x v="267"/>
    <x v="3"/>
    <x v="22"/>
    <s v="BULK ORDER"/>
    <s v="GOOD"/>
  </r>
  <r>
    <x v="563"/>
    <x v="2"/>
    <x v="2"/>
    <x v="563"/>
    <x v="3"/>
    <n v="27204.69"/>
    <x v="563"/>
    <x v="257"/>
    <x v="5"/>
    <x v="22"/>
    <s v="REGULAR ORDER"/>
    <s v="GOOD"/>
  </r>
  <r>
    <x v="564"/>
    <x v="9"/>
    <x v="2"/>
    <x v="564"/>
    <x v="3"/>
    <n v="17066.16"/>
    <x v="564"/>
    <x v="19"/>
    <x v="4"/>
    <x v="22"/>
    <s v="REGULAR ORDER"/>
    <s v="GOOD"/>
  </r>
  <r>
    <x v="565"/>
    <x v="7"/>
    <x v="2"/>
    <x v="565"/>
    <x v="4"/>
    <n v="8130.5"/>
    <x v="565"/>
    <x v="8"/>
    <x v="3"/>
    <x v="22"/>
    <s v="BULK ORDER"/>
    <s v="GOOD"/>
  </r>
  <r>
    <x v="566"/>
    <x v="7"/>
    <x v="2"/>
    <x v="566"/>
    <x v="4"/>
    <n v="59323.35"/>
    <x v="566"/>
    <x v="167"/>
    <x v="2"/>
    <x v="22"/>
    <s v="BULK ORDER"/>
    <s v="GOOD"/>
  </r>
  <r>
    <x v="567"/>
    <x v="24"/>
    <x v="4"/>
    <x v="567"/>
    <x v="0"/>
    <n v="181705.56"/>
    <x v="567"/>
    <x v="289"/>
    <x v="2"/>
    <x v="22"/>
    <s v="BULK ORDER"/>
    <s v="GOOD"/>
  </r>
  <r>
    <x v="568"/>
    <x v="21"/>
    <x v="4"/>
    <x v="568"/>
    <x v="1"/>
    <n v="49571.069999999992"/>
    <x v="568"/>
    <x v="206"/>
    <x v="3"/>
    <x v="22"/>
    <s v="BULK ORDER"/>
    <s v="GOOD"/>
  </r>
  <r>
    <x v="569"/>
    <x v="19"/>
    <x v="2"/>
    <x v="569"/>
    <x v="1"/>
    <n v="120886.41"/>
    <x v="569"/>
    <x v="290"/>
    <x v="1"/>
    <x v="22"/>
    <s v="BULK ORDER"/>
    <s v="GOOD"/>
  </r>
  <r>
    <x v="570"/>
    <x v="14"/>
    <x v="3"/>
    <x v="570"/>
    <x v="0"/>
    <n v="128489.72"/>
    <x v="570"/>
    <x v="1"/>
    <x v="0"/>
    <x v="22"/>
    <s v="BULK ORDER"/>
    <s v="GOOD"/>
  </r>
  <r>
    <x v="571"/>
    <x v="16"/>
    <x v="0"/>
    <x v="571"/>
    <x v="4"/>
    <n v="51604.350000000006"/>
    <x v="571"/>
    <x v="291"/>
    <x v="4"/>
    <x v="22"/>
    <s v="BULK ORDER"/>
    <s v="GOOD"/>
  </r>
  <r>
    <x v="572"/>
    <x v="3"/>
    <x v="0"/>
    <x v="572"/>
    <x v="4"/>
    <n v="63897.95"/>
    <x v="572"/>
    <x v="80"/>
    <x v="3"/>
    <x v="22"/>
    <s v="BULK ORDER"/>
    <s v="GOOD"/>
  </r>
  <r>
    <x v="573"/>
    <x v="11"/>
    <x v="2"/>
    <x v="573"/>
    <x v="0"/>
    <n v="21198.32"/>
    <x v="573"/>
    <x v="89"/>
    <x v="5"/>
    <x v="22"/>
    <s v="BULK ORDER"/>
    <s v="GOOD"/>
  </r>
  <r>
    <x v="574"/>
    <x v="10"/>
    <x v="3"/>
    <x v="574"/>
    <x v="2"/>
    <n v="84421.64"/>
    <x v="574"/>
    <x v="241"/>
    <x v="4"/>
    <x v="22"/>
    <s v="REGULAR ORDER"/>
    <s v="GOOD"/>
  </r>
  <r>
    <x v="575"/>
    <x v="7"/>
    <x v="2"/>
    <x v="575"/>
    <x v="3"/>
    <n v="4226.03"/>
    <x v="575"/>
    <x v="26"/>
    <x v="5"/>
    <x v="22"/>
    <s v="REGULAR ORDER"/>
    <s v="GOOD"/>
  </r>
  <r>
    <x v="576"/>
    <x v="17"/>
    <x v="4"/>
    <x v="576"/>
    <x v="1"/>
    <n v="13326.300000000001"/>
    <x v="576"/>
    <x v="185"/>
    <x v="5"/>
    <x v="22"/>
    <s v="BULK ORDER"/>
    <s v="GOOD"/>
  </r>
  <r>
    <x v="577"/>
    <x v="2"/>
    <x v="2"/>
    <x v="577"/>
    <x v="4"/>
    <n v="56081.899999999994"/>
    <x v="577"/>
    <x v="292"/>
    <x v="0"/>
    <x v="22"/>
    <s v="BULK ORDER"/>
    <s v="GOOD"/>
  </r>
  <r>
    <x v="578"/>
    <x v="14"/>
    <x v="3"/>
    <x v="578"/>
    <x v="1"/>
    <n v="45689.01"/>
    <x v="578"/>
    <x v="199"/>
    <x v="3"/>
    <x v="23"/>
    <s v="BULK ORDER"/>
    <s v="GOOD"/>
  </r>
  <r>
    <x v="579"/>
    <x v="4"/>
    <x v="3"/>
    <x v="579"/>
    <x v="1"/>
    <n v="51314.729999999996"/>
    <x v="579"/>
    <x v="32"/>
    <x v="3"/>
    <x v="23"/>
    <s v="BULK ORDER"/>
    <s v="GOOD"/>
  </r>
  <r>
    <x v="580"/>
    <x v="8"/>
    <x v="0"/>
    <x v="580"/>
    <x v="2"/>
    <n v="10587.74"/>
    <x v="580"/>
    <x v="293"/>
    <x v="5"/>
    <x v="23"/>
    <s v="REGULAR ORDER"/>
    <s v="GOOD"/>
  </r>
  <r>
    <x v="581"/>
    <x v="6"/>
    <x v="0"/>
    <x v="581"/>
    <x v="4"/>
    <n v="162900"/>
    <x v="581"/>
    <x v="90"/>
    <x v="0"/>
    <x v="23"/>
    <s v="BULK ORDER"/>
    <s v="GOOD"/>
  </r>
  <r>
    <x v="582"/>
    <x v="8"/>
    <x v="0"/>
    <x v="582"/>
    <x v="4"/>
    <n v="140845.54999999999"/>
    <x v="582"/>
    <x v="166"/>
    <x v="1"/>
    <x v="23"/>
    <s v="BULK ORDER"/>
    <s v="GOOD"/>
  </r>
  <r>
    <x v="583"/>
    <x v="15"/>
    <x v="4"/>
    <x v="583"/>
    <x v="1"/>
    <n v="87668.76"/>
    <x v="583"/>
    <x v="64"/>
    <x v="5"/>
    <x v="23"/>
    <s v="BULK ORDER"/>
    <s v="GOOD"/>
  </r>
  <r>
    <x v="584"/>
    <x v="9"/>
    <x v="2"/>
    <x v="584"/>
    <x v="3"/>
    <n v="28577.34"/>
    <x v="584"/>
    <x v="294"/>
    <x v="1"/>
    <x v="23"/>
    <s v="REGULAR ORDER"/>
    <s v="GOOD"/>
  </r>
  <r>
    <x v="585"/>
    <x v="4"/>
    <x v="3"/>
    <x v="585"/>
    <x v="2"/>
    <n v="40175.300000000003"/>
    <x v="585"/>
    <x v="261"/>
    <x v="4"/>
    <x v="23"/>
    <s v="REGULAR ORDER"/>
    <s v="GOOD"/>
  </r>
  <r>
    <x v="586"/>
    <x v="21"/>
    <x v="4"/>
    <x v="586"/>
    <x v="1"/>
    <n v="138616.41"/>
    <x v="586"/>
    <x v="26"/>
    <x v="3"/>
    <x v="23"/>
    <s v="BULK ORDER"/>
    <s v="GOOD"/>
  </r>
  <r>
    <x v="587"/>
    <x v="22"/>
    <x v="3"/>
    <x v="587"/>
    <x v="2"/>
    <n v="25929.040000000001"/>
    <x v="587"/>
    <x v="69"/>
    <x v="4"/>
    <x v="23"/>
    <s v="REGULAR ORDER"/>
    <s v="GOOD"/>
  </r>
  <r>
    <x v="588"/>
    <x v="0"/>
    <x v="0"/>
    <x v="588"/>
    <x v="4"/>
    <n v="140784.75"/>
    <x v="588"/>
    <x v="3"/>
    <x v="1"/>
    <x v="23"/>
    <s v="BULK ORDER"/>
    <s v="GOOD"/>
  </r>
  <r>
    <x v="589"/>
    <x v="22"/>
    <x v="3"/>
    <x v="589"/>
    <x v="0"/>
    <n v="57952.88"/>
    <x v="589"/>
    <x v="295"/>
    <x v="2"/>
    <x v="23"/>
    <s v="BULK ORDER"/>
    <s v="GOOD"/>
  </r>
  <r>
    <x v="590"/>
    <x v="10"/>
    <x v="3"/>
    <x v="590"/>
    <x v="3"/>
    <n v="31094.13"/>
    <x v="590"/>
    <x v="285"/>
    <x v="1"/>
    <x v="23"/>
    <s v="REGULAR ORDER"/>
    <s v="GOOD"/>
  </r>
  <r>
    <x v="591"/>
    <x v="6"/>
    <x v="0"/>
    <x v="591"/>
    <x v="4"/>
    <n v="197393.45"/>
    <x v="591"/>
    <x v="80"/>
    <x v="3"/>
    <x v="23"/>
    <s v="BULK ORDER"/>
    <s v="GOOD"/>
  </r>
  <r>
    <x v="592"/>
    <x v="0"/>
    <x v="0"/>
    <x v="592"/>
    <x v="3"/>
    <n v="48842.53"/>
    <x v="592"/>
    <x v="182"/>
    <x v="2"/>
    <x v="23"/>
    <s v="REGULAR ORDER"/>
    <s v="GOOD"/>
  </r>
  <r>
    <x v="593"/>
    <x v="16"/>
    <x v="0"/>
    <x v="593"/>
    <x v="3"/>
    <n v="24227.24"/>
    <x v="593"/>
    <x v="148"/>
    <x v="5"/>
    <x v="23"/>
    <s v="REGULAR ORDER"/>
    <s v="GOOD"/>
  </r>
  <r>
    <x v="594"/>
    <x v="19"/>
    <x v="2"/>
    <x v="594"/>
    <x v="1"/>
    <n v="100212.36000000002"/>
    <x v="594"/>
    <x v="102"/>
    <x v="5"/>
    <x v="23"/>
    <s v="BULK ORDER"/>
    <s v="GOOD"/>
  </r>
  <r>
    <x v="595"/>
    <x v="10"/>
    <x v="3"/>
    <x v="595"/>
    <x v="2"/>
    <n v="74391.460000000006"/>
    <x v="595"/>
    <x v="62"/>
    <x v="1"/>
    <x v="23"/>
    <s v="REGULAR ORDER"/>
    <s v="GOOD"/>
  </r>
  <r>
    <x v="596"/>
    <x v="5"/>
    <x v="1"/>
    <x v="596"/>
    <x v="2"/>
    <n v="32359.22"/>
    <x v="596"/>
    <x v="296"/>
    <x v="5"/>
    <x v="23"/>
    <s v="REGULAR ORDER"/>
    <s v="GOOD"/>
  </r>
  <r>
    <x v="597"/>
    <x v="8"/>
    <x v="0"/>
    <x v="597"/>
    <x v="0"/>
    <n v="80380.759999999995"/>
    <x v="597"/>
    <x v="4"/>
    <x v="3"/>
    <x v="23"/>
    <s v="BULK ORDER"/>
    <s v="GOOD"/>
  </r>
  <r>
    <x v="598"/>
    <x v="13"/>
    <x v="1"/>
    <x v="598"/>
    <x v="2"/>
    <n v="27997.62"/>
    <x v="598"/>
    <x v="105"/>
    <x v="2"/>
    <x v="23"/>
    <s v="REGULAR ORDER"/>
    <s v="GOOD"/>
  </r>
  <r>
    <x v="599"/>
    <x v="12"/>
    <x v="1"/>
    <x v="599"/>
    <x v="4"/>
    <n v="174350.6"/>
    <x v="599"/>
    <x v="159"/>
    <x v="5"/>
    <x v="23"/>
    <s v="BULK ORDER"/>
    <s v="GOOD"/>
  </r>
  <r>
    <x v="600"/>
    <x v="12"/>
    <x v="1"/>
    <x v="600"/>
    <x v="4"/>
    <n v="205848.25"/>
    <x v="600"/>
    <x v="163"/>
    <x v="3"/>
    <x v="23"/>
    <s v="BULK ORDER"/>
    <s v="GOOD"/>
  </r>
  <r>
    <x v="601"/>
    <x v="0"/>
    <x v="0"/>
    <x v="601"/>
    <x v="2"/>
    <n v="64739.040000000001"/>
    <x v="601"/>
    <x v="297"/>
    <x v="5"/>
    <x v="23"/>
    <s v="REGULAR ORDER"/>
    <s v="GOOD"/>
  </r>
  <r>
    <x v="602"/>
    <x v="18"/>
    <x v="3"/>
    <x v="602"/>
    <x v="3"/>
    <n v="33745.33"/>
    <x v="602"/>
    <x v="4"/>
    <x v="0"/>
    <x v="23"/>
    <s v="REGULAR ORDER"/>
    <s v="GOOD"/>
  </r>
  <r>
    <x v="603"/>
    <x v="17"/>
    <x v="4"/>
    <x v="603"/>
    <x v="0"/>
    <n v="62174.6"/>
    <x v="603"/>
    <x v="298"/>
    <x v="3"/>
    <x v="23"/>
    <s v="BULK ORDER"/>
    <s v="GOOD"/>
  </r>
  <r>
    <x v="604"/>
    <x v="9"/>
    <x v="2"/>
    <x v="604"/>
    <x v="0"/>
    <n v="91695.72"/>
    <x v="604"/>
    <x v="32"/>
    <x v="0"/>
    <x v="23"/>
    <s v="BULK ORDER"/>
    <s v="GOOD"/>
  </r>
  <r>
    <x v="605"/>
    <x v="9"/>
    <x v="2"/>
    <x v="605"/>
    <x v="4"/>
    <n v="139601"/>
    <x v="605"/>
    <x v="299"/>
    <x v="4"/>
    <x v="23"/>
    <s v="BULK ORDER"/>
    <s v="GOOD"/>
  </r>
  <r>
    <x v="606"/>
    <x v="21"/>
    <x v="4"/>
    <x v="606"/>
    <x v="2"/>
    <n v="3974.78"/>
    <x v="606"/>
    <x v="152"/>
    <x v="5"/>
    <x v="24"/>
    <s v="REGULAR ORDER"/>
    <s v="GOOD"/>
  </r>
  <r>
    <x v="607"/>
    <x v="11"/>
    <x v="2"/>
    <x v="607"/>
    <x v="0"/>
    <n v="48349.4"/>
    <x v="607"/>
    <x v="55"/>
    <x v="1"/>
    <x v="24"/>
    <s v="BULK ORDER"/>
    <s v="GOOD"/>
  </r>
  <r>
    <x v="608"/>
    <x v="8"/>
    <x v="0"/>
    <x v="608"/>
    <x v="4"/>
    <n v="13676.6"/>
    <x v="608"/>
    <x v="269"/>
    <x v="4"/>
    <x v="24"/>
    <s v="BULK ORDER"/>
    <s v="GOOD"/>
  </r>
  <r>
    <x v="609"/>
    <x v="9"/>
    <x v="2"/>
    <x v="609"/>
    <x v="3"/>
    <n v="17353.47"/>
    <x v="609"/>
    <x v="300"/>
    <x v="3"/>
    <x v="24"/>
    <s v="REGULAR ORDER"/>
    <s v="GOOD"/>
  </r>
  <r>
    <x v="610"/>
    <x v="22"/>
    <x v="3"/>
    <x v="610"/>
    <x v="1"/>
    <n v="33708.57"/>
    <x v="610"/>
    <x v="76"/>
    <x v="0"/>
    <x v="24"/>
    <s v="BULK ORDER"/>
    <s v="GOOD"/>
  </r>
  <r>
    <x v="611"/>
    <x v="17"/>
    <x v="4"/>
    <x v="611"/>
    <x v="4"/>
    <n v="216522.75"/>
    <x v="611"/>
    <x v="301"/>
    <x v="1"/>
    <x v="24"/>
    <s v="BULK ORDER"/>
    <s v="GOOD"/>
  </r>
  <r>
    <x v="612"/>
    <x v="10"/>
    <x v="3"/>
    <x v="612"/>
    <x v="4"/>
    <n v="208711.45"/>
    <x v="612"/>
    <x v="72"/>
    <x v="0"/>
    <x v="24"/>
    <s v="BULK ORDER"/>
    <s v="GOOD"/>
  </r>
  <r>
    <x v="613"/>
    <x v="4"/>
    <x v="3"/>
    <x v="613"/>
    <x v="1"/>
    <n v="133002.33000000002"/>
    <x v="613"/>
    <x v="302"/>
    <x v="4"/>
    <x v="24"/>
    <s v="BULK ORDER"/>
    <s v="GOOD"/>
  </r>
  <r>
    <x v="614"/>
    <x v="0"/>
    <x v="0"/>
    <x v="614"/>
    <x v="4"/>
    <n v="169637.85"/>
    <x v="614"/>
    <x v="267"/>
    <x v="4"/>
    <x v="24"/>
    <s v="BULK ORDER"/>
    <s v="GOOD"/>
  </r>
  <r>
    <x v="615"/>
    <x v="16"/>
    <x v="0"/>
    <x v="615"/>
    <x v="2"/>
    <n v="37103.300000000003"/>
    <x v="615"/>
    <x v="188"/>
    <x v="3"/>
    <x v="24"/>
    <s v="REGULAR ORDER"/>
    <s v="GOOD"/>
  </r>
  <r>
    <x v="616"/>
    <x v="6"/>
    <x v="0"/>
    <x v="616"/>
    <x v="2"/>
    <n v="90145.38"/>
    <x v="616"/>
    <x v="303"/>
    <x v="4"/>
    <x v="24"/>
    <s v="REGULAR ORDER"/>
    <s v="GOOD"/>
  </r>
  <r>
    <x v="617"/>
    <x v="20"/>
    <x v="1"/>
    <x v="617"/>
    <x v="0"/>
    <n v="164992.07999999999"/>
    <x v="617"/>
    <x v="134"/>
    <x v="3"/>
    <x v="24"/>
    <s v="BULK ORDER"/>
    <s v="GOOD"/>
  </r>
  <r>
    <x v="618"/>
    <x v="20"/>
    <x v="1"/>
    <x v="618"/>
    <x v="4"/>
    <n v="81445.850000000006"/>
    <x v="618"/>
    <x v="280"/>
    <x v="2"/>
    <x v="24"/>
    <s v="BULK ORDER"/>
    <s v="GOOD"/>
  </r>
  <r>
    <x v="619"/>
    <x v="3"/>
    <x v="0"/>
    <x v="619"/>
    <x v="4"/>
    <n v="32830.15"/>
    <x v="619"/>
    <x v="0"/>
    <x v="0"/>
    <x v="24"/>
    <s v="BULK ORDER"/>
    <s v="GOOD"/>
  </r>
  <r>
    <x v="620"/>
    <x v="1"/>
    <x v="1"/>
    <x v="620"/>
    <x v="4"/>
    <n v="216085.5"/>
    <x v="620"/>
    <x v="189"/>
    <x v="5"/>
    <x v="24"/>
    <s v="BULK ORDER"/>
    <s v="GOOD"/>
  </r>
  <r>
    <x v="621"/>
    <x v="12"/>
    <x v="1"/>
    <x v="621"/>
    <x v="4"/>
    <n v="155685.15"/>
    <x v="621"/>
    <x v="304"/>
    <x v="3"/>
    <x v="24"/>
    <s v="BULK ORDER"/>
    <s v="GOOD"/>
  </r>
  <r>
    <x v="622"/>
    <x v="3"/>
    <x v="0"/>
    <x v="622"/>
    <x v="2"/>
    <n v="55721.599999999999"/>
    <x v="622"/>
    <x v="100"/>
    <x v="3"/>
    <x v="24"/>
    <s v="REGULAR ORDER"/>
    <s v="GOOD"/>
  </r>
  <r>
    <x v="623"/>
    <x v="7"/>
    <x v="2"/>
    <x v="623"/>
    <x v="3"/>
    <n v="22315.58"/>
    <x v="623"/>
    <x v="246"/>
    <x v="1"/>
    <x v="24"/>
    <s v="REGULAR ORDER"/>
    <s v="GOOD"/>
  </r>
  <r>
    <x v="624"/>
    <x v="5"/>
    <x v="1"/>
    <x v="624"/>
    <x v="4"/>
    <n v="32473.1"/>
    <x v="624"/>
    <x v="63"/>
    <x v="1"/>
    <x v="24"/>
    <s v="BULK ORDER"/>
    <s v="GOOD"/>
  </r>
  <r>
    <x v="625"/>
    <x v="8"/>
    <x v="0"/>
    <x v="625"/>
    <x v="0"/>
    <n v="176245"/>
    <x v="625"/>
    <x v="305"/>
    <x v="0"/>
    <x v="25"/>
    <s v="BULK ORDER"/>
    <s v="GOOD"/>
  </r>
  <r>
    <x v="626"/>
    <x v="17"/>
    <x v="4"/>
    <x v="626"/>
    <x v="0"/>
    <n v="155710.48000000001"/>
    <x v="626"/>
    <x v="153"/>
    <x v="4"/>
    <x v="25"/>
    <s v="BULK ORDER"/>
    <s v="GOOD"/>
  </r>
  <r>
    <x v="627"/>
    <x v="6"/>
    <x v="0"/>
    <x v="627"/>
    <x v="0"/>
    <n v="16902.759999999998"/>
    <x v="627"/>
    <x v="3"/>
    <x v="3"/>
    <x v="25"/>
    <s v="BULK ORDER"/>
    <s v="GOOD"/>
  </r>
  <r>
    <x v="628"/>
    <x v="0"/>
    <x v="0"/>
    <x v="628"/>
    <x v="1"/>
    <n v="77257.950000000012"/>
    <x v="628"/>
    <x v="198"/>
    <x v="2"/>
    <x v="25"/>
    <s v="BULK ORDER"/>
    <s v="GOOD"/>
  </r>
  <r>
    <x v="629"/>
    <x v="1"/>
    <x v="1"/>
    <x v="629"/>
    <x v="4"/>
    <n v="44387.55"/>
    <x v="629"/>
    <x v="298"/>
    <x v="1"/>
    <x v="25"/>
    <s v="BULK ORDER"/>
    <s v="GOOD"/>
  </r>
  <r>
    <x v="630"/>
    <x v="8"/>
    <x v="0"/>
    <x v="630"/>
    <x v="2"/>
    <n v="99374.98"/>
    <x v="630"/>
    <x v="223"/>
    <x v="1"/>
    <x v="25"/>
    <s v="REGULAR ORDER"/>
    <s v="GOOD"/>
  </r>
  <r>
    <x v="631"/>
    <x v="9"/>
    <x v="2"/>
    <x v="631"/>
    <x v="1"/>
    <n v="104638.20000000001"/>
    <x v="631"/>
    <x v="181"/>
    <x v="1"/>
    <x v="25"/>
    <s v="BULK ORDER"/>
    <s v="GOOD"/>
  </r>
  <r>
    <x v="632"/>
    <x v="23"/>
    <x v="4"/>
    <x v="632"/>
    <x v="1"/>
    <n v="4521.03"/>
    <x v="632"/>
    <x v="161"/>
    <x v="2"/>
    <x v="25"/>
    <s v="BULK ORDER"/>
    <s v="GOOD"/>
  </r>
  <r>
    <x v="633"/>
    <x v="12"/>
    <x v="1"/>
    <x v="633"/>
    <x v="4"/>
    <n v="26291.45"/>
    <x v="633"/>
    <x v="306"/>
    <x v="4"/>
    <x v="25"/>
    <s v="BULK ORDER"/>
    <s v="GOOD"/>
  </r>
  <r>
    <x v="634"/>
    <x v="11"/>
    <x v="2"/>
    <x v="634"/>
    <x v="1"/>
    <n v="109936.04999999999"/>
    <x v="634"/>
    <x v="57"/>
    <x v="5"/>
    <x v="25"/>
    <s v="BULK ORDER"/>
    <s v="GOOD"/>
  </r>
  <r>
    <x v="635"/>
    <x v="14"/>
    <x v="3"/>
    <x v="635"/>
    <x v="0"/>
    <n v="110996.76"/>
    <x v="635"/>
    <x v="115"/>
    <x v="4"/>
    <x v="25"/>
    <s v="BULK ORDER"/>
    <s v="GOOD"/>
  </r>
  <r>
    <x v="636"/>
    <x v="16"/>
    <x v="0"/>
    <x v="636"/>
    <x v="4"/>
    <n v="182801.6"/>
    <x v="636"/>
    <x v="117"/>
    <x v="2"/>
    <x v="25"/>
    <s v="BULK ORDER"/>
    <s v="GOOD"/>
  </r>
  <r>
    <x v="637"/>
    <x v="10"/>
    <x v="3"/>
    <x v="637"/>
    <x v="1"/>
    <n v="85174.950000000012"/>
    <x v="637"/>
    <x v="307"/>
    <x v="5"/>
    <x v="25"/>
    <s v="BULK ORDER"/>
    <s v="GOOD"/>
  </r>
  <r>
    <x v="638"/>
    <x v="22"/>
    <x v="3"/>
    <x v="638"/>
    <x v="1"/>
    <n v="29284.92"/>
    <x v="638"/>
    <x v="89"/>
    <x v="4"/>
    <x v="25"/>
    <s v="BULK ORDER"/>
    <s v="GOOD"/>
  </r>
  <r>
    <x v="639"/>
    <x v="19"/>
    <x v="2"/>
    <x v="639"/>
    <x v="0"/>
    <n v="78644.36"/>
    <x v="639"/>
    <x v="268"/>
    <x v="2"/>
    <x v="25"/>
    <s v="BULK ORDER"/>
    <s v="GOOD"/>
  </r>
  <r>
    <x v="640"/>
    <x v="3"/>
    <x v="0"/>
    <x v="640"/>
    <x v="1"/>
    <n v="149583.51"/>
    <x v="640"/>
    <x v="172"/>
    <x v="1"/>
    <x v="25"/>
    <s v="BULK ORDER"/>
    <s v="GOOD"/>
  </r>
  <r>
    <x v="641"/>
    <x v="17"/>
    <x v="4"/>
    <x v="641"/>
    <x v="3"/>
    <n v="8734.44"/>
    <x v="641"/>
    <x v="170"/>
    <x v="5"/>
    <x v="25"/>
    <s v="REGULAR ORDER"/>
    <s v="GOOD"/>
  </r>
  <r>
    <x v="642"/>
    <x v="19"/>
    <x v="2"/>
    <x v="642"/>
    <x v="4"/>
    <n v="40025.100000000006"/>
    <x v="642"/>
    <x v="116"/>
    <x v="1"/>
    <x v="25"/>
    <s v="BULK ORDER"/>
    <s v="GOOD"/>
  </r>
  <r>
    <x v="643"/>
    <x v="11"/>
    <x v="2"/>
    <x v="643"/>
    <x v="4"/>
    <n v="154392.35"/>
    <x v="643"/>
    <x v="258"/>
    <x v="1"/>
    <x v="25"/>
    <s v="BULK ORDER"/>
    <s v="GOOD"/>
  </r>
  <r>
    <x v="644"/>
    <x v="3"/>
    <x v="0"/>
    <x v="644"/>
    <x v="3"/>
    <n v="46933.96"/>
    <x v="644"/>
    <x v="308"/>
    <x v="5"/>
    <x v="25"/>
    <s v="REGULAR ORDER"/>
    <s v="GOOD"/>
  </r>
  <r>
    <x v="645"/>
    <x v="4"/>
    <x v="3"/>
    <x v="645"/>
    <x v="3"/>
    <n v="23806.639999999999"/>
    <x v="645"/>
    <x v="113"/>
    <x v="5"/>
    <x v="25"/>
    <s v="REGULAR ORDER"/>
    <s v="GOOD"/>
  </r>
  <r>
    <x v="646"/>
    <x v="22"/>
    <x v="3"/>
    <x v="646"/>
    <x v="2"/>
    <n v="50231.42"/>
    <x v="646"/>
    <x v="250"/>
    <x v="4"/>
    <x v="25"/>
    <s v="REGULAR ORDER"/>
    <s v="GOOD"/>
  </r>
  <r>
    <x v="647"/>
    <x v="12"/>
    <x v="1"/>
    <x v="647"/>
    <x v="3"/>
    <n v="13879"/>
    <x v="647"/>
    <x v="12"/>
    <x v="0"/>
    <x v="25"/>
    <s v="REGULAR ORDER"/>
    <s v="GOOD"/>
  </r>
  <r>
    <x v="648"/>
    <x v="12"/>
    <x v="1"/>
    <x v="648"/>
    <x v="0"/>
    <n v="36854.199999999997"/>
    <x v="648"/>
    <x v="121"/>
    <x v="0"/>
    <x v="25"/>
    <s v="BULK ORDER"/>
    <s v="GOOD"/>
  </r>
  <r>
    <x v="649"/>
    <x v="4"/>
    <x v="3"/>
    <x v="649"/>
    <x v="2"/>
    <n v="65328.02"/>
    <x v="649"/>
    <x v="56"/>
    <x v="2"/>
    <x v="25"/>
    <s v="REGULAR ORDER"/>
    <s v="GOOD"/>
  </r>
  <r>
    <x v="650"/>
    <x v="2"/>
    <x v="2"/>
    <x v="650"/>
    <x v="3"/>
    <n v="31922.03"/>
    <x v="650"/>
    <x v="149"/>
    <x v="2"/>
    <x v="25"/>
    <s v="REGULAR ORDER"/>
    <s v="GOOD"/>
  </r>
  <r>
    <x v="651"/>
    <x v="9"/>
    <x v="2"/>
    <x v="651"/>
    <x v="4"/>
    <n v="179740.80000000002"/>
    <x v="651"/>
    <x v="155"/>
    <x v="4"/>
    <x v="25"/>
    <s v="BULK ORDER"/>
    <s v="GOOD"/>
  </r>
  <r>
    <x v="652"/>
    <x v="23"/>
    <x v="4"/>
    <x v="652"/>
    <x v="1"/>
    <n v="34439.67"/>
    <x v="652"/>
    <x v="254"/>
    <x v="2"/>
    <x v="25"/>
    <s v="BULK ORDER"/>
    <s v="GOOD"/>
  </r>
  <r>
    <x v="653"/>
    <x v="12"/>
    <x v="1"/>
    <x v="653"/>
    <x v="1"/>
    <n v="74455.77"/>
    <x v="653"/>
    <x v="219"/>
    <x v="5"/>
    <x v="26"/>
    <s v="BULK ORDER"/>
    <s v="GOOD"/>
  </r>
  <r>
    <x v="654"/>
    <x v="14"/>
    <x v="3"/>
    <x v="654"/>
    <x v="4"/>
    <n v="167216.6"/>
    <x v="654"/>
    <x v="183"/>
    <x v="1"/>
    <x v="26"/>
    <s v="BULK ORDER"/>
    <s v="GOOD"/>
  </r>
  <r>
    <x v="655"/>
    <x v="17"/>
    <x v="4"/>
    <x v="655"/>
    <x v="4"/>
    <n v="93038.45"/>
    <x v="655"/>
    <x v="278"/>
    <x v="0"/>
    <x v="26"/>
    <s v="BULK ORDER"/>
    <s v="GOOD"/>
  </r>
  <r>
    <x v="656"/>
    <x v="10"/>
    <x v="3"/>
    <x v="656"/>
    <x v="3"/>
    <n v="34161.440000000002"/>
    <x v="656"/>
    <x v="194"/>
    <x v="4"/>
    <x v="26"/>
    <s v="REGULAR ORDER"/>
    <s v="GOOD"/>
  </r>
  <r>
    <x v="657"/>
    <x v="17"/>
    <x v="4"/>
    <x v="657"/>
    <x v="1"/>
    <n v="120207.90000000001"/>
    <x v="657"/>
    <x v="261"/>
    <x v="5"/>
    <x v="26"/>
    <s v="BULK ORDER"/>
    <s v="GOOD"/>
  </r>
  <r>
    <x v="658"/>
    <x v="9"/>
    <x v="2"/>
    <x v="658"/>
    <x v="3"/>
    <n v="48157.93"/>
    <x v="658"/>
    <x v="309"/>
    <x v="0"/>
    <x v="26"/>
    <s v="REGULAR ORDER"/>
    <s v="GOOD"/>
  </r>
  <r>
    <x v="659"/>
    <x v="10"/>
    <x v="3"/>
    <x v="659"/>
    <x v="1"/>
    <n v="86064.75"/>
    <x v="659"/>
    <x v="310"/>
    <x v="1"/>
    <x v="26"/>
    <s v="BULK ORDER"/>
    <s v="GOOD"/>
  </r>
  <r>
    <x v="660"/>
    <x v="6"/>
    <x v="0"/>
    <x v="660"/>
    <x v="2"/>
    <n v="65180.92"/>
    <x v="660"/>
    <x v="229"/>
    <x v="2"/>
    <x v="26"/>
    <s v="REGULAR ORDER"/>
    <s v="GOOD"/>
  </r>
  <r>
    <x v="661"/>
    <x v="13"/>
    <x v="1"/>
    <x v="661"/>
    <x v="1"/>
    <n v="13573.89"/>
    <x v="661"/>
    <x v="207"/>
    <x v="1"/>
    <x v="26"/>
    <s v="BULK ORDER"/>
    <s v="GOOD"/>
  </r>
  <r>
    <x v="662"/>
    <x v="5"/>
    <x v="1"/>
    <x v="662"/>
    <x v="2"/>
    <n v="23828.3"/>
    <x v="662"/>
    <x v="271"/>
    <x v="4"/>
    <x v="26"/>
    <s v="REGULAR ORDER"/>
    <s v="GOOD"/>
  </r>
  <r>
    <x v="663"/>
    <x v="16"/>
    <x v="0"/>
    <x v="663"/>
    <x v="0"/>
    <n v="159727"/>
    <x v="663"/>
    <x v="195"/>
    <x v="3"/>
    <x v="26"/>
    <s v="BULK ORDER"/>
    <s v="GOOD"/>
  </r>
  <r>
    <x v="664"/>
    <x v="10"/>
    <x v="3"/>
    <x v="664"/>
    <x v="0"/>
    <n v="83041.759999999995"/>
    <x v="664"/>
    <x v="137"/>
    <x v="0"/>
    <x v="26"/>
    <s v="BULK ORDER"/>
    <s v="GOOD"/>
  </r>
  <r>
    <x v="665"/>
    <x v="1"/>
    <x v="1"/>
    <x v="665"/>
    <x v="3"/>
    <n v="37890.559999999998"/>
    <x v="665"/>
    <x v="194"/>
    <x v="0"/>
    <x v="26"/>
    <s v="REGULAR ORDER"/>
    <s v="GOOD"/>
  </r>
  <r>
    <x v="666"/>
    <x v="18"/>
    <x v="3"/>
    <x v="666"/>
    <x v="4"/>
    <n v="44511.3"/>
    <x v="666"/>
    <x v="204"/>
    <x v="5"/>
    <x v="26"/>
    <s v="BULK ORDER"/>
    <s v="GOOD"/>
  </r>
  <r>
    <x v="667"/>
    <x v="22"/>
    <x v="3"/>
    <x v="667"/>
    <x v="4"/>
    <n v="229005.95"/>
    <x v="667"/>
    <x v="31"/>
    <x v="3"/>
    <x v="26"/>
    <s v="BULK ORDER"/>
    <s v="GOOD"/>
  </r>
  <r>
    <x v="668"/>
    <x v="10"/>
    <x v="3"/>
    <x v="668"/>
    <x v="1"/>
    <n v="103076.34"/>
    <x v="668"/>
    <x v="276"/>
    <x v="2"/>
    <x v="26"/>
    <s v="BULK ORDER"/>
    <s v="GOOD"/>
  </r>
  <r>
    <x v="669"/>
    <x v="11"/>
    <x v="2"/>
    <x v="669"/>
    <x v="1"/>
    <n v="103339.26"/>
    <x v="669"/>
    <x v="311"/>
    <x v="1"/>
    <x v="26"/>
    <s v="BULK ORDER"/>
    <s v="GOOD"/>
  </r>
  <r>
    <x v="670"/>
    <x v="14"/>
    <x v="3"/>
    <x v="670"/>
    <x v="3"/>
    <n v="2519.1799999999998"/>
    <x v="670"/>
    <x v="312"/>
    <x v="2"/>
    <x v="26"/>
    <s v="REGULAR ORDER"/>
    <s v="GOOD"/>
  </r>
  <r>
    <x v="671"/>
    <x v="15"/>
    <x v="4"/>
    <x v="671"/>
    <x v="4"/>
    <n v="125296.8"/>
    <x v="671"/>
    <x v="227"/>
    <x v="1"/>
    <x v="26"/>
    <s v="BULK ORDER"/>
    <s v="GOOD"/>
  </r>
  <r>
    <x v="672"/>
    <x v="1"/>
    <x v="1"/>
    <x v="672"/>
    <x v="1"/>
    <n v="138947.40000000002"/>
    <x v="672"/>
    <x v="244"/>
    <x v="4"/>
    <x v="26"/>
    <s v="BULK ORDER"/>
    <s v="GOOD"/>
  </r>
  <r>
    <x v="673"/>
    <x v="12"/>
    <x v="1"/>
    <x v="673"/>
    <x v="4"/>
    <n v="236422.7"/>
    <x v="673"/>
    <x v="148"/>
    <x v="2"/>
    <x v="26"/>
    <s v="BULK ORDER"/>
    <s v="GOOD"/>
  </r>
  <r>
    <x v="674"/>
    <x v="8"/>
    <x v="0"/>
    <x v="674"/>
    <x v="2"/>
    <n v="65599.02"/>
    <x v="674"/>
    <x v="189"/>
    <x v="4"/>
    <x v="26"/>
    <s v="REGULAR ORDER"/>
    <s v="GOOD"/>
  </r>
  <r>
    <x v="675"/>
    <x v="8"/>
    <x v="0"/>
    <x v="675"/>
    <x v="4"/>
    <n v="232047.85"/>
    <x v="675"/>
    <x v="313"/>
    <x v="1"/>
    <x v="27"/>
    <s v="BULK ORDER"/>
    <s v="GOOD"/>
  </r>
  <r>
    <x v="676"/>
    <x v="11"/>
    <x v="2"/>
    <x v="676"/>
    <x v="2"/>
    <n v="41634.92"/>
    <x v="676"/>
    <x v="188"/>
    <x v="5"/>
    <x v="27"/>
    <s v="REGULAR ORDER"/>
    <s v="GOOD"/>
  </r>
  <r>
    <x v="677"/>
    <x v="20"/>
    <x v="1"/>
    <x v="677"/>
    <x v="0"/>
    <n v="115913.88"/>
    <x v="677"/>
    <x v="199"/>
    <x v="1"/>
    <x v="27"/>
    <s v="BULK ORDER"/>
    <s v="GOOD"/>
  </r>
  <r>
    <x v="678"/>
    <x v="6"/>
    <x v="0"/>
    <x v="678"/>
    <x v="0"/>
    <n v="44749.52"/>
    <x v="678"/>
    <x v="47"/>
    <x v="4"/>
    <x v="27"/>
    <s v="BULK ORDER"/>
    <s v="GOOD"/>
  </r>
  <r>
    <x v="679"/>
    <x v="18"/>
    <x v="3"/>
    <x v="679"/>
    <x v="1"/>
    <n v="33868.26"/>
    <x v="679"/>
    <x v="133"/>
    <x v="1"/>
    <x v="27"/>
    <s v="BULK ORDER"/>
    <s v="GOOD"/>
  </r>
  <r>
    <x v="680"/>
    <x v="0"/>
    <x v="0"/>
    <x v="680"/>
    <x v="2"/>
    <n v="56492.5"/>
    <x v="680"/>
    <x v="308"/>
    <x v="2"/>
    <x v="27"/>
    <s v="REGULAR ORDER"/>
    <s v="GOOD"/>
  </r>
  <r>
    <x v="681"/>
    <x v="7"/>
    <x v="2"/>
    <x v="681"/>
    <x v="0"/>
    <n v="196352.52"/>
    <x v="681"/>
    <x v="78"/>
    <x v="4"/>
    <x v="27"/>
    <s v="BULK ORDER"/>
    <s v="GOOD"/>
  </r>
  <r>
    <x v="682"/>
    <x v="18"/>
    <x v="3"/>
    <x v="682"/>
    <x v="0"/>
    <n v="99275.08"/>
    <x v="682"/>
    <x v="280"/>
    <x v="5"/>
    <x v="27"/>
    <s v="BULK ORDER"/>
    <s v="GOOD"/>
  </r>
  <r>
    <x v="683"/>
    <x v="10"/>
    <x v="3"/>
    <x v="683"/>
    <x v="2"/>
    <n v="53231.839999999997"/>
    <x v="683"/>
    <x v="128"/>
    <x v="0"/>
    <x v="27"/>
    <s v="REGULAR ORDER"/>
    <s v="GOOD"/>
  </r>
  <r>
    <x v="684"/>
    <x v="6"/>
    <x v="0"/>
    <x v="684"/>
    <x v="0"/>
    <n v="28174.04"/>
    <x v="684"/>
    <x v="314"/>
    <x v="1"/>
    <x v="27"/>
    <s v="BULK ORDER"/>
    <s v="GOOD"/>
  </r>
  <r>
    <x v="685"/>
    <x v="20"/>
    <x v="1"/>
    <x v="685"/>
    <x v="1"/>
    <n v="16502.760000000002"/>
    <x v="685"/>
    <x v="145"/>
    <x v="5"/>
    <x v="27"/>
    <s v="BULK ORDER"/>
    <s v="GOOD"/>
  </r>
  <r>
    <x v="686"/>
    <x v="5"/>
    <x v="1"/>
    <x v="686"/>
    <x v="3"/>
    <n v="2435.9699999999998"/>
    <x v="686"/>
    <x v="188"/>
    <x v="3"/>
    <x v="27"/>
    <s v="REGULAR ORDER"/>
    <s v="GOOD"/>
  </r>
  <r>
    <x v="687"/>
    <x v="15"/>
    <x v="4"/>
    <x v="687"/>
    <x v="0"/>
    <n v="72644.039999999994"/>
    <x v="687"/>
    <x v="105"/>
    <x v="3"/>
    <x v="27"/>
    <s v="BULK ORDER"/>
    <s v="GOOD"/>
  </r>
  <r>
    <x v="688"/>
    <x v="15"/>
    <x v="4"/>
    <x v="688"/>
    <x v="4"/>
    <n v="80190"/>
    <x v="688"/>
    <x v="269"/>
    <x v="3"/>
    <x v="27"/>
    <s v="BULK ORDER"/>
    <s v="GOOD"/>
  </r>
  <r>
    <x v="689"/>
    <x v="5"/>
    <x v="1"/>
    <x v="689"/>
    <x v="3"/>
    <n v="47795.34"/>
    <x v="689"/>
    <x v="315"/>
    <x v="0"/>
    <x v="27"/>
    <s v="REGULAR ORDER"/>
    <s v="GOOD"/>
  </r>
  <r>
    <x v="690"/>
    <x v="2"/>
    <x v="2"/>
    <x v="690"/>
    <x v="3"/>
    <n v="47666.18"/>
    <x v="690"/>
    <x v="68"/>
    <x v="1"/>
    <x v="27"/>
    <s v="REGULAR ORDER"/>
    <s v="GOOD"/>
  </r>
  <r>
    <x v="691"/>
    <x v="5"/>
    <x v="1"/>
    <x v="691"/>
    <x v="2"/>
    <n v="83342.12"/>
    <x v="691"/>
    <x v="126"/>
    <x v="1"/>
    <x v="27"/>
    <s v="REGULAR ORDER"/>
    <s v="GOOD"/>
  </r>
  <r>
    <x v="692"/>
    <x v="14"/>
    <x v="3"/>
    <x v="692"/>
    <x v="4"/>
    <n v="71450.350000000006"/>
    <x v="692"/>
    <x v="235"/>
    <x v="5"/>
    <x v="27"/>
    <s v="BULK ORDER"/>
    <s v="GOOD"/>
  </r>
  <r>
    <x v="693"/>
    <x v="12"/>
    <x v="1"/>
    <x v="693"/>
    <x v="1"/>
    <n v="43078.68"/>
    <x v="693"/>
    <x v="81"/>
    <x v="5"/>
    <x v="27"/>
    <s v="BULK ORDER"/>
    <s v="GOOD"/>
  </r>
  <r>
    <x v="694"/>
    <x v="18"/>
    <x v="3"/>
    <x v="694"/>
    <x v="0"/>
    <n v="11707.2"/>
    <x v="694"/>
    <x v="23"/>
    <x v="3"/>
    <x v="27"/>
    <s v="BULK ORDER"/>
    <s v="GOOD"/>
  </r>
  <r>
    <x v="695"/>
    <x v="10"/>
    <x v="3"/>
    <x v="695"/>
    <x v="1"/>
    <n v="139660.74"/>
    <x v="695"/>
    <x v="316"/>
    <x v="0"/>
    <x v="27"/>
    <s v="BULK ORDER"/>
    <s v="GOOD"/>
  </r>
  <r>
    <x v="696"/>
    <x v="3"/>
    <x v="0"/>
    <x v="696"/>
    <x v="4"/>
    <n v="106467.09999999999"/>
    <x v="696"/>
    <x v="245"/>
    <x v="4"/>
    <x v="28"/>
    <s v="BULK ORDER"/>
    <s v="GOOD"/>
  </r>
  <r>
    <x v="697"/>
    <x v="2"/>
    <x v="2"/>
    <x v="697"/>
    <x v="4"/>
    <n v="38786"/>
    <x v="697"/>
    <x v="317"/>
    <x v="4"/>
    <x v="28"/>
    <s v="BULK ORDER"/>
    <s v="GOOD"/>
  </r>
  <r>
    <x v="698"/>
    <x v="17"/>
    <x v="4"/>
    <x v="698"/>
    <x v="3"/>
    <n v="35305.39"/>
    <x v="698"/>
    <x v="271"/>
    <x v="1"/>
    <x v="28"/>
    <s v="REGULAR ORDER"/>
    <s v="GOOD"/>
  </r>
  <r>
    <x v="699"/>
    <x v="13"/>
    <x v="1"/>
    <x v="699"/>
    <x v="2"/>
    <n v="11608.76"/>
    <x v="699"/>
    <x v="174"/>
    <x v="0"/>
    <x v="28"/>
    <s v="REGULAR ORDER"/>
    <s v="GOOD"/>
  </r>
  <r>
    <x v="700"/>
    <x v="3"/>
    <x v="0"/>
    <x v="700"/>
    <x v="3"/>
    <n v="25542.71"/>
    <x v="700"/>
    <x v="132"/>
    <x v="1"/>
    <x v="28"/>
    <s v="REGULAR ORDER"/>
    <s v="GOOD"/>
  </r>
  <r>
    <x v="701"/>
    <x v="10"/>
    <x v="3"/>
    <x v="701"/>
    <x v="1"/>
    <n v="117025.11000000002"/>
    <x v="701"/>
    <x v="318"/>
    <x v="2"/>
    <x v="28"/>
    <s v="BULK ORDER"/>
    <s v="GOOD"/>
  </r>
  <r>
    <x v="702"/>
    <x v="23"/>
    <x v="4"/>
    <x v="702"/>
    <x v="4"/>
    <n v="24001.300000000003"/>
    <x v="702"/>
    <x v="118"/>
    <x v="1"/>
    <x v="28"/>
    <s v="BULK ORDER"/>
    <s v="GOOD"/>
  </r>
  <r>
    <x v="703"/>
    <x v="0"/>
    <x v="0"/>
    <x v="703"/>
    <x v="3"/>
    <n v="18747.939999999999"/>
    <x v="703"/>
    <x v="289"/>
    <x v="2"/>
    <x v="28"/>
    <s v="REGULAR ORDER"/>
    <s v="GOOD"/>
  </r>
  <r>
    <x v="704"/>
    <x v="18"/>
    <x v="3"/>
    <x v="704"/>
    <x v="1"/>
    <n v="69747.81"/>
    <x v="704"/>
    <x v="276"/>
    <x v="3"/>
    <x v="28"/>
    <s v="BULK ORDER"/>
    <s v="GOOD"/>
  </r>
  <r>
    <x v="705"/>
    <x v="2"/>
    <x v="2"/>
    <x v="705"/>
    <x v="3"/>
    <n v="2136.9899999999998"/>
    <x v="705"/>
    <x v="26"/>
    <x v="2"/>
    <x v="28"/>
    <s v="REGULAR ORDER"/>
    <s v="GOOD"/>
  </r>
  <r>
    <x v="706"/>
    <x v="17"/>
    <x v="4"/>
    <x v="706"/>
    <x v="0"/>
    <n v="110129.92"/>
    <x v="706"/>
    <x v="77"/>
    <x v="1"/>
    <x v="28"/>
    <s v="BULK ORDER"/>
    <s v="GOOD"/>
  </r>
  <r>
    <x v="707"/>
    <x v="4"/>
    <x v="3"/>
    <x v="707"/>
    <x v="4"/>
    <n v="232634.65"/>
    <x v="707"/>
    <x v="269"/>
    <x v="2"/>
    <x v="28"/>
    <s v="BULK ORDER"/>
    <s v="GOOD"/>
  </r>
  <r>
    <x v="708"/>
    <x v="4"/>
    <x v="3"/>
    <x v="708"/>
    <x v="4"/>
    <n v="164754.75"/>
    <x v="708"/>
    <x v="273"/>
    <x v="2"/>
    <x v="28"/>
    <s v="BULK ORDER"/>
    <s v="GOOD"/>
  </r>
  <r>
    <x v="709"/>
    <x v="5"/>
    <x v="1"/>
    <x v="709"/>
    <x v="3"/>
    <n v="17308.52"/>
    <x v="709"/>
    <x v="114"/>
    <x v="2"/>
    <x v="28"/>
    <s v="REGULAR ORDER"/>
    <s v="GOOD"/>
  </r>
  <r>
    <x v="710"/>
    <x v="20"/>
    <x v="1"/>
    <x v="710"/>
    <x v="0"/>
    <n v="23262.080000000002"/>
    <x v="710"/>
    <x v="240"/>
    <x v="1"/>
    <x v="28"/>
    <s v="BULK ORDER"/>
    <s v="GOOD"/>
  </r>
  <r>
    <x v="711"/>
    <x v="14"/>
    <x v="3"/>
    <x v="711"/>
    <x v="2"/>
    <n v="38751.519999999997"/>
    <x v="711"/>
    <x v="109"/>
    <x v="3"/>
    <x v="29"/>
    <s v="REGULAR ORDER"/>
    <s v="GOOD"/>
  </r>
  <r>
    <x v="712"/>
    <x v="21"/>
    <x v="4"/>
    <x v="712"/>
    <x v="0"/>
    <n v="104879.96"/>
    <x v="712"/>
    <x v="169"/>
    <x v="5"/>
    <x v="29"/>
    <s v="BULK ORDER"/>
    <s v="GOOD"/>
  </r>
  <r>
    <x v="713"/>
    <x v="7"/>
    <x v="2"/>
    <x v="713"/>
    <x v="4"/>
    <n v="82982.900000000009"/>
    <x v="713"/>
    <x v="267"/>
    <x v="1"/>
    <x v="29"/>
    <s v="BULK ORDER"/>
    <s v="GOOD"/>
  </r>
  <r>
    <x v="714"/>
    <x v="19"/>
    <x v="2"/>
    <x v="714"/>
    <x v="4"/>
    <n v="61073.599999999999"/>
    <x v="714"/>
    <x v="319"/>
    <x v="1"/>
    <x v="29"/>
    <s v="BULK ORDER"/>
    <s v="GOOD"/>
  </r>
  <r>
    <x v="715"/>
    <x v="7"/>
    <x v="2"/>
    <x v="715"/>
    <x v="4"/>
    <n v="50880.55"/>
    <x v="715"/>
    <x v="206"/>
    <x v="2"/>
    <x v="29"/>
    <s v="BULK ORDER"/>
    <s v="GOOD"/>
  </r>
  <r>
    <x v="716"/>
    <x v="18"/>
    <x v="3"/>
    <x v="716"/>
    <x v="0"/>
    <n v="17108.599999999999"/>
    <x v="716"/>
    <x v="151"/>
    <x v="0"/>
    <x v="29"/>
    <s v="BULK ORDER"/>
    <s v="GOOD"/>
  </r>
  <r>
    <x v="717"/>
    <x v="15"/>
    <x v="4"/>
    <x v="717"/>
    <x v="0"/>
    <n v="146666.48000000001"/>
    <x v="717"/>
    <x v="276"/>
    <x v="2"/>
    <x v="29"/>
    <s v="BULK ORDER"/>
    <s v="GOOD"/>
  </r>
  <r>
    <x v="718"/>
    <x v="18"/>
    <x v="3"/>
    <x v="718"/>
    <x v="0"/>
    <n v="143284.64000000001"/>
    <x v="718"/>
    <x v="85"/>
    <x v="5"/>
    <x v="29"/>
    <s v="BULK ORDER"/>
    <s v="GOOD"/>
  </r>
  <r>
    <x v="719"/>
    <x v="21"/>
    <x v="4"/>
    <x v="719"/>
    <x v="4"/>
    <n v="190119.3"/>
    <x v="719"/>
    <x v="157"/>
    <x v="3"/>
    <x v="29"/>
    <s v="BULK ORDER"/>
    <s v="GOOD"/>
  </r>
  <r>
    <x v="720"/>
    <x v="17"/>
    <x v="4"/>
    <x v="720"/>
    <x v="0"/>
    <n v="61129.24"/>
    <x v="720"/>
    <x v="173"/>
    <x v="2"/>
    <x v="29"/>
    <s v="BULK ORDER"/>
    <s v="GOOD"/>
  </r>
  <r>
    <x v="721"/>
    <x v="3"/>
    <x v="0"/>
    <x v="721"/>
    <x v="3"/>
    <n v="6767.81"/>
    <x v="721"/>
    <x v="219"/>
    <x v="0"/>
    <x v="29"/>
    <s v="REGULAR ORDER"/>
    <s v="GOOD"/>
  </r>
  <r>
    <x v="722"/>
    <x v="17"/>
    <x v="4"/>
    <x v="722"/>
    <x v="2"/>
    <n v="57944.22"/>
    <x v="722"/>
    <x v="320"/>
    <x v="3"/>
    <x v="29"/>
    <s v="REGULAR ORDER"/>
    <s v="GOOD"/>
  </r>
  <r>
    <x v="723"/>
    <x v="3"/>
    <x v="0"/>
    <x v="723"/>
    <x v="2"/>
    <n v="63025.94"/>
    <x v="723"/>
    <x v="189"/>
    <x v="0"/>
    <x v="29"/>
    <s v="REGULAR ORDER"/>
    <s v="GOOD"/>
  </r>
  <r>
    <x v="724"/>
    <x v="21"/>
    <x v="4"/>
    <x v="724"/>
    <x v="2"/>
    <n v="83993.22"/>
    <x v="724"/>
    <x v="321"/>
    <x v="0"/>
    <x v="29"/>
    <s v="REGULAR ORDER"/>
    <s v="GOOD"/>
  </r>
  <r>
    <x v="725"/>
    <x v="23"/>
    <x v="4"/>
    <x v="725"/>
    <x v="4"/>
    <n v="18164.649999999998"/>
    <x v="725"/>
    <x v="153"/>
    <x v="3"/>
    <x v="29"/>
    <s v="BULK ORDER"/>
    <s v="GOOD"/>
  </r>
  <r>
    <x v="726"/>
    <x v="20"/>
    <x v="1"/>
    <x v="726"/>
    <x v="1"/>
    <n v="46444.47"/>
    <x v="726"/>
    <x v="242"/>
    <x v="4"/>
    <x v="29"/>
    <s v="BULK ORDER"/>
    <s v="GOOD"/>
  </r>
  <r>
    <x v="727"/>
    <x v="20"/>
    <x v="1"/>
    <x v="727"/>
    <x v="1"/>
    <n v="2361.81"/>
    <x v="727"/>
    <x v="275"/>
    <x v="1"/>
    <x v="29"/>
    <s v="BULK ORDER"/>
    <s v="GOOD"/>
  </r>
  <r>
    <x v="728"/>
    <x v="21"/>
    <x v="4"/>
    <x v="728"/>
    <x v="1"/>
    <n v="71819.759999999995"/>
    <x v="728"/>
    <x v="32"/>
    <x v="2"/>
    <x v="29"/>
    <s v="BULK ORDER"/>
    <s v="GOOD"/>
  </r>
  <r>
    <x v="729"/>
    <x v="2"/>
    <x v="2"/>
    <x v="729"/>
    <x v="4"/>
    <n v="27064.5"/>
    <x v="729"/>
    <x v="194"/>
    <x v="0"/>
    <x v="29"/>
    <s v="BULK ORDER"/>
    <s v="GOOD"/>
  </r>
  <r>
    <x v="730"/>
    <x v="20"/>
    <x v="1"/>
    <x v="730"/>
    <x v="2"/>
    <n v="12151.3"/>
    <x v="730"/>
    <x v="78"/>
    <x v="3"/>
    <x v="29"/>
    <s v="REGULAR ORDER"/>
    <s v="GOOD"/>
  </r>
  <r>
    <x v="731"/>
    <x v="23"/>
    <x v="4"/>
    <x v="731"/>
    <x v="1"/>
    <n v="115943.16"/>
    <x v="731"/>
    <x v="79"/>
    <x v="4"/>
    <x v="30"/>
    <s v="BULK ORDER"/>
    <s v="GOOD"/>
  </r>
  <r>
    <x v="732"/>
    <x v="10"/>
    <x v="3"/>
    <x v="732"/>
    <x v="0"/>
    <n v="153905.92000000001"/>
    <x v="732"/>
    <x v="180"/>
    <x v="3"/>
    <x v="30"/>
    <s v="BULK ORDER"/>
    <s v="GOOD"/>
  </r>
  <r>
    <x v="733"/>
    <x v="16"/>
    <x v="0"/>
    <x v="733"/>
    <x v="0"/>
    <n v="94861.68"/>
    <x v="733"/>
    <x v="241"/>
    <x v="0"/>
    <x v="30"/>
    <s v="BULK ORDER"/>
    <s v="GOOD"/>
  </r>
  <r>
    <x v="734"/>
    <x v="11"/>
    <x v="2"/>
    <x v="734"/>
    <x v="2"/>
    <n v="53151.72"/>
    <x v="734"/>
    <x v="237"/>
    <x v="4"/>
    <x v="30"/>
    <s v="REGULAR ORDER"/>
    <s v="GOOD"/>
  </r>
  <r>
    <x v="735"/>
    <x v="14"/>
    <x v="3"/>
    <x v="735"/>
    <x v="3"/>
    <n v="42409.26"/>
    <x v="735"/>
    <x v="123"/>
    <x v="5"/>
    <x v="30"/>
    <s v="REGULAR ORDER"/>
    <s v="GOOD"/>
  </r>
  <r>
    <x v="736"/>
    <x v="18"/>
    <x v="3"/>
    <x v="736"/>
    <x v="3"/>
    <n v="5880.45"/>
    <x v="736"/>
    <x v="184"/>
    <x v="2"/>
    <x v="30"/>
    <s v="REGULAR ORDER"/>
    <s v="GOOD"/>
  </r>
  <r>
    <x v="737"/>
    <x v="19"/>
    <x v="2"/>
    <x v="737"/>
    <x v="2"/>
    <n v="71259.100000000006"/>
    <x v="737"/>
    <x v="126"/>
    <x v="4"/>
    <x v="30"/>
    <s v="REGULAR ORDER"/>
    <s v="GOOD"/>
  </r>
  <r>
    <x v="738"/>
    <x v="20"/>
    <x v="1"/>
    <x v="738"/>
    <x v="0"/>
    <n v="127037.96"/>
    <x v="738"/>
    <x v="307"/>
    <x v="1"/>
    <x v="30"/>
    <s v="BULK ORDER"/>
    <s v="GOOD"/>
  </r>
  <r>
    <x v="739"/>
    <x v="14"/>
    <x v="3"/>
    <x v="739"/>
    <x v="0"/>
    <n v="6070.52"/>
    <x v="739"/>
    <x v="322"/>
    <x v="0"/>
    <x v="30"/>
    <s v="BULK ORDER"/>
    <s v="GOOD"/>
  </r>
  <r>
    <x v="740"/>
    <x v="4"/>
    <x v="3"/>
    <x v="740"/>
    <x v="2"/>
    <n v="47250.1"/>
    <x v="740"/>
    <x v="165"/>
    <x v="5"/>
    <x v="30"/>
    <s v="REGULAR ORDER"/>
    <s v="GOOD"/>
  </r>
  <r>
    <x v="741"/>
    <x v="16"/>
    <x v="0"/>
    <x v="741"/>
    <x v="0"/>
    <n v="9883.2800000000007"/>
    <x v="741"/>
    <x v="60"/>
    <x v="1"/>
    <x v="30"/>
    <s v="BULK ORDER"/>
    <s v="GOOD"/>
  </r>
  <r>
    <x v="742"/>
    <x v="18"/>
    <x v="3"/>
    <x v="742"/>
    <x v="0"/>
    <n v="93151.72"/>
    <x v="742"/>
    <x v="84"/>
    <x v="5"/>
    <x v="30"/>
    <s v="BULK ORDER"/>
    <s v="GOOD"/>
  </r>
  <r>
    <x v="743"/>
    <x v="9"/>
    <x v="2"/>
    <x v="743"/>
    <x v="3"/>
    <n v="35304.99"/>
    <x v="743"/>
    <x v="288"/>
    <x v="0"/>
    <x v="30"/>
    <s v="REGULAR ORDER"/>
    <s v="GOOD"/>
  </r>
  <r>
    <x v="744"/>
    <x v="9"/>
    <x v="2"/>
    <x v="744"/>
    <x v="0"/>
    <n v="2835.12"/>
    <x v="744"/>
    <x v="103"/>
    <x v="0"/>
    <x v="30"/>
    <s v="BULK ORDER"/>
    <s v="GOOD"/>
  </r>
  <r>
    <x v="745"/>
    <x v="0"/>
    <x v="0"/>
    <x v="745"/>
    <x v="4"/>
    <n v="84757.85"/>
    <x v="745"/>
    <x v="112"/>
    <x v="4"/>
    <x v="30"/>
    <s v="BULK ORDER"/>
    <s v="GOOD"/>
  </r>
  <r>
    <x v="746"/>
    <x v="4"/>
    <x v="3"/>
    <x v="746"/>
    <x v="3"/>
    <n v="38681.26"/>
    <x v="746"/>
    <x v="121"/>
    <x v="0"/>
    <x v="30"/>
    <s v="REGULAR ORDER"/>
    <s v="GOOD"/>
  </r>
  <r>
    <x v="747"/>
    <x v="8"/>
    <x v="0"/>
    <x v="747"/>
    <x v="3"/>
    <n v="7283.96"/>
    <x v="747"/>
    <x v="22"/>
    <x v="0"/>
    <x v="30"/>
    <s v="REGULAR ORDER"/>
    <s v="GOOD"/>
  </r>
  <r>
    <x v="748"/>
    <x v="19"/>
    <x v="2"/>
    <x v="748"/>
    <x v="3"/>
    <n v="26058.55"/>
    <x v="748"/>
    <x v="202"/>
    <x v="1"/>
    <x v="30"/>
    <s v="REGULAR ORDER"/>
    <s v="GOOD"/>
  </r>
  <r>
    <x v="749"/>
    <x v="11"/>
    <x v="2"/>
    <x v="749"/>
    <x v="1"/>
    <n v="137665.62"/>
    <x v="749"/>
    <x v="22"/>
    <x v="3"/>
    <x v="30"/>
    <s v="BULK ORDER"/>
    <s v="GOOD"/>
  </r>
  <r>
    <x v="750"/>
    <x v="9"/>
    <x v="2"/>
    <x v="750"/>
    <x v="4"/>
    <n v="40456.5"/>
    <x v="750"/>
    <x v="84"/>
    <x v="3"/>
    <x v="30"/>
    <s v="BULK ORDER"/>
    <s v="GOOD"/>
  </r>
  <r>
    <x v="751"/>
    <x v="14"/>
    <x v="3"/>
    <x v="751"/>
    <x v="3"/>
    <n v="35524.559999999998"/>
    <x v="751"/>
    <x v="230"/>
    <x v="1"/>
    <x v="30"/>
    <s v="REGULAR ORDER"/>
    <s v="GOOD"/>
  </r>
  <r>
    <x v="752"/>
    <x v="5"/>
    <x v="1"/>
    <x v="752"/>
    <x v="0"/>
    <n v="5741.52"/>
    <x v="752"/>
    <x v="241"/>
    <x v="1"/>
    <x v="30"/>
    <s v="BULK ORDER"/>
    <s v="GOOD"/>
  </r>
  <r>
    <x v="753"/>
    <x v="21"/>
    <x v="4"/>
    <x v="753"/>
    <x v="1"/>
    <n v="56369.430000000008"/>
    <x v="753"/>
    <x v="323"/>
    <x v="5"/>
    <x v="30"/>
    <s v="BULK ORDER"/>
    <s v="GOOD"/>
  </r>
  <r>
    <x v="754"/>
    <x v="11"/>
    <x v="2"/>
    <x v="754"/>
    <x v="2"/>
    <n v="39338.959999999999"/>
    <x v="754"/>
    <x v="226"/>
    <x v="4"/>
    <x v="30"/>
    <s v="REGULAR ORDER"/>
    <s v="GOOD"/>
  </r>
  <r>
    <x v="755"/>
    <x v="6"/>
    <x v="0"/>
    <x v="755"/>
    <x v="1"/>
    <n v="419.54999999999995"/>
    <x v="755"/>
    <x v="96"/>
    <x v="1"/>
    <x v="30"/>
    <s v="BULK ORDER"/>
    <s v="GOOD"/>
  </r>
  <r>
    <x v="756"/>
    <x v="3"/>
    <x v="0"/>
    <x v="756"/>
    <x v="2"/>
    <n v="13371.8"/>
    <x v="756"/>
    <x v="135"/>
    <x v="5"/>
    <x v="30"/>
    <s v="REGULAR ORDER"/>
    <s v="GOOD"/>
  </r>
  <r>
    <x v="757"/>
    <x v="19"/>
    <x v="2"/>
    <x v="757"/>
    <x v="1"/>
    <n v="6776.67"/>
    <x v="757"/>
    <x v="13"/>
    <x v="4"/>
    <x v="30"/>
    <s v="BULK ORDER"/>
    <s v="GOOD"/>
  </r>
  <r>
    <x v="758"/>
    <x v="5"/>
    <x v="1"/>
    <x v="758"/>
    <x v="1"/>
    <n v="22066.5"/>
    <x v="758"/>
    <x v="297"/>
    <x v="2"/>
    <x v="30"/>
    <s v="BULK ORDER"/>
    <s v="GOOD"/>
  </r>
  <r>
    <x v="759"/>
    <x v="14"/>
    <x v="3"/>
    <x v="759"/>
    <x v="1"/>
    <n v="3960.96"/>
    <x v="759"/>
    <x v="204"/>
    <x v="4"/>
    <x v="30"/>
    <s v="BULK ORDER"/>
    <s v="GOOD"/>
  </r>
  <r>
    <x v="760"/>
    <x v="5"/>
    <x v="1"/>
    <x v="760"/>
    <x v="0"/>
    <n v="146332.16"/>
    <x v="760"/>
    <x v="324"/>
    <x v="0"/>
    <x v="30"/>
    <s v="BULK ORDER"/>
    <s v="GOOD"/>
  </r>
  <r>
    <x v="761"/>
    <x v="18"/>
    <x v="3"/>
    <x v="761"/>
    <x v="4"/>
    <n v="183078.65000000002"/>
    <x v="761"/>
    <x v="256"/>
    <x v="2"/>
    <x v="30"/>
    <s v="BULK ORDER"/>
    <s v="GOOD"/>
  </r>
  <r>
    <x v="762"/>
    <x v="9"/>
    <x v="2"/>
    <x v="762"/>
    <x v="2"/>
    <n v="43381.1"/>
    <x v="762"/>
    <x v="62"/>
    <x v="3"/>
    <x v="31"/>
    <s v="REGULAR ORDER"/>
    <s v="GOOD"/>
  </r>
  <r>
    <x v="763"/>
    <x v="21"/>
    <x v="4"/>
    <x v="763"/>
    <x v="0"/>
    <n v="143244.4"/>
    <x v="763"/>
    <x v="28"/>
    <x v="2"/>
    <x v="31"/>
    <s v="BULK ORDER"/>
    <s v="GOOD"/>
  </r>
  <r>
    <x v="764"/>
    <x v="21"/>
    <x v="4"/>
    <x v="764"/>
    <x v="2"/>
    <n v="36618.120000000003"/>
    <x v="764"/>
    <x v="18"/>
    <x v="2"/>
    <x v="31"/>
    <s v="REGULAR ORDER"/>
    <s v="GOOD"/>
  </r>
  <r>
    <x v="765"/>
    <x v="14"/>
    <x v="3"/>
    <x v="765"/>
    <x v="4"/>
    <n v="201166.4"/>
    <x v="765"/>
    <x v="262"/>
    <x v="4"/>
    <x v="31"/>
    <s v="BULK ORDER"/>
    <s v="GOOD"/>
  </r>
  <r>
    <x v="766"/>
    <x v="24"/>
    <x v="4"/>
    <x v="766"/>
    <x v="2"/>
    <n v="20173.52"/>
    <x v="766"/>
    <x v="325"/>
    <x v="4"/>
    <x v="31"/>
    <s v="REGULAR ORDER"/>
    <s v="GOOD"/>
  </r>
  <r>
    <x v="767"/>
    <x v="15"/>
    <x v="4"/>
    <x v="767"/>
    <x v="2"/>
    <n v="53334.3"/>
    <x v="767"/>
    <x v="58"/>
    <x v="3"/>
    <x v="31"/>
    <s v="REGULAR ORDER"/>
    <s v="GOOD"/>
  </r>
  <r>
    <x v="768"/>
    <x v="0"/>
    <x v="0"/>
    <x v="768"/>
    <x v="3"/>
    <n v="6015.13"/>
    <x v="768"/>
    <x v="222"/>
    <x v="3"/>
    <x v="31"/>
    <s v="REGULAR ORDER"/>
    <s v="GOOD"/>
  </r>
  <r>
    <x v="769"/>
    <x v="3"/>
    <x v="0"/>
    <x v="769"/>
    <x v="0"/>
    <n v="28583.24"/>
    <x v="769"/>
    <x v="215"/>
    <x v="4"/>
    <x v="31"/>
    <s v="BULK ORDER"/>
    <s v="GOOD"/>
  </r>
  <r>
    <x v="770"/>
    <x v="3"/>
    <x v="0"/>
    <x v="770"/>
    <x v="2"/>
    <n v="29703.32"/>
    <x v="770"/>
    <x v="204"/>
    <x v="5"/>
    <x v="31"/>
    <s v="REGULAR ORDER"/>
    <s v="GOOD"/>
  </r>
  <r>
    <x v="771"/>
    <x v="20"/>
    <x v="1"/>
    <x v="771"/>
    <x v="2"/>
    <n v="80063.72"/>
    <x v="771"/>
    <x v="164"/>
    <x v="0"/>
    <x v="31"/>
    <s v="REGULAR ORDER"/>
    <s v="GOOD"/>
  </r>
  <r>
    <x v="772"/>
    <x v="6"/>
    <x v="0"/>
    <x v="772"/>
    <x v="3"/>
    <n v="4869.5600000000004"/>
    <x v="772"/>
    <x v="156"/>
    <x v="1"/>
    <x v="31"/>
    <s v="REGULAR ORDER"/>
    <s v="GOOD"/>
  </r>
  <r>
    <x v="773"/>
    <x v="18"/>
    <x v="3"/>
    <x v="773"/>
    <x v="1"/>
    <n v="116069.09999999999"/>
    <x v="773"/>
    <x v="276"/>
    <x v="5"/>
    <x v="31"/>
    <s v="BULK ORDER"/>
    <s v="GOOD"/>
  </r>
  <r>
    <x v="774"/>
    <x v="23"/>
    <x v="4"/>
    <x v="774"/>
    <x v="4"/>
    <n v="62360.85"/>
    <x v="774"/>
    <x v="277"/>
    <x v="1"/>
    <x v="31"/>
    <s v="BULK ORDER"/>
    <s v="GOOD"/>
  </r>
  <r>
    <x v="775"/>
    <x v="8"/>
    <x v="0"/>
    <x v="775"/>
    <x v="4"/>
    <n v="162110.20000000001"/>
    <x v="775"/>
    <x v="282"/>
    <x v="2"/>
    <x v="31"/>
    <s v="BULK ORDER"/>
    <s v="GOOD"/>
  </r>
  <r>
    <x v="776"/>
    <x v="23"/>
    <x v="4"/>
    <x v="776"/>
    <x v="1"/>
    <n v="9380.7000000000007"/>
    <x v="776"/>
    <x v="155"/>
    <x v="0"/>
    <x v="31"/>
    <s v="BULK ORDER"/>
    <s v="GOOD"/>
  </r>
  <r>
    <x v="777"/>
    <x v="22"/>
    <x v="3"/>
    <x v="777"/>
    <x v="4"/>
    <n v="36448.6"/>
    <x v="777"/>
    <x v="247"/>
    <x v="4"/>
    <x v="31"/>
    <s v="BULK ORDER"/>
    <s v="GOOD"/>
  </r>
  <r>
    <x v="778"/>
    <x v="13"/>
    <x v="1"/>
    <x v="778"/>
    <x v="3"/>
    <n v="43149.24"/>
    <x v="778"/>
    <x v="286"/>
    <x v="1"/>
    <x v="31"/>
    <s v="REGULAR ORDER"/>
    <s v="GOOD"/>
  </r>
  <r>
    <x v="779"/>
    <x v="17"/>
    <x v="4"/>
    <x v="779"/>
    <x v="1"/>
    <n v="63192.03"/>
    <x v="779"/>
    <x v="100"/>
    <x v="2"/>
    <x v="31"/>
    <s v="BULK ORDER"/>
    <s v="GOOD"/>
  </r>
  <r>
    <x v="780"/>
    <x v="23"/>
    <x v="4"/>
    <x v="780"/>
    <x v="0"/>
    <n v="194480.52"/>
    <x v="780"/>
    <x v="199"/>
    <x v="5"/>
    <x v="31"/>
    <s v="BULK ORDER"/>
    <s v="GOOD"/>
  </r>
  <r>
    <x v="781"/>
    <x v="3"/>
    <x v="0"/>
    <x v="781"/>
    <x v="0"/>
    <n v="51721.84"/>
    <x v="781"/>
    <x v="303"/>
    <x v="2"/>
    <x v="31"/>
    <s v="BULK ORDER"/>
    <s v="GOOD"/>
  </r>
  <r>
    <x v="782"/>
    <x v="5"/>
    <x v="1"/>
    <x v="782"/>
    <x v="4"/>
    <n v="98469.65"/>
    <x v="782"/>
    <x v="16"/>
    <x v="4"/>
    <x v="31"/>
    <s v="BULK ORDER"/>
    <s v="GOOD"/>
  </r>
  <r>
    <x v="783"/>
    <x v="18"/>
    <x v="3"/>
    <x v="783"/>
    <x v="2"/>
    <n v="25889.78"/>
    <x v="783"/>
    <x v="256"/>
    <x v="0"/>
    <x v="31"/>
    <s v="REGULAR ORDER"/>
    <s v="GOOD"/>
  </r>
  <r>
    <x v="784"/>
    <x v="18"/>
    <x v="3"/>
    <x v="784"/>
    <x v="1"/>
    <n v="62264.759999999995"/>
    <x v="784"/>
    <x v="133"/>
    <x v="5"/>
    <x v="31"/>
    <s v="BULK ORDER"/>
    <s v="GOOD"/>
  </r>
  <r>
    <x v="785"/>
    <x v="12"/>
    <x v="1"/>
    <x v="785"/>
    <x v="2"/>
    <n v="73861.52"/>
    <x v="785"/>
    <x v="30"/>
    <x v="5"/>
    <x v="31"/>
    <s v="REGULAR ORDER"/>
    <s v="GOOD"/>
  </r>
  <r>
    <x v="786"/>
    <x v="6"/>
    <x v="0"/>
    <x v="786"/>
    <x v="1"/>
    <n v="63336.39"/>
    <x v="786"/>
    <x v="326"/>
    <x v="1"/>
    <x v="31"/>
    <s v="BULK ORDER"/>
    <s v="GOOD"/>
  </r>
  <r>
    <x v="787"/>
    <x v="3"/>
    <x v="0"/>
    <x v="787"/>
    <x v="4"/>
    <n v="65309.55"/>
    <x v="787"/>
    <x v="31"/>
    <x v="5"/>
    <x v="31"/>
    <s v="BULK ORDER"/>
    <s v="GOOD"/>
  </r>
  <r>
    <x v="788"/>
    <x v="11"/>
    <x v="2"/>
    <x v="788"/>
    <x v="1"/>
    <n v="51584.25"/>
    <x v="788"/>
    <x v="30"/>
    <x v="4"/>
    <x v="31"/>
    <s v="BULK ORDER"/>
    <s v="GOOD"/>
  </r>
  <r>
    <x v="789"/>
    <x v="4"/>
    <x v="3"/>
    <x v="789"/>
    <x v="2"/>
    <n v="16468.64"/>
    <x v="789"/>
    <x v="88"/>
    <x v="5"/>
    <x v="31"/>
    <s v="REGULAR ORDER"/>
    <s v="GOOD"/>
  </r>
  <r>
    <x v="790"/>
    <x v="7"/>
    <x v="2"/>
    <x v="790"/>
    <x v="2"/>
    <n v="86326.32"/>
    <x v="790"/>
    <x v="196"/>
    <x v="5"/>
    <x v="31"/>
    <s v="REGULAR ORDER"/>
    <s v="GOOD"/>
  </r>
  <r>
    <x v="791"/>
    <x v="17"/>
    <x v="4"/>
    <x v="791"/>
    <x v="4"/>
    <n v="204528.45"/>
    <x v="791"/>
    <x v="297"/>
    <x v="0"/>
    <x v="31"/>
    <s v="BULK ORDER"/>
    <s v="GOOD"/>
  </r>
  <r>
    <x v="792"/>
    <x v="22"/>
    <x v="3"/>
    <x v="792"/>
    <x v="2"/>
    <n v="18167"/>
    <x v="792"/>
    <x v="146"/>
    <x v="1"/>
    <x v="32"/>
    <s v="REGULAR ORDER"/>
    <s v="GOOD"/>
  </r>
  <r>
    <x v="793"/>
    <x v="18"/>
    <x v="3"/>
    <x v="793"/>
    <x v="4"/>
    <n v="151872"/>
    <x v="793"/>
    <x v="73"/>
    <x v="2"/>
    <x v="32"/>
    <s v="BULK ORDER"/>
    <s v="GOOD"/>
  </r>
  <r>
    <x v="794"/>
    <x v="16"/>
    <x v="0"/>
    <x v="794"/>
    <x v="4"/>
    <n v="187470.65"/>
    <x v="794"/>
    <x v="125"/>
    <x v="0"/>
    <x v="32"/>
    <s v="BULK ORDER"/>
    <s v="GOOD"/>
  </r>
  <r>
    <x v="795"/>
    <x v="6"/>
    <x v="0"/>
    <x v="795"/>
    <x v="0"/>
    <n v="110511.36"/>
    <x v="795"/>
    <x v="188"/>
    <x v="1"/>
    <x v="32"/>
    <s v="BULK ORDER"/>
    <s v="GOOD"/>
  </r>
  <r>
    <x v="796"/>
    <x v="8"/>
    <x v="0"/>
    <x v="796"/>
    <x v="2"/>
    <n v="69242.42"/>
    <x v="796"/>
    <x v="98"/>
    <x v="4"/>
    <x v="32"/>
    <s v="REGULAR ORDER"/>
    <s v="GOOD"/>
  </r>
  <r>
    <x v="797"/>
    <x v="10"/>
    <x v="3"/>
    <x v="797"/>
    <x v="4"/>
    <n v="214909.45"/>
    <x v="797"/>
    <x v="20"/>
    <x v="3"/>
    <x v="32"/>
    <s v="BULK ORDER"/>
    <s v="GOOD"/>
  </r>
  <r>
    <x v="798"/>
    <x v="9"/>
    <x v="2"/>
    <x v="798"/>
    <x v="0"/>
    <n v="150361.76"/>
    <x v="798"/>
    <x v="112"/>
    <x v="4"/>
    <x v="32"/>
    <s v="BULK ORDER"/>
    <s v="GOOD"/>
  </r>
  <r>
    <x v="799"/>
    <x v="16"/>
    <x v="0"/>
    <x v="799"/>
    <x v="2"/>
    <n v="96468.62"/>
    <x v="799"/>
    <x v="327"/>
    <x v="5"/>
    <x v="32"/>
    <s v="REGULAR ORDER"/>
    <s v="GOOD"/>
  </r>
  <r>
    <x v="800"/>
    <x v="12"/>
    <x v="1"/>
    <x v="800"/>
    <x v="1"/>
    <n v="127549.95000000001"/>
    <x v="800"/>
    <x v="216"/>
    <x v="2"/>
    <x v="32"/>
    <s v="BULK ORDER"/>
    <s v="GOOD"/>
  </r>
  <r>
    <x v="801"/>
    <x v="11"/>
    <x v="2"/>
    <x v="801"/>
    <x v="1"/>
    <n v="34583.100000000006"/>
    <x v="801"/>
    <x v="281"/>
    <x v="2"/>
    <x v="32"/>
    <s v="BULK ORDER"/>
    <s v="GOOD"/>
  </r>
  <r>
    <x v="802"/>
    <x v="4"/>
    <x v="3"/>
    <x v="802"/>
    <x v="3"/>
    <n v="39898.86"/>
    <x v="802"/>
    <x v="308"/>
    <x v="4"/>
    <x v="32"/>
    <s v="REGULAR ORDER"/>
    <s v="GOOD"/>
  </r>
  <r>
    <x v="803"/>
    <x v="17"/>
    <x v="4"/>
    <x v="803"/>
    <x v="0"/>
    <n v="150014.28"/>
    <x v="803"/>
    <x v="236"/>
    <x v="0"/>
    <x v="32"/>
    <s v="BULK ORDER"/>
    <s v="GOOD"/>
  </r>
  <r>
    <x v="804"/>
    <x v="17"/>
    <x v="4"/>
    <x v="804"/>
    <x v="4"/>
    <n v="237678.95"/>
    <x v="804"/>
    <x v="183"/>
    <x v="5"/>
    <x v="32"/>
    <s v="BULK ORDER"/>
    <s v="GOOD"/>
  </r>
  <r>
    <x v="805"/>
    <x v="14"/>
    <x v="3"/>
    <x v="805"/>
    <x v="2"/>
    <n v="55794.8"/>
    <x v="805"/>
    <x v="58"/>
    <x v="0"/>
    <x v="32"/>
    <s v="REGULAR ORDER"/>
    <s v="GOOD"/>
  </r>
  <r>
    <x v="806"/>
    <x v="18"/>
    <x v="3"/>
    <x v="806"/>
    <x v="4"/>
    <n v="12680.8"/>
    <x v="806"/>
    <x v="97"/>
    <x v="0"/>
    <x v="32"/>
    <s v="BULK ORDER"/>
    <s v="GOOD"/>
  </r>
  <r>
    <x v="807"/>
    <x v="13"/>
    <x v="1"/>
    <x v="807"/>
    <x v="4"/>
    <n v="180483.69999999998"/>
    <x v="807"/>
    <x v="115"/>
    <x v="2"/>
    <x v="32"/>
    <s v="BULK ORDER"/>
    <s v="GOOD"/>
  </r>
  <r>
    <x v="808"/>
    <x v="15"/>
    <x v="4"/>
    <x v="808"/>
    <x v="0"/>
    <n v="77102.64"/>
    <x v="808"/>
    <x v="328"/>
    <x v="2"/>
    <x v="32"/>
    <s v="BULK ORDER"/>
    <s v="GOOD"/>
  </r>
  <r>
    <x v="809"/>
    <x v="0"/>
    <x v="0"/>
    <x v="809"/>
    <x v="0"/>
    <n v="71662.399999999994"/>
    <x v="809"/>
    <x v="329"/>
    <x v="1"/>
    <x v="32"/>
    <s v="BULK ORDER"/>
    <s v="GOOD"/>
  </r>
  <r>
    <x v="810"/>
    <x v="24"/>
    <x v="4"/>
    <x v="810"/>
    <x v="4"/>
    <n v="100104.15000000001"/>
    <x v="810"/>
    <x v="38"/>
    <x v="3"/>
    <x v="32"/>
    <s v="BULK ORDER"/>
    <s v="GOOD"/>
  </r>
  <r>
    <x v="811"/>
    <x v="24"/>
    <x v="4"/>
    <x v="811"/>
    <x v="2"/>
    <n v="68275.58"/>
    <x v="811"/>
    <x v="272"/>
    <x v="2"/>
    <x v="32"/>
    <s v="REGULAR ORDER"/>
    <s v="GOOD"/>
  </r>
  <r>
    <x v="812"/>
    <x v="0"/>
    <x v="0"/>
    <x v="812"/>
    <x v="3"/>
    <n v="41285.25"/>
    <x v="812"/>
    <x v="330"/>
    <x v="0"/>
    <x v="32"/>
    <s v="REGULAR ORDER"/>
    <s v="GOOD"/>
  </r>
  <r>
    <x v="813"/>
    <x v="21"/>
    <x v="4"/>
    <x v="813"/>
    <x v="1"/>
    <n v="4250.5199999999995"/>
    <x v="813"/>
    <x v="218"/>
    <x v="2"/>
    <x v="32"/>
    <s v="BULK ORDER"/>
    <s v="GOOD"/>
  </r>
  <r>
    <x v="814"/>
    <x v="6"/>
    <x v="0"/>
    <x v="814"/>
    <x v="1"/>
    <n v="25395.840000000004"/>
    <x v="814"/>
    <x v="235"/>
    <x v="3"/>
    <x v="32"/>
    <s v="BULK ORDER"/>
    <s v="GOOD"/>
  </r>
  <r>
    <x v="815"/>
    <x v="17"/>
    <x v="4"/>
    <x v="815"/>
    <x v="1"/>
    <n v="85604.97"/>
    <x v="815"/>
    <x v="39"/>
    <x v="2"/>
    <x v="32"/>
    <s v="BULK ORDER"/>
    <s v="GOOD"/>
  </r>
  <r>
    <x v="816"/>
    <x v="12"/>
    <x v="1"/>
    <x v="816"/>
    <x v="2"/>
    <n v="41532.94"/>
    <x v="816"/>
    <x v="277"/>
    <x v="0"/>
    <x v="32"/>
    <s v="REGULAR ORDER"/>
    <s v="GOOD"/>
  </r>
  <r>
    <x v="817"/>
    <x v="13"/>
    <x v="1"/>
    <x v="817"/>
    <x v="2"/>
    <n v="21637.82"/>
    <x v="817"/>
    <x v="320"/>
    <x v="4"/>
    <x v="32"/>
    <s v="REGULAR ORDER"/>
    <s v="GOOD"/>
  </r>
  <r>
    <x v="818"/>
    <x v="20"/>
    <x v="1"/>
    <x v="818"/>
    <x v="2"/>
    <n v="20950.060000000001"/>
    <x v="818"/>
    <x v="274"/>
    <x v="4"/>
    <x v="33"/>
    <s v="REGULAR ORDER"/>
    <s v="GOOD"/>
  </r>
  <r>
    <x v="819"/>
    <x v="17"/>
    <x v="4"/>
    <x v="819"/>
    <x v="4"/>
    <n v="90375.95"/>
    <x v="819"/>
    <x v="283"/>
    <x v="5"/>
    <x v="33"/>
    <s v="BULK ORDER"/>
    <s v="GOOD"/>
  </r>
  <r>
    <x v="820"/>
    <x v="11"/>
    <x v="2"/>
    <x v="820"/>
    <x v="0"/>
    <n v="123613.96"/>
    <x v="820"/>
    <x v="278"/>
    <x v="2"/>
    <x v="33"/>
    <s v="BULK ORDER"/>
    <s v="GOOD"/>
  </r>
  <r>
    <x v="821"/>
    <x v="19"/>
    <x v="2"/>
    <x v="821"/>
    <x v="1"/>
    <n v="94001.85"/>
    <x v="821"/>
    <x v="102"/>
    <x v="5"/>
    <x v="33"/>
    <s v="BULK ORDER"/>
    <s v="GOOD"/>
  </r>
  <r>
    <x v="822"/>
    <x v="16"/>
    <x v="0"/>
    <x v="822"/>
    <x v="0"/>
    <n v="171142.04"/>
    <x v="822"/>
    <x v="53"/>
    <x v="0"/>
    <x v="33"/>
    <s v="BULK ORDER"/>
    <s v="GOOD"/>
  </r>
  <r>
    <x v="823"/>
    <x v="18"/>
    <x v="3"/>
    <x v="823"/>
    <x v="1"/>
    <n v="144531.48000000001"/>
    <x v="823"/>
    <x v="158"/>
    <x v="2"/>
    <x v="33"/>
    <s v="BULK ORDER"/>
    <s v="GOOD"/>
  </r>
  <r>
    <x v="824"/>
    <x v="12"/>
    <x v="1"/>
    <x v="824"/>
    <x v="3"/>
    <n v="48710.25"/>
    <x v="824"/>
    <x v="66"/>
    <x v="3"/>
    <x v="33"/>
    <s v="REGULAR ORDER"/>
    <s v="GOOD"/>
  </r>
  <r>
    <x v="825"/>
    <x v="9"/>
    <x v="2"/>
    <x v="825"/>
    <x v="3"/>
    <n v="21233.35"/>
    <x v="825"/>
    <x v="95"/>
    <x v="0"/>
    <x v="33"/>
    <s v="REGULAR ORDER"/>
    <s v="GOOD"/>
  </r>
  <r>
    <x v="826"/>
    <x v="0"/>
    <x v="0"/>
    <x v="826"/>
    <x v="0"/>
    <n v="187963.48"/>
    <x v="826"/>
    <x v="259"/>
    <x v="0"/>
    <x v="33"/>
    <s v="BULK ORDER"/>
    <s v="GOOD"/>
  </r>
  <r>
    <x v="827"/>
    <x v="7"/>
    <x v="2"/>
    <x v="827"/>
    <x v="1"/>
    <n v="91405.41"/>
    <x v="827"/>
    <x v="87"/>
    <x v="3"/>
    <x v="33"/>
    <s v="BULK ORDER"/>
    <s v="GOOD"/>
  </r>
  <r>
    <x v="828"/>
    <x v="12"/>
    <x v="1"/>
    <x v="828"/>
    <x v="2"/>
    <n v="26745.48"/>
    <x v="828"/>
    <x v="246"/>
    <x v="4"/>
    <x v="33"/>
    <s v="REGULAR ORDER"/>
    <s v="GOOD"/>
  </r>
  <r>
    <x v="829"/>
    <x v="16"/>
    <x v="0"/>
    <x v="829"/>
    <x v="4"/>
    <n v="97747.199999999997"/>
    <x v="829"/>
    <x v="225"/>
    <x v="4"/>
    <x v="33"/>
    <s v="BULK ORDER"/>
    <s v="GOOD"/>
  </r>
  <r>
    <x v="830"/>
    <x v="18"/>
    <x v="3"/>
    <x v="830"/>
    <x v="1"/>
    <n v="112066.76999999999"/>
    <x v="830"/>
    <x v="327"/>
    <x v="4"/>
    <x v="33"/>
    <s v="BULK ORDER"/>
    <s v="GOOD"/>
  </r>
  <r>
    <x v="831"/>
    <x v="22"/>
    <x v="3"/>
    <x v="831"/>
    <x v="1"/>
    <n v="51639.899999999994"/>
    <x v="831"/>
    <x v="101"/>
    <x v="2"/>
    <x v="33"/>
    <s v="BULK ORDER"/>
    <s v="GOOD"/>
  </r>
  <r>
    <x v="832"/>
    <x v="6"/>
    <x v="0"/>
    <x v="832"/>
    <x v="3"/>
    <n v="31727.37"/>
    <x v="832"/>
    <x v="296"/>
    <x v="5"/>
    <x v="33"/>
    <s v="REGULAR ORDER"/>
    <s v="GOOD"/>
  </r>
  <r>
    <x v="833"/>
    <x v="12"/>
    <x v="1"/>
    <x v="833"/>
    <x v="3"/>
    <n v="30100.73"/>
    <x v="833"/>
    <x v="148"/>
    <x v="1"/>
    <x v="33"/>
    <s v="REGULAR ORDER"/>
    <s v="GOOD"/>
  </r>
  <r>
    <x v="834"/>
    <x v="1"/>
    <x v="1"/>
    <x v="834"/>
    <x v="4"/>
    <n v="93289.950000000012"/>
    <x v="834"/>
    <x v="20"/>
    <x v="2"/>
    <x v="33"/>
    <s v="BULK ORDER"/>
    <s v="GOOD"/>
  </r>
  <r>
    <x v="835"/>
    <x v="2"/>
    <x v="2"/>
    <x v="835"/>
    <x v="3"/>
    <n v="6839.1"/>
    <x v="835"/>
    <x v="13"/>
    <x v="3"/>
    <x v="34"/>
    <s v="REGULAR ORDER"/>
    <s v="GOOD"/>
  </r>
  <r>
    <x v="836"/>
    <x v="20"/>
    <x v="1"/>
    <x v="836"/>
    <x v="4"/>
    <n v="90989.45"/>
    <x v="836"/>
    <x v="188"/>
    <x v="5"/>
    <x v="34"/>
    <s v="BULK ORDER"/>
    <s v="GOOD"/>
  </r>
  <r>
    <x v="837"/>
    <x v="9"/>
    <x v="2"/>
    <x v="837"/>
    <x v="0"/>
    <n v="193032.76"/>
    <x v="837"/>
    <x v="252"/>
    <x v="1"/>
    <x v="34"/>
    <s v="BULK ORDER"/>
    <s v="GOOD"/>
  </r>
  <r>
    <x v="838"/>
    <x v="17"/>
    <x v="4"/>
    <x v="838"/>
    <x v="4"/>
    <n v="58927"/>
    <x v="838"/>
    <x v="7"/>
    <x v="4"/>
    <x v="34"/>
    <s v="BULK ORDER"/>
    <s v="GOOD"/>
  </r>
  <r>
    <x v="839"/>
    <x v="5"/>
    <x v="1"/>
    <x v="839"/>
    <x v="0"/>
    <n v="61429.440000000002"/>
    <x v="839"/>
    <x v="288"/>
    <x v="5"/>
    <x v="34"/>
    <s v="BULK ORDER"/>
    <s v="GOOD"/>
  </r>
  <r>
    <x v="840"/>
    <x v="14"/>
    <x v="3"/>
    <x v="840"/>
    <x v="2"/>
    <n v="36608.36"/>
    <x v="840"/>
    <x v="331"/>
    <x v="5"/>
    <x v="34"/>
    <s v="REGULAR ORDER"/>
    <s v="GOOD"/>
  </r>
  <r>
    <x v="841"/>
    <x v="7"/>
    <x v="2"/>
    <x v="841"/>
    <x v="1"/>
    <n v="49156.11"/>
    <x v="841"/>
    <x v="302"/>
    <x v="4"/>
    <x v="34"/>
    <s v="BULK ORDER"/>
    <s v="GOOD"/>
  </r>
  <r>
    <x v="842"/>
    <x v="23"/>
    <x v="4"/>
    <x v="842"/>
    <x v="0"/>
    <n v="137478.28"/>
    <x v="842"/>
    <x v="205"/>
    <x v="2"/>
    <x v="34"/>
    <s v="BULK ORDER"/>
    <s v="GOOD"/>
  </r>
  <r>
    <x v="843"/>
    <x v="5"/>
    <x v="1"/>
    <x v="843"/>
    <x v="1"/>
    <n v="20577"/>
    <x v="843"/>
    <x v="179"/>
    <x v="2"/>
    <x v="34"/>
    <s v="BULK ORDER"/>
    <s v="GOOD"/>
  </r>
  <r>
    <x v="844"/>
    <x v="16"/>
    <x v="0"/>
    <x v="844"/>
    <x v="1"/>
    <n v="48030.720000000001"/>
    <x v="844"/>
    <x v="55"/>
    <x v="2"/>
    <x v="34"/>
    <s v="BULK ORDER"/>
    <s v="GOOD"/>
  </r>
  <r>
    <x v="845"/>
    <x v="19"/>
    <x v="2"/>
    <x v="845"/>
    <x v="3"/>
    <n v="13862.56"/>
    <x v="845"/>
    <x v="293"/>
    <x v="4"/>
    <x v="34"/>
    <s v="REGULAR ORDER"/>
    <s v="GOOD"/>
  </r>
  <r>
    <x v="846"/>
    <x v="23"/>
    <x v="4"/>
    <x v="846"/>
    <x v="4"/>
    <n v="54091.4"/>
    <x v="846"/>
    <x v="157"/>
    <x v="1"/>
    <x v="34"/>
    <s v="BULK ORDER"/>
    <s v="GOOD"/>
  </r>
  <r>
    <x v="847"/>
    <x v="3"/>
    <x v="0"/>
    <x v="847"/>
    <x v="1"/>
    <n v="67426.62"/>
    <x v="847"/>
    <x v="25"/>
    <x v="1"/>
    <x v="34"/>
    <s v="BULK ORDER"/>
    <s v="GOOD"/>
  </r>
  <r>
    <x v="848"/>
    <x v="9"/>
    <x v="2"/>
    <x v="848"/>
    <x v="1"/>
    <n v="73613.37"/>
    <x v="848"/>
    <x v="248"/>
    <x v="3"/>
    <x v="34"/>
    <s v="BULK ORDER"/>
    <s v="GOOD"/>
  </r>
  <r>
    <x v="849"/>
    <x v="6"/>
    <x v="0"/>
    <x v="849"/>
    <x v="2"/>
    <n v="28206.68"/>
    <x v="849"/>
    <x v="252"/>
    <x v="0"/>
    <x v="34"/>
    <s v="REGULAR ORDER"/>
    <s v="GOOD"/>
  </r>
  <r>
    <x v="850"/>
    <x v="7"/>
    <x v="2"/>
    <x v="850"/>
    <x v="2"/>
    <n v="29730.94"/>
    <x v="850"/>
    <x v="306"/>
    <x v="1"/>
    <x v="34"/>
    <s v="REGULAR ORDER"/>
    <s v="GOOD"/>
  </r>
  <r>
    <x v="851"/>
    <x v="9"/>
    <x v="2"/>
    <x v="851"/>
    <x v="0"/>
    <n v="30597.64"/>
    <x v="851"/>
    <x v="245"/>
    <x v="1"/>
    <x v="34"/>
    <s v="BULK ORDER"/>
    <s v="GOOD"/>
  </r>
  <r>
    <x v="852"/>
    <x v="9"/>
    <x v="2"/>
    <x v="852"/>
    <x v="0"/>
    <n v="183640.92"/>
    <x v="852"/>
    <x v="57"/>
    <x v="2"/>
    <x v="34"/>
    <s v="BULK ORDER"/>
    <s v="GOOD"/>
  </r>
  <r>
    <x v="853"/>
    <x v="10"/>
    <x v="3"/>
    <x v="853"/>
    <x v="0"/>
    <n v="53485"/>
    <x v="853"/>
    <x v="146"/>
    <x v="3"/>
    <x v="34"/>
    <s v="BULK ORDER"/>
    <s v="GOOD"/>
  </r>
  <r>
    <x v="854"/>
    <x v="4"/>
    <x v="3"/>
    <x v="854"/>
    <x v="1"/>
    <n v="57352.08"/>
    <x v="854"/>
    <x v="313"/>
    <x v="0"/>
    <x v="34"/>
    <s v="BULK ORDER"/>
    <s v="GOOD"/>
  </r>
  <r>
    <x v="855"/>
    <x v="16"/>
    <x v="0"/>
    <x v="855"/>
    <x v="1"/>
    <n v="15714.99"/>
    <x v="855"/>
    <x v="31"/>
    <x v="4"/>
    <x v="34"/>
    <s v="BULK ORDER"/>
    <s v="GOOD"/>
  </r>
  <r>
    <x v="856"/>
    <x v="16"/>
    <x v="0"/>
    <x v="856"/>
    <x v="0"/>
    <n v="150114.12"/>
    <x v="856"/>
    <x v="143"/>
    <x v="1"/>
    <x v="34"/>
    <s v="BULK ORDER"/>
    <s v="GOOD"/>
  </r>
  <r>
    <x v="857"/>
    <x v="14"/>
    <x v="3"/>
    <x v="857"/>
    <x v="1"/>
    <n v="129894.24"/>
    <x v="857"/>
    <x v="27"/>
    <x v="1"/>
    <x v="34"/>
    <s v="BULK ORDER"/>
    <s v="GOOD"/>
  </r>
  <r>
    <x v="858"/>
    <x v="3"/>
    <x v="0"/>
    <x v="858"/>
    <x v="4"/>
    <n v="153252.29999999999"/>
    <x v="858"/>
    <x v="13"/>
    <x v="2"/>
    <x v="34"/>
    <s v="BULK ORDER"/>
    <s v="GOOD"/>
  </r>
  <r>
    <x v="859"/>
    <x v="15"/>
    <x v="4"/>
    <x v="859"/>
    <x v="3"/>
    <n v="959.63"/>
    <x v="859"/>
    <x v="55"/>
    <x v="4"/>
    <x v="34"/>
    <s v="REGULAR ORDER"/>
    <s v="GOOD"/>
  </r>
  <r>
    <x v="860"/>
    <x v="12"/>
    <x v="1"/>
    <x v="860"/>
    <x v="0"/>
    <n v="66792.479999999996"/>
    <x v="860"/>
    <x v="325"/>
    <x v="3"/>
    <x v="34"/>
    <s v="BULK ORDER"/>
    <s v="GOOD"/>
  </r>
  <r>
    <x v="861"/>
    <x v="22"/>
    <x v="3"/>
    <x v="861"/>
    <x v="0"/>
    <n v="122374.68"/>
    <x v="861"/>
    <x v="97"/>
    <x v="0"/>
    <x v="35"/>
    <s v="BULK ORDER"/>
    <s v="GOOD"/>
  </r>
  <r>
    <x v="862"/>
    <x v="13"/>
    <x v="1"/>
    <x v="862"/>
    <x v="3"/>
    <n v="48175.48"/>
    <x v="862"/>
    <x v="187"/>
    <x v="0"/>
    <x v="35"/>
    <s v="REGULAR ORDER"/>
    <s v="GOOD"/>
  </r>
  <r>
    <x v="863"/>
    <x v="19"/>
    <x v="2"/>
    <x v="863"/>
    <x v="0"/>
    <n v="42262.28"/>
    <x v="863"/>
    <x v="79"/>
    <x v="2"/>
    <x v="35"/>
    <s v="BULK ORDER"/>
    <s v="GOOD"/>
  </r>
  <r>
    <x v="864"/>
    <x v="8"/>
    <x v="0"/>
    <x v="864"/>
    <x v="3"/>
    <n v="23369.23"/>
    <x v="864"/>
    <x v="69"/>
    <x v="3"/>
    <x v="35"/>
    <s v="REGULAR ORDER"/>
    <s v="GOOD"/>
  </r>
  <r>
    <x v="865"/>
    <x v="23"/>
    <x v="4"/>
    <x v="865"/>
    <x v="3"/>
    <n v="23638.720000000001"/>
    <x v="865"/>
    <x v="172"/>
    <x v="3"/>
    <x v="35"/>
    <s v="REGULAR ORDER"/>
    <s v="GOOD"/>
  </r>
  <r>
    <x v="866"/>
    <x v="2"/>
    <x v="2"/>
    <x v="866"/>
    <x v="2"/>
    <n v="4550.18"/>
    <x v="866"/>
    <x v="87"/>
    <x v="5"/>
    <x v="35"/>
    <s v="REGULAR ORDER"/>
    <s v="GOOD"/>
  </r>
  <r>
    <x v="867"/>
    <x v="21"/>
    <x v="4"/>
    <x v="867"/>
    <x v="4"/>
    <n v="34717"/>
    <x v="867"/>
    <x v="144"/>
    <x v="5"/>
    <x v="35"/>
    <s v="BULK ORDER"/>
    <s v="GOOD"/>
  </r>
  <r>
    <x v="868"/>
    <x v="11"/>
    <x v="2"/>
    <x v="868"/>
    <x v="1"/>
    <n v="142153.53"/>
    <x v="868"/>
    <x v="247"/>
    <x v="2"/>
    <x v="35"/>
    <s v="BULK ORDER"/>
    <s v="GOOD"/>
  </r>
  <r>
    <x v="869"/>
    <x v="15"/>
    <x v="4"/>
    <x v="869"/>
    <x v="1"/>
    <n v="33134.67"/>
    <x v="869"/>
    <x v="332"/>
    <x v="4"/>
    <x v="35"/>
    <s v="BULK ORDER"/>
    <s v="GOOD"/>
  </r>
  <r>
    <x v="870"/>
    <x v="20"/>
    <x v="1"/>
    <x v="870"/>
    <x v="4"/>
    <n v="30596.550000000003"/>
    <x v="870"/>
    <x v="227"/>
    <x v="2"/>
    <x v="35"/>
    <s v="BULK ORDER"/>
    <s v="GOOD"/>
  </r>
  <r>
    <x v="871"/>
    <x v="13"/>
    <x v="1"/>
    <x v="871"/>
    <x v="2"/>
    <n v="81358.58"/>
    <x v="871"/>
    <x v="105"/>
    <x v="4"/>
    <x v="35"/>
    <s v="REGULAR ORDER"/>
    <s v="GOOD"/>
  </r>
  <r>
    <x v="872"/>
    <x v="18"/>
    <x v="3"/>
    <x v="872"/>
    <x v="1"/>
    <n v="41863.440000000002"/>
    <x v="872"/>
    <x v="134"/>
    <x v="1"/>
    <x v="35"/>
    <s v="BULK ORDER"/>
    <s v="GOOD"/>
  </r>
  <r>
    <x v="873"/>
    <x v="24"/>
    <x v="4"/>
    <x v="873"/>
    <x v="0"/>
    <n v="31745.279999999999"/>
    <x v="873"/>
    <x v="318"/>
    <x v="3"/>
    <x v="35"/>
    <s v="BULK ORDER"/>
    <s v="GOOD"/>
  </r>
  <r>
    <x v="874"/>
    <x v="22"/>
    <x v="3"/>
    <x v="874"/>
    <x v="4"/>
    <n v="37664.299999999996"/>
    <x v="874"/>
    <x v="85"/>
    <x v="1"/>
    <x v="35"/>
    <s v="BULK ORDER"/>
    <s v="GOOD"/>
  </r>
  <r>
    <x v="875"/>
    <x v="10"/>
    <x v="3"/>
    <x v="875"/>
    <x v="1"/>
    <n v="50789.22"/>
    <x v="875"/>
    <x v="333"/>
    <x v="4"/>
    <x v="35"/>
    <s v="BULK ORDER"/>
    <s v="GOOD"/>
  </r>
  <r>
    <x v="876"/>
    <x v="15"/>
    <x v="4"/>
    <x v="876"/>
    <x v="4"/>
    <n v="39973.800000000003"/>
    <x v="876"/>
    <x v="272"/>
    <x v="5"/>
    <x v="35"/>
    <s v="BULK ORDER"/>
    <s v="GOOD"/>
  </r>
  <r>
    <x v="877"/>
    <x v="7"/>
    <x v="2"/>
    <x v="877"/>
    <x v="3"/>
    <n v="36760.35"/>
    <x v="877"/>
    <x v="89"/>
    <x v="3"/>
    <x v="35"/>
    <s v="REGULAR ORDER"/>
    <s v="GOOD"/>
  </r>
  <r>
    <x v="878"/>
    <x v="24"/>
    <x v="4"/>
    <x v="878"/>
    <x v="3"/>
    <n v="17983.34"/>
    <x v="878"/>
    <x v="135"/>
    <x v="0"/>
    <x v="35"/>
    <s v="REGULAR ORDER"/>
    <s v="GOOD"/>
  </r>
  <r>
    <x v="879"/>
    <x v="20"/>
    <x v="1"/>
    <x v="879"/>
    <x v="2"/>
    <n v="55164.02"/>
    <x v="879"/>
    <x v="61"/>
    <x v="5"/>
    <x v="35"/>
    <s v="REGULAR ORDER"/>
    <s v="GOOD"/>
  </r>
  <r>
    <x v="880"/>
    <x v="18"/>
    <x v="3"/>
    <x v="880"/>
    <x v="2"/>
    <n v="66055.259999999995"/>
    <x v="880"/>
    <x v="263"/>
    <x v="0"/>
    <x v="35"/>
    <s v="REGULAR ORDER"/>
    <s v="GOOD"/>
  </r>
  <r>
    <x v="881"/>
    <x v="13"/>
    <x v="1"/>
    <x v="881"/>
    <x v="2"/>
    <n v="12843.26"/>
    <x v="881"/>
    <x v="158"/>
    <x v="2"/>
    <x v="35"/>
    <s v="REGULAR ORDER"/>
    <s v="GOOD"/>
  </r>
  <r>
    <x v="882"/>
    <x v="19"/>
    <x v="2"/>
    <x v="882"/>
    <x v="3"/>
    <n v="6115.91"/>
    <x v="882"/>
    <x v="192"/>
    <x v="1"/>
    <x v="35"/>
    <s v="REGULAR ORDER"/>
    <s v="GOOD"/>
  </r>
  <r>
    <x v="883"/>
    <x v="7"/>
    <x v="2"/>
    <x v="883"/>
    <x v="1"/>
    <n v="80100.569999999992"/>
    <x v="883"/>
    <x v="325"/>
    <x v="0"/>
    <x v="35"/>
    <s v="BULK ORDER"/>
    <s v="GOOD"/>
  </r>
  <r>
    <x v="884"/>
    <x v="23"/>
    <x v="4"/>
    <x v="884"/>
    <x v="0"/>
    <n v="38620.120000000003"/>
    <x v="884"/>
    <x v="141"/>
    <x v="3"/>
    <x v="35"/>
    <s v="BULK ORDER"/>
    <s v="GOOD"/>
  </r>
  <r>
    <x v="885"/>
    <x v="24"/>
    <x v="4"/>
    <x v="885"/>
    <x v="4"/>
    <n v="79752.05"/>
    <x v="885"/>
    <x v="109"/>
    <x v="0"/>
    <x v="35"/>
    <s v="BULK ORDER"/>
    <s v="GOOD"/>
  </r>
  <r>
    <x v="886"/>
    <x v="8"/>
    <x v="0"/>
    <x v="886"/>
    <x v="0"/>
    <n v="57364.52"/>
    <x v="886"/>
    <x v="198"/>
    <x v="3"/>
    <x v="35"/>
    <s v="BULK ORDER"/>
    <s v="GOOD"/>
  </r>
  <r>
    <x v="887"/>
    <x v="22"/>
    <x v="3"/>
    <x v="887"/>
    <x v="4"/>
    <n v="95051.900000000009"/>
    <x v="887"/>
    <x v="27"/>
    <x v="4"/>
    <x v="35"/>
    <s v="BULK ORDER"/>
    <s v="GOOD"/>
  </r>
  <r>
    <x v="888"/>
    <x v="0"/>
    <x v="0"/>
    <x v="888"/>
    <x v="1"/>
    <n v="38837.879999999997"/>
    <x v="888"/>
    <x v="271"/>
    <x v="4"/>
    <x v="36"/>
    <s v="BULK ORDER"/>
    <s v="GOOD"/>
  </r>
  <r>
    <x v="889"/>
    <x v="10"/>
    <x v="3"/>
    <x v="889"/>
    <x v="1"/>
    <n v="37518.93"/>
    <x v="889"/>
    <x v="134"/>
    <x v="1"/>
    <x v="36"/>
    <s v="BULK ORDER"/>
    <s v="GOOD"/>
  </r>
  <r>
    <x v="890"/>
    <x v="12"/>
    <x v="1"/>
    <x v="890"/>
    <x v="1"/>
    <n v="133238.63999999998"/>
    <x v="890"/>
    <x v="167"/>
    <x v="0"/>
    <x v="36"/>
    <s v="BULK ORDER"/>
    <s v="GOOD"/>
  </r>
  <r>
    <x v="891"/>
    <x v="21"/>
    <x v="4"/>
    <x v="891"/>
    <x v="1"/>
    <n v="145039.23000000001"/>
    <x v="891"/>
    <x v="297"/>
    <x v="5"/>
    <x v="36"/>
    <s v="BULK ORDER"/>
    <s v="GOOD"/>
  </r>
  <r>
    <x v="892"/>
    <x v="23"/>
    <x v="4"/>
    <x v="892"/>
    <x v="1"/>
    <n v="103379.97"/>
    <x v="892"/>
    <x v="179"/>
    <x v="5"/>
    <x v="36"/>
    <s v="BULK ORDER"/>
    <s v="GOOD"/>
  </r>
  <r>
    <x v="893"/>
    <x v="24"/>
    <x v="4"/>
    <x v="893"/>
    <x v="0"/>
    <n v="176966.72"/>
    <x v="893"/>
    <x v="334"/>
    <x v="0"/>
    <x v="36"/>
    <s v="BULK ORDER"/>
    <s v="GOOD"/>
  </r>
  <r>
    <x v="894"/>
    <x v="14"/>
    <x v="3"/>
    <x v="894"/>
    <x v="1"/>
    <n v="48817.14"/>
    <x v="894"/>
    <x v="54"/>
    <x v="5"/>
    <x v="36"/>
    <s v="BULK ORDER"/>
    <s v="GOOD"/>
  </r>
  <r>
    <x v="895"/>
    <x v="21"/>
    <x v="4"/>
    <x v="895"/>
    <x v="0"/>
    <n v="60274.879999999997"/>
    <x v="895"/>
    <x v="118"/>
    <x v="5"/>
    <x v="36"/>
    <s v="BULK ORDER"/>
    <s v="GOOD"/>
  </r>
  <r>
    <x v="896"/>
    <x v="22"/>
    <x v="3"/>
    <x v="896"/>
    <x v="3"/>
    <n v="18386.259999999998"/>
    <x v="896"/>
    <x v="66"/>
    <x v="3"/>
    <x v="36"/>
    <s v="REGULAR ORDER"/>
    <s v="GOOD"/>
  </r>
  <r>
    <x v="897"/>
    <x v="19"/>
    <x v="2"/>
    <x v="897"/>
    <x v="1"/>
    <n v="102348.69"/>
    <x v="897"/>
    <x v="21"/>
    <x v="4"/>
    <x v="36"/>
    <s v="BULK ORDER"/>
    <s v="GOOD"/>
  </r>
  <r>
    <x v="898"/>
    <x v="4"/>
    <x v="3"/>
    <x v="898"/>
    <x v="0"/>
    <n v="46028.88"/>
    <x v="898"/>
    <x v="328"/>
    <x v="5"/>
    <x v="36"/>
    <s v="BULK ORDER"/>
    <s v="GOOD"/>
  </r>
  <r>
    <x v="899"/>
    <x v="14"/>
    <x v="3"/>
    <x v="899"/>
    <x v="2"/>
    <n v="81725.740000000005"/>
    <x v="899"/>
    <x v="59"/>
    <x v="5"/>
    <x v="36"/>
    <s v="REGULAR ORDER"/>
    <s v="GOOD"/>
  </r>
  <r>
    <x v="900"/>
    <x v="19"/>
    <x v="2"/>
    <x v="900"/>
    <x v="1"/>
    <n v="86456.22"/>
    <x v="900"/>
    <x v="87"/>
    <x v="5"/>
    <x v="36"/>
    <s v="BULK ORDER"/>
    <s v="GOOD"/>
  </r>
  <r>
    <x v="901"/>
    <x v="9"/>
    <x v="2"/>
    <x v="901"/>
    <x v="4"/>
    <n v="34423.699999999997"/>
    <x v="901"/>
    <x v="151"/>
    <x v="2"/>
    <x v="36"/>
    <s v="BULK ORDER"/>
    <s v="GOOD"/>
  </r>
  <r>
    <x v="902"/>
    <x v="16"/>
    <x v="0"/>
    <x v="902"/>
    <x v="0"/>
    <n v="90139.199999999997"/>
    <x v="902"/>
    <x v="180"/>
    <x v="0"/>
    <x v="36"/>
    <s v="BULK ORDER"/>
    <s v="GOOD"/>
  </r>
  <r>
    <x v="903"/>
    <x v="7"/>
    <x v="2"/>
    <x v="903"/>
    <x v="4"/>
    <n v="42991.1"/>
    <x v="903"/>
    <x v="85"/>
    <x v="1"/>
    <x v="36"/>
    <s v="BULK ORDER"/>
    <s v="GOOD"/>
  </r>
  <r>
    <x v="904"/>
    <x v="19"/>
    <x v="2"/>
    <x v="904"/>
    <x v="0"/>
    <n v="125329.68"/>
    <x v="904"/>
    <x v="246"/>
    <x v="3"/>
    <x v="36"/>
    <s v="BULK ORDER"/>
    <s v="GOOD"/>
  </r>
  <r>
    <x v="905"/>
    <x v="17"/>
    <x v="4"/>
    <x v="905"/>
    <x v="1"/>
    <n v="123365.84999999999"/>
    <x v="905"/>
    <x v="135"/>
    <x v="0"/>
    <x v="36"/>
    <s v="BULK ORDER"/>
    <s v="GOOD"/>
  </r>
  <r>
    <x v="906"/>
    <x v="18"/>
    <x v="3"/>
    <x v="906"/>
    <x v="4"/>
    <n v="228932.8"/>
    <x v="906"/>
    <x v="49"/>
    <x v="4"/>
    <x v="36"/>
    <s v="BULK ORDER"/>
    <s v="GOOD"/>
  </r>
  <r>
    <x v="907"/>
    <x v="23"/>
    <x v="4"/>
    <x v="907"/>
    <x v="1"/>
    <n v="82101.06"/>
    <x v="907"/>
    <x v="108"/>
    <x v="4"/>
    <x v="36"/>
    <s v="BULK ORDER"/>
    <s v="GOOD"/>
  </r>
  <r>
    <x v="908"/>
    <x v="22"/>
    <x v="3"/>
    <x v="908"/>
    <x v="3"/>
    <n v="1002.29"/>
    <x v="908"/>
    <x v="204"/>
    <x v="1"/>
    <x v="36"/>
    <s v="REGULAR ORDER"/>
    <s v="GOOD"/>
  </r>
  <r>
    <x v="909"/>
    <x v="24"/>
    <x v="4"/>
    <x v="909"/>
    <x v="4"/>
    <n v="114352.65"/>
    <x v="909"/>
    <x v="24"/>
    <x v="0"/>
    <x v="36"/>
    <s v="BULK ORDER"/>
    <s v="GOOD"/>
  </r>
  <r>
    <x v="910"/>
    <x v="3"/>
    <x v="0"/>
    <x v="910"/>
    <x v="4"/>
    <n v="243903.9"/>
    <x v="910"/>
    <x v="16"/>
    <x v="1"/>
    <x v="37"/>
    <s v="BULK ORDER"/>
    <s v="GOOD"/>
  </r>
  <r>
    <x v="911"/>
    <x v="22"/>
    <x v="3"/>
    <x v="911"/>
    <x v="4"/>
    <n v="59320.649999999994"/>
    <x v="911"/>
    <x v="296"/>
    <x v="5"/>
    <x v="37"/>
    <s v="BULK ORDER"/>
    <s v="GOOD"/>
  </r>
  <r>
    <x v="912"/>
    <x v="10"/>
    <x v="3"/>
    <x v="912"/>
    <x v="0"/>
    <n v="115570.92"/>
    <x v="912"/>
    <x v="296"/>
    <x v="0"/>
    <x v="37"/>
    <s v="BULK ORDER"/>
    <s v="GOOD"/>
  </r>
  <r>
    <x v="913"/>
    <x v="12"/>
    <x v="1"/>
    <x v="913"/>
    <x v="0"/>
    <n v="149621.84"/>
    <x v="913"/>
    <x v="142"/>
    <x v="4"/>
    <x v="37"/>
    <s v="BULK ORDER"/>
    <s v="GOOD"/>
  </r>
  <r>
    <x v="914"/>
    <x v="5"/>
    <x v="1"/>
    <x v="914"/>
    <x v="3"/>
    <n v="44882.2"/>
    <x v="914"/>
    <x v="18"/>
    <x v="0"/>
    <x v="37"/>
    <s v="REGULAR ORDER"/>
    <s v="GOOD"/>
  </r>
  <r>
    <x v="915"/>
    <x v="4"/>
    <x v="3"/>
    <x v="915"/>
    <x v="4"/>
    <n v="29254.050000000003"/>
    <x v="915"/>
    <x v="62"/>
    <x v="0"/>
    <x v="37"/>
    <s v="BULK ORDER"/>
    <s v="GOOD"/>
  </r>
  <r>
    <x v="916"/>
    <x v="9"/>
    <x v="2"/>
    <x v="916"/>
    <x v="1"/>
    <n v="88704.540000000008"/>
    <x v="916"/>
    <x v="134"/>
    <x v="3"/>
    <x v="37"/>
    <s v="BULK ORDER"/>
    <s v="GOOD"/>
  </r>
  <r>
    <x v="917"/>
    <x v="15"/>
    <x v="4"/>
    <x v="917"/>
    <x v="4"/>
    <n v="147331.5"/>
    <x v="917"/>
    <x v="111"/>
    <x v="2"/>
    <x v="37"/>
    <s v="BULK ORDER"/>
    <s v="GOOD"/>
  </r>
  <r>
    <x v="918"/>
    <x v="7"/>
    <x v="2"/>
    <x v="918"/>
    <x v="0"/>
    <n v="100577.92"/>
    <x v="918"/>
    <x v="335"/>
    <x v="2"/>
    <x v="37"/>
    <s v="BULK ORDER"/>
    <s v="GOOD"/>
  </r>
  <r>
    <x v="919"/>
    <x v="10"/>
    <x v="3"/>
    <x v="919"/>
    <x v="1"/>
    <n v="67060.290000000008"/>
    <x v="919"/>
    <x v="74"/>
    <x v="5"/>
    <x v="37"/>
    <s v="BULK ORDER"/>
    <s v="GOOD"/>
  </r>
  <r>
    <x v="920"/>
    <x v="21"/>
    <x v="4"/>
    <x v="920"/>
    <x v="4"/>
    <n v="67785.55"/>
    <x v="920"/>
    <x v="212"/>
    <x v="2"/>
    <x v="37"/>
    <s v="BULK ORDER"/>
    <s v="GOOD"/>
  </r>
  <r>
    <x v="921"/>
    <x v="12"/>
    <x v="1"/>
    <x v="921"/>
    <x v="4"/>
    <n v="78967.149999999994"/>
    <x v="921"/>
    <x v="92"/>
    <x v="2"/>
    <x v="37"/>
    <s v="BULK ORDER"/>
    <s v="GOOD"/>
  </r>
  <r>
    <x v="922"/>
    <x v="12"/>
    <x v="1"/>
    <x v="922"/>
    <x v="2"/>
    <n v="67629.440000000002"/>
    <x v="922"/>
    <x v="248"/>
    <x v="2"/>
    <x v="37"/>
    <s v="REGULAR ORDER"/>
    <s v="GOOD"/>
  </r>
  <r>
    <x v="923"/>
    <x v="4"/>
    <x v="3"/>
    <x v="923"/>
    <x v="0"/>
    <n v="91473.56"/>
    <x v="923"/>
    <x v="308"/>
    <x v="5"/>
    <x v="37"/>
    <s v="BULK ORDER"/>
    <s v="GOOD"/>
  </r>
  <r>
    <x v="924"/>
    <x v="2"/>
    <x v="2"/>
    <x v="924"/>
    <x v="0"/>
    <n v="14789.28"/>
    <x v="924"/>
    <x v="311"/>
    <x v="1"/>
    <x v="37"/>
    <s v="BULK ORDER"/>
    <s v="GOOD"/>
  </r>
  <r>
    <x v="925"/>
    <x v="5"/>
    <x v="1"/>
    <x v="925"/>
    <x v="3"/>
    <n v="38545.29"/>
    <x v="925"/>
    <x v="94"/>
    <x v="4"/>
    <x v="37"/>
    <s v="REGULAR ORDER"/>
    <s v="GOOD"/>
  </r>
  <r>
    <x v="926"/>
    <x v="3"/>
    <x v="0"/>
    <x v="926"/>
    <x v="2"/>
    <n v="16376.36"/>
    <x v="926"/>
    <x v="39"/>
    <x v="4"/>
    <x v="37"/>
    <s v="REGULAR ORDER"/>
    <s v="GOOD"/>
  </r>
  <r>
    <x v="927"/>
    <x v="9"/>
    <x v="2"/>
    <x v="927"/>
    <x v="4"/>
    <n v="33354.1"/>
    <x v="927"/>
    <x v="171"/>
    <x v="0"/>
    <x v="38"/>
    <s v="BULK ORDER"/>
    <s v="GOOD"/>
  </r>
  <r>
    <x v="928"/>
    <x v="13"/>
    <x v="1"/>
    <x v="928"/>
    <x v="3"/>
    <n v="2707.97"/>
    <x v="928"/>
    <x v="216"/>
    <x v="2"/>
    <x v="38"/>
    <s v="REGULAR ORDER"/>
    <s v="GOOD"/>
  </r>
  <r>
    <x v="929"/>
    <x v="5"/>
    <x v="1"/>
    <x v="929"/>
    <x v="3"/>
    <n v="40298.9"/>
    <x v="929"/>
    <x v="173"/>
    <x v="5"/>
    <x v="38"/>
    <s v="REGULAR ORDER"/>
    <s v="GOOD"/>
  </r>
  <r>
    <x v="930"/>
    <x v="2"/>
    <x v="2"/>
    <x v="930"/>
    <x v="1"/>
    <n v="106995.78"/>
    <x v="930"/>
    <x v="188"/>
    <x v="4"/>
    <x v="38"/>
    <s v="BULK ORDER"/>
    <s v="GOOD"/>
  </r>
  <r>
    <x v="931"/>
    <x v="4"/>
    <x v="3"/>
    <x v="931"/>
    <x v="4"/>
    <n v="99577.95"/>
    <x v="931"/>
    <x v="94"/>
    <x v="0"/>
    <x v="38"/>
    <s v="BULK ORDER"/>
    <s v="GOOD"/>
  </r>
  <r>
    <x v="932"/>
    <x v="4"/>
    <x v="3"/>
    <x v="932"/>
    <x v="0"/>
    <n v="73467.88"/>
    <x v="932"/>
    <x v="59"/>
    <x v="0"/>
    <x v="38"/>
    <s v="BULK ORDER"/>
    <s v="GOOD"/>
  </r>
  <r>
    <x v="933"/>
    <x v="15"/>
    <x v="4"/>
    <x v="933"/>
    <x v="1"/>
    <n v="88581.66"/>
    <x v="933"/>
    <x v="188"/>
    <x v="0"/>
    <x v="38"/>
    <s v="BULK ORDER"/>
    <s v="GOOD"/>
  </r>
  <r>
    <x v="934"/>
    <x v="22"/>
    <x v="3"/>
    <x v="934"/>
    <x v="3"/>
    <n v="37181.040000000001"/>
    <x v="934"/>
    <x v="336"/>
    <x v="4"/>
    <x v="38"/>
    <s v="REGULAR ORDER"/>
    <s v="GOOD"/>
  </r>
  <r>
    <x v="935"/>
    <x v="9"/>
    <x v="2"/>
    <x v="935"/>
    <x v="1"/>
    <n v="109607.22"/>
    <x v="935"/>
    <x v="193"/>
    <x v="1"/>
    <x v="38"/>
    <s v="BULK ORDER"/>
    <s v="GOOD"/>
  </r>
  <r>
    <x v="936"/>
    <x v="6"/>
    <x v="0"/>
    <x v="936"/>
    <x v="0"/>
    <n v="143242.51999999999"/>
    <x v="936"/>
    <x v="275"/>
    <x v="1"/>
    <x v="38"/>
    <s v="BULK ORDER"/>
    <s v="GOOD"/>
  </r>
  <r>
    <x v="937"/>
    <x v="9"/>
    <x v="2"/>
    <x v="937"/>
    <x v="4"/>
    <n v="117602.5"/>
    <x v="937"/>
    <x v="337"/>
    <x v="5"/>
    <x v="38"/>
    <s v="BULK ORDER"/>
    <s v="GOOD"/>
  </r>
  <r>
    <x v="938"/>
    <x v="3"/>
    <x v="0"/>
    <x v="938"/>
    <x v="1"/>
    <n v="60684.149999999994"/>
    <x v="938"/>
    <x v="126"/>
    <x v="1"/>
    <x v="38"/>
    <s v="BULK ORDER"/>
    <s v="GOOD"/>
  </r>
  <r>
    <x v="939"/>
    <x v="2"/>
    <x v="2"/>
    <x v="939"/>
    <x v="1"/>
    <n v="88907.4"/>
    <x v="939"/>
    <x v="338"/>
    <x v="3"/>
    <x v="38"/>
    <s v="BULK ORDER"/>
    <s v="GOOD"/>
  </r>
  <r>
    <x v="940"/>
    <x v="9"/>
    <x v="2"/>
    <x v="940"/>
    <x v="1"/>
    <n v="73334.67"/>
    <x v="940"/>
    <x v="339"/>
    <x v="4"/>
    <x v="38"/>
    <s v="BULK ORDER"/>
    <s v="GOOD"/>
  </r>
  <r>
    <x v="941"/>
    <x v="22"/>
    <x v="3"/>
    <x v="941"/>
    <x v="0"/>
    <n v="154287.24"/>
    <x v="941"/>
    <x v="340"/>
    <x v="0"/>
    <x v="38"/>
    <s v="BULK ORDER"/>
    <s v="GOOD"/>
  </r>
  <r>
    <x v="942"/>
    <x v="17"/>
    <x v="4"/>
    <x v="942"/>
    <x v="2"/>
    <n v="80092.38"/>
    <x v="942"/>
    <x v="341"/>
    <x v="1"/>
    <x v="38"/>
    <s v="REGULAR ORDER"/>
    <s v="GOOD"/>
  </r>
  <r>
    <x v="943"/>
    <x v="20"/>
    <x v="1"/>
    <x v="943"/>
    <x v="2"/>
    <n v="29592.639999999999"/>
    <x v="943"/>
    <x v="103"/>
    <x v="4"/>
    <x v="38"/>
    <s v="REGULAR ORDER"/>
    <s v="GOOD"/>
  </r>
  <r>
    <x v="944"/>
    <x v="8"/>
    <x v="0"/>
    <x v="944"/>
    <x v="0"/>
    <n v="149698.35999999999"/>
    <x v="944"/>
    <x v="320"/>
    <x v="2"/>
    <x v="38"/>
    <s v="BULK ORDER"/>
    <s v="GOOD"/>
  </r>
  <r>
    <x v="945"/>
    <x v="10"/>
    <x v="3"/>
    <x v="945"/>
    <x v="0"/>
    <n v="105792.96000000001"/>
    <x v="945"/>
    <x v="91"/>
    <x v="2"/>
    <x v="38"/>
    <s v="BULK ORDER"/>
    <s v="GOOD"/>
  </r>
  <r>
    <x v="946"/>
    <x v="7"/>
    <x v="2"/>
    <x v="946"/>
    <x v="0"/>
    <n v="3165.8"/>
    <x v="946"/>
    <x v="336"/>
    <x v="3"/>
    <x v="38"/>
    <s v="BULK ORDER"/>
    <s v="GOOD"/>
  </r>
  <r>
    <x v="947"/>
    <x v="20"/>
    <x v="1"/>
    <x v="947"/>
    <x v="0"/>
    <n v="53485.72"/>
    <x v="947"/>
    <x v="234"/>
    <x v="2"/>
    <x v="38"/>
    <s v="BULK ORDER"/>
    <s v="GOOD"/>
  </r>
  <r>
    <x v="948"/>
    <x v="7"/>
    <x v="2"/>
    <x v="948"/>
    <x v="4"/>
    <n v="232816.75"/>
    <x v="948"/>
    <x v="186"/>
    <x v="5"/>
    <x v="38"/>
    <s v="BULK ORDER"/>
    <s v="GOOD"/>
  </r>
  <r>
    <x v="949"/>
    <x v="10"/>
    <x v="3"/>
    <x v="949"/>
    <x v="1"/>
    <n v="105835.38"/>
    <x v="949"/>
    <x v="89"/>
    <x v="0"/>
    <x v="38"/>
    <s v="BULK ORDER"/>
    <s v="GOOD"/>
  </r>
  <r>
    <x v="950"/>
    <x v="8"/>
    <x v="0"/>
    <x v="950"/>
    <x v="4"/>
    <n v="177532.05000000002"/>
    <x v="950"/>
    <x v="214"/>
    <x v="4"/>
    <x v="38"/>
    <s v="BULK ORDER"/>
    <s v="GOOD"/>
  </r>
  <r>
    <x v="951"/>
    <x v="14"/>
    <x v="3"/>
    <x v="951"/>
    <x v="0"/>
    <n v="198277.2"/>
    <x v="951"/>
    <x v="18"/>
    <x v="0"/>
    <x v="38"/>
    <s v="BULK ORDER"/>
    <s v="GOOD"/>
  </r>
  <r>
    <x v="952"/>
    <x v="13"/>
    <x v="1"/>
    <x v="952"/>
    <x v="2"/>
    <n v="8331.2800000000007"/>
    <x v="952"/>
    <x v="80"/>
    <x v="0"/>
    <x v="39"/>
    <s v="REGULAR ORDER"/>
    <s v="GOOD"/>
  </r>
  <r>
    <x v="953"/>
    <x v="6"/>
    <x v="0"/>
    <x v="953"/>
    <x v="4"/>
    <n v="75230.05"/>
    <x v="953"/>
    <x v="209"/>
    <x v="0"/>
    <x v="39"/>
    <s v="BULK ORDER"/>
    <s v="GOOD"/>
  </r>
  <r>
    <x v="954"/>
    <x v="8"/>
    <x v="0"/>
    <x v="954"/>
    <x v="0"/>
    <n v="139711.16"/>
    <x v="954"/>
    <x v="87"/>
    <x v="3"/>
    <x v="39"/>
    <s v="BULK ORDER"/>
    <s v="GOOD"/>
  </r>
  <r>
    <x v="955"/>
    <x v="20"/>
    <x v="1"/>
    <x v="955"/>
    <x v="3"/>
    <n v="8598.58"/>
    <x v="955"/>
    <x v="248"/>
    <x v="5"/>
    <x v="39"/>
    <s v="REGULAR ORDER"/>
    <s v="GOOD"/>
  </r>
  <r>
    <x v="956"/>
    <x v="3"/>
    <x v="0"/>
    <x v="956"/>
    <x v="2"/>
    <n v="22212.38"/>
    <x v="956"/>
    <x v="49"/>
    <x v="4"/>
    <x v="39"/>
    <s v="REGULAR ORDER"/>
    <s v="GOOD"/>
  </r>
  <r>
    <x v="957"/>
    <x v="15"/>
    <x v="4"/>
    <x v="957"/>
    <x v="4"/>
    <n v="223195"/>
    <x v="957"/>
    <x v="166"/>
    <x v="3"/>
    <x v="39"/>
    <s v="BULK ORDER"/>
    <s v="GOOD"/>
  </r>
  <r>
    <x v="958"/>
    <x v="6"/>
    <x v="0"/>
    <x v="958"/>
    <x v="1"/>
    <n v="36476.879999999997"/>
    <x v="958"/>
    <x v="336"/>
    <x v="2"/>
    <x v="39"/>
    <s v="BULK ORDER"/>
    <s v="GOOD"/>
  </r>
  <r>
    <x v="959"/>
    <x v="14"/>
    <x v="3"/>
    <x v="959"/>
    <x v="3"/>
    <n v="11103.44"/>
    <x v="959"/>
    <x v="228"/>
    <x v="4"/>
    <x v="39"/>
    <s v="REGULAR ORDER"/>
    <s v="GOOD"/>
  </r>
  <r>
    <x v="960"/>
    <x v="0"/>
    <x v="0"/>
    <x v="960"/>
    <x v="0"/>
    <n v="75148.2"/>
    <x v="960"/>
    <x v="297"/>
    <x v="3"/>
    <x v="39"/>
    <s v="BULK ORDER"/>
    <s v="GOOD"/>
  </r>
  <r>
    <x v="961"/>
    <x v="13"/>
    <x v="1"/>
    <x v="961"/>
    <x v="4"/>
    <n v="14619.75"/>
    <x v="961"/>
    <x v="35"/>
    <x v="2"/>
    <x v="39"/>
    <s v="BULK ORDER"/>
    <s v="GOOD"/>
  </r>
  <r>
    <x v="962"/>
    <x v="0"/>
    <x v="0"/>
    <x v="962"/>
    <x v="2"/>
    <n v="14679.32"/>
    <x v="962"/>
    <x v="103"/>
    <x v="2"/>
    <x v="39"/>
    <s v="REGULAR ORDER"/>
    <s v="GOOD"/>
  </r>
  <r>
    <x v="963"/>
    <x v="9"/>
    <x v="2"/>
    <x v="963"/>
    <x v="1"/>
    <n v="131897.01"/>
    <x v="963"/>
    <x v="123"/>
    <x v="5"/>
    <x v="39"/>
    <s v="BULK ORDER"/>
    <s v="GOOD"/>
  </r>
  <r>
    <x v="964"/>
    <x v="7"/>
    <x v="2"/>
    <x v="964"/>
    <x v="3"/>
    <n v="30395.25"/>
    <x v="964"/>
    <x v="342"/>
    <x v="0"/>
    <x v="39"/>
    <s v="REGULAR ORDER"/>
    <s v="GOOD"/>
  </r>
  <r>
    <x v="965"/>
    <x v="12"/>
    <x v="1"/>
    <x v="965"/>
    <x v="2"/>
    <n v="83683.14"/>
    <x v="965"/>
    <x v="310"/>
    <x v="0"/>
    <x v="39"/>
    <s v="REGULAR ORDER"/>
    <s v="GOOD"/>
  </r>
  <r>
    <x v="966"/>
    <x v="10"/>
    <x v="3"/>
    <x v="966"/>
    <x v="1"/>
    <n v="80978.16"/>
    <x v="966"/>
    <x v="183"/>
    <x v="4"/>
    <x v="39"/>
    <s v="BULK ORDER"/>
    <s v="GOOD"/>
  </r>
  <r>
    <x v="967"/>
    <x v="21"/>
    <x v="4"/>
    <x v="967"/>
    <x v="0"/>
    <n v="96249.32"/>
    <x v="967"/>
    <x v="127"/>
    <x v="5"/>
    <x v="39"/>
    <s v="BULK ORDER"/>
    <s v="GOOD"/>
  </r>
  <r>
    <x v="968"/>
    <x v="19"/>
    <x v="2"/>
    <x v="968"/>
    <x v="0"/>
    <n v="191276.92"/>
    <x v="968"/>
    <x v="308"/>
    <x v="4"/>
    <x v="39"/>
    <s v="BULK ORDER"/>
    <s v="GOOD"/>
  </r>
  <r>
    <x v="969"/>
    <x v="3"/>
    <x v="0"/>
    <x v="969"/>
    <x v="2"/>
    <n v="22372.7"/>
    <x v="969"/>
    <x v="202"/>
    <x v="0"/>
    <x v="39"/>
    <s v="REGULAR ORDER"/>
    <s v="GOOD"/>
  </r>
  <r>
    <x v="970"/>
    <x v="15"/>
    <x v="4"/>
    <x v="970"/>
    <x v="3"/>
    <n v="21705.78"/>
    <x v="970"/>
    <x v="179"/>
    <x v="0"/>
    <x v="39"/>
    <s v="REGULAR ORDER"/>
    <s v="GOOD"/>
  </r>
  <r>
    <x v="971"/>
    <x v="18"/>
    <x v="3"/>
    <x v="971"/>
    <x v="2"/>
    <n v="76976.08"/>
    <x v="971"/>
    <x v="139"/>
    <x v="1"/>
    <x v="39"/>
    <s v="REGULAR ORDER"/>
    <s v="GOOD"/>
  </r>
  <r>
    <x v="972"/>
    <x v="8"/>
    <x v="0"/>
    <x v="972"/>
    <x v="3"/>
    <n v="9946.27"/>
    <x v="972"/>
    <x v="207"/>
    <x v="3"/>
    <x v="39"/>
    <s v="REGULAR ORDER"/>
    <s v="GOOD"/>
  </r>
  <r>
    <x v="973"/>
    <x v="12"/>
    <x v="1"/>
    <x v="973"/>
    <x v="2"/>
    <n v="67095.88"/>
    <x v="973"/>
    <x v="142"/>
    <x v="2"/>
    <x v="39"/>
    <s v="REGULAR ORDER"/>
    <s v="GOOD"/>
  </r>
  <r>
    <x v="974"/>
    <x v="14"/>
    <x v="3"/>
    <x v="974"/>
    <x v="2"/>
    <n v="15784.54"/>
    <x v="974"/>
    <x v="223"/>
    <x v="2"/>
    <x v="39"/>
    <s v="REGULAR ORDER"/>
    <s v="GOOD"/>
  </r>
  <r>
    <x v="975"/>
    <x v="3"/>
    <x v="0"/>
    <x v="975"/>
    <x v="3"/>
    <n v="7718.78"/>
    <x v="975"/>
    <x v="301"/>
    <x v="5"/>
    <x v="39"/>
    <s v="REGULAR ORDER"/>
    <s v="GOOD"/>
  </r>
  <r>
    <x v="976"/>
    <x v="10"/>
    <x v="3"/>
    <x v="976"/>
    <x v="0"/>
    <n v="193149.96"/>
    <x v="976"/>
    <x v="62"/>
    <x v="1"/>
    <x v="39"/>
    <s v="BULK ORDER"/>
    <s v="GOOD"/>
  </r>
  <r>
    <x v="977"/>
    <x v="0"/>
    <x v="0"/>
    <x v="977"/>
    <x v="4"/>
    <n v="224766.19999999998"/>
    <x v="977"/>
    <x v="145"/>
    <x v="4"/>
    <x v="39"/>
    <s v="BULK ORDER"/>
    <s v="GOOD"/>
  </r>
  <r>
    <x v="978"/>
    <x v="9"/>
    <x v="2"/>
    <x v="978"/>
    <x v="1"/>
    <n v="26910.81"/>
    <x v="978"/>
    <x v="128"/>
    <x v="0"/>
    <x v="39"/>
    <s v="BULK ORDER"/>
    <s v="GOOD"/>
  </r>
  <r>
    <x v="979"/>
    <x v="13"/>
    <x v="1"/>
    <x v="979"/>
    <x v="0"/>
    <n v="123347.92"/>
    <x v="979"/>
    <x v="299"/>
    <x v="4"/>
    <x v="39"/>
    <s v="BULK ORDER"/>
    <s v="GOOD"/>
  </r>
  <r>
    <x v="980"/>
    <x v="9"/>
    <x v="2"/>
    <x v="980"/>
    <x v="3"/>
    <n v="48742"/>
    <x v="980"/>
    <x v="122"/>
    <x v="1"/>
    <x v="39"/>
    <s v="REGULAR ORDER"/>
    <s v="GOOD"/>
  </r>
  <r>
    <x v="981"/>
    <x v="18"/>
    <x v="3"/>
    <x v="981"/>
    <x v="0"/>
    <n v="30689.360000000001"/>
    <x v="981"/>
    <x v="256"/>
    <x v="1"/>
    <x v="39"/>
    <s v="BULK ORDER"/>
    <s v="GOOD"/>
  </r>
  <r>
    <x v="982"/>
    <x v="6"/>
    <x v="0"/>
    <x v="982"/>
    <x v="0"/>
    <n v="173202.08"/>
    <x v="982"/>
    <x v="343"/>
    <x v="0"/>
    <x v="39"/>
    <s v="BULK ORDER"/>
    <s v="GOOD"/>
  </r>
  <r>
    <x v="983"/>
    <x v="3"/>
    <x v="0"/>
    <x v="983"/>
    <x v="1"/>
    <n v="10444.56"/>
    <x v="983"/>
    <x v="139"/>
    <x v="2"/>
    <x v="39"/>
    <s v="BULK ORDER"/>
    <s v="GOOD"/>
  </r>
  <r>
    <x v="984"/>
    <x v="12"/>
    <x v="1"/>
    <x v="984"/>
    <x v="4"/>
    <n v="154029.4"/>
    <x v="984"/>
    <x v="54"/>
    <x v="3"/>
    <x v="39"/>
    <s v="BULK ORDER"/>
    <s v="GOOD"/>
  </r>
  <r>
    <x v="985"/>
    <x v="2"/>
    <x v="2"/>
    <x v="985"/>
    <x v="4"/>
    <n v="155798.79999999999"/>
    <x v="985"/>
    <x v="243"/>
    <x v="4"/>
    <x v="39"/>
    <s v="BULK ORDER"/>
    <s v="GOOD"/>
  </r>
  <r>
    <x v="986"/>
    <x v="23"/>
    <x v="4"/>
    <x v="986"/>
    <x v="0"/>
    <n v="6168.4"/>
    <x v="986"/>
    <x v="123"/>
    <x v="3"/>
    <x v="40"/>
    <s v="BULK ORDER"/>
    <s v="GOOD"/>
  </r>
  <r>
    <x v="987"/>
    <x v="23"/>
    <x v="4"/>
    <x v="987"/>
    <x v="3"/>
    <n v="48940.95"/>
    <x v="987"/>
    <x v="135"/>
    <x v="2"/>
    <x v="40"/>
    <s v="REGULAR ORDER"/>
    <s v="GOOD"/>
  </r>
  <r>
    <x v="988"/>
    <x v="19"/>
    <x v="2"/>
    <x v="988"/>
    <x v="3"/>
    <n v="22851.63"/>
    <x v="988"/>
    <x v="192"/>
    <x v="4"/>
    <x v="40"/>
    <s v="REGULAR ORDER"/>
    <s v="GOOD"/>
  </r>
  <r>
    <x v="989"/>
    <x v="23"/>
    <x v="4"/>
    <x v="989"/>
    <x v="2"/>
    <n v="22798.52"/>
    <x v="989"/>
    <x v="71"/>
    <x v="2"/>
    <x v="40"/>
    <s v="REGULAR ORDER"/>
    <s v="GOOD"/>
  </r>
  <r>
    <x v="990"/>
    <x v="0"/>
    <x v="0"/>
    <x v="990"/>
    <x v="4"/>
    <n v="128973.9"/>
    <x v="990"/>
    <x v="344"/>
    <x v="5"/>
    <x v="40"/>
    <s v="BULK ORDER"/>
    <s v="GOOD"/>
  </r>
  <r>
    <x v="991"/>
    <x v="16"/>
    <x v="0"/>
    <x v="991"/>
    <x v="3"/>
    <n v="18729.61"/>
    <x v="991"/>
    <x v="236"/>
    <x v="0"/>
    <x v="40"/>
    <s v="REGULAR ORDER"/>
    <s v="GOOD"/>
  </r>
  <r>
    <x v="992"/>
    <x v="21"/>
    <x v="4"/>
    <x v="992"/>
    <x v="0"/>
    <n v="64519.08"/>
    <x v="992"/>
    <x v="345"/>
    <x v="5"/>
    <x v="40"/>
    <s v="BULK ORDER"/>
    <s v="GOOD"/>
  </r>
  <r>
    <x v="993"/>
    <x v="5"/>
    <x v="1"/>
    <x v="993"/>
    <x v="0"/>
    <n v="61550.36"/>
    <x v="993"/>
    <x v="272"/>
    <x v="4"/>
    <x v="40"/>
    <s v="BULK ORDER"/>
    <s v="GOOD"/>
  </r>
  <r>
    <x v="994"/>
    <x v="6"/>
    <x v="0"/>
    <x v="994"/>
    <x v="3"/>
    <n v="28568.97"/>
    <x v="994"/>
    <x v="193"/>
    <x v="5"/>
    <x v="40"/>
    <s v="REGULAR ORDER"/>
    <s v="GOOD"/>
  </r>
  <r>
    <x v="995"/>
    <x v="9"/>
    <x v="2"/>
    <x v="995"/>
    <x v="3"/>
    <n v="32472.59"/>
    <x v="995"/>
    <x v="90"/>
    <x v="4"/>
    <x v="40"/>
    <s v="REGULAR ORDER"/>
    <s v="GOOD"/>
  </r>
  <r>
    <x v="996"/>
    <x v="20"/>
    <x v="1"/>
    <x v="996"/>
    <x v="3"/>
    <n v="13559.18"/>
    <x v="996"/>
    <x v="82"/>
    <x v="5"/>
    <x v="40"/>
    <s v="REGULAR ORDER"/>
    <s v="GOOD"/>
  </r>
  <r>
    <x v="997"/>
    <x v="18"/>
    <x v="3"/>
    <x v="997"/>
    <x v="1"/>
    <n v="98282.01"/>
    <x v="997"/>
    <x v="238"/>
    <x v="2"/>
    <x v="40"/>
    <s v="BULK ORDER"/>
    <s v="GOOD"/>
  </r>
  <r>
    <x v="998"/>
    <x v="6"/>
    <x v="0"/>
    <x v="998"/>
    <x v="1"/>
    <n v="147381.41999999998"/>
    <x v="998"/>
    <x v="263"/>
    <x v="1"/>
    <x v="40"/>
    <s v="BULK ORDER"/>
    <s v="GOOD"/>
  </r>
  <r>
    <x v="999"/>
    <x v="24"/>
    <x v="4"/>
    <x v="999"/>
    <x v="3"/>
    <n v="45516.21"/>
    <x v="999"/>
    <x v="124"/>
    <x v="1"/>
    <x v="40"/>
    <s v="REGULAR ORDER"/>
    <s v="GO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9F97A4-4347-49C4-8461-31D42B9A4C6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F2:AG9" firstHeaderRow="1" firstDataRow="1" firstDataCol="1"/>
  <pivotFields count="15">
    <pivotField showAll="0"/>
    <pivotField showAll="0"/>
    <pivotField showAll="0"/>
    <pivotField showAll="0"/>
    <pivotField showAll="0"/>
    <pivotField showAll="0"/>
    <pivotField dataField="1" showAll="0"/>
    <pivotField numFmtId="14" showAll="0">
      <items count="347">
        <item x="68"/>
        <item x="61"/>
        <item x="299"/>
        <item x="183"/>
        <item x="71"/>
        <item x="282"/>
        <item x="23"/>
        <item x="135"/>
        <item x="104"/>
        <item x="1"/>
        <item x="171"/>
        <item x="302"/>
        <item x="150"/>
        <item x="45"/>
        <item x="311"/>
        <item x="214"/>
        <item x="266"/>
        <item x="148"/>
        <item x="113"/>
        <item x="154"/>
        <item x="6"/>
        <item x="158"/>
        <item x="78"/>
        <item x="227"/>
        <item x="232"/>
        <item x="215"/>
        <item x="137"/>
        <item x="292"/>
        <item x="314"/>
        <item x="138"/>
        <item x="169"/>
        <item x="25"/>
        <item x="340"/>
        <item x="333"/>
        <item x="210"/>
        <item x="208"/>
        <item x="21"/>
        <item x="336"/>
        <item x="56"/>
        <item x="118"/>
        <item x="241"/>
        <item x="200"/>
        <item x="325"/>
        <item x="90"/>
        <item x="112"/>
        <item x="185"/>
        <item x="188"/>
        <item x="14"/>
        <item x="99"/>
        <item x="259"/>
        <item x="236"/>
        <item x="156"/>
        <item x="65"/>
        <item x="275"/>
        <item x="342"/>
        <item x="22"/>
        <item x="77"/>
        <item x="256"/>
        <item x="229"/>
        <item x="181"/>
        <item x="16"/>
        <item x="211"/>
        <item x="86"/>
        <item x="245"/>
        <item x="328"/>
        <item x="324"/>
        <item x="195"/>
        <item x="0"/>
        <item x="101"/>
        <item x="305"/>
        <item x="277"/>
        <item x="15"/>
        <item x="323"/>
        <item x="337"/>
        <item x="136"/>
        <item x="216"/>
        <item x="290"/>
        <item x="253"/>
        <item x="233"/>
        <item x="223"/>
        <item x="120"/>
        <item x="166"/>
        <item x="335"/>
        <item x="3"/>
        <item x="341"/>
        <item x="186"/>
        <item x="228"/>
        <item x="116"/>
        <item x="18"/>
        <item x="182"/>
        <item x="264"/>
        <item x="192"/>
        <item x="30"/>
        <item x="174"/>
        <item x="226"/>
        <item x="97"/>
        <item x="9"/>
        <item x="242"/>
        <item x="149"/>
        <item x="59"/>
        <item x="237"/>
        <item x="244"/>
        <item x="212"/>
        <item x="60"/>
        <item x="310"/>
        <item x="178"/>
        <item x="247"/>
        <item x="67"/>
        <item x="298"/>
        <item x="268"/>
        <item x="88"/>
        <item x="308"/>
        <item x="224"/>
        <item x="162"/>
        <item x="234"/>
        <item x="218"/>
        <item x="29"/>
        <item x="197"/>
        <item x="271"/>
        <item x="12"/>
        <item x="75"/>
        <item x="147"/>
        <item x="54"/>
        <item x="17"/>
        <item x="173"/>
        <item x="50"/>
        <item x="345"/>
        <item x="24"/>
        <item x="128"/>
        <item x="47"/>
        <item x="252"/>
        <item x="131"/>
        <item x="7"/>
        <item x="238"/>
        <item x="87"/>
        <item x="198"/>
        <item x="194"/>
        <item x="193"/>
        <item x="108"/>
        <item x="79"/>
        <item x="146"/>
        <item x="286"/>
        <item x="165"/>
        <item x="327"/>
        <item x="81"/>
        <item x="187"/>
        <item x="258"/>
        <item x="52"/>
        <item x="105"/>
        <item x="100"/>
        <item x="72"/>
        <item x="144"/>
        <item x="121"/>
        <item x="37"/>
        <item x="124"/>
        <item x="91"/>
        <item x="199"/>
        <item x="157"/>
        <item x="111"/>
        <item x="140"/>
        <item x="44"/>
        <item x="273"/>
        <item x="145"/>
        <item x="27"/>
        <item x="203"/>
        <item x="254"/>
        <item x="205"/>
        <item x="320"/>
        <item x="161"/>
        <item x="139"/>
        <item x="201"/>
        <item x="288"/>
        <item x="225"/>
        <item x="230"/>
        <item x="239"/>
        <item x="133"/>
        <item x="82"/>
        <item x="151"/>
        <item x="344"/>
        <item x="84"/>
        <item x="39"/>
        <item x="35"/>
        <item x="206"/>
        <item x="250"/>
        <item x="294"/>
        <item x="102"/>
        <item x="326"/>
        <item x="306"/>
        <item x="153"/>
        <item x="123"/>
        <item x="222"/>
        <item x="89"/>
        <item x="329"/>
        <item x="339"/>
        <item x="180"/>
        <item x="263"/>
        <item x="38"/>
        <item x="95"/>
        <item x="283"/>
        <item x="63"/>
        <item x="309"/>
        <item x="94"/>
        <item x="26"/>
        <item x="246"/>
        <item x="184"/>
        <item x="278"/>
        <item x="28"/>
        <item x="13"/>
        <item x="167"/>
        <item x="96"/>
        <item x="19"/>
        <item x="122"/>
        <item x="334"/>
        <item x="93"/>
        <item x="83"/>
        <item x="318"/>
        <item x="92"/>
        <item x="272"/>
        <item x="172"/>
        <item x="43"/>
        <item x="70"/>
        <item x="276"/>
        <item x="270"/>
        <item x="331"/>
        <item x="125"/>
        <item x="40"/>
        <item x="168"/>
        <item x="221"/>
        <item x="179"/>
        <item x="66"/>
        <item x="190"/>
        <item x="248"/>
        <item x="107"/>
        <item x="240"/>
        <item x="260"/>
        <item x="255"/>
        <item x="11"/>
        <item x="64"/>
        <item x="209"/>
        <item x="48"/>
        <item x="119"/>
        <item x="110"/>
        <item x="287"/>
        <item x="274"/>
        <item x="343"/>
        <item x="31"/>
        <item x="130"/>
        <item x="170"/>
        <item x="261"/>
        <item x="202"/>
        <item x="114"/>
        <item x="155"/>
        <item x="289"/>
        <item x="213"/>
        <item x="76"/>
        <item x="285"/>
        <item x="33"/>
        <item x="58"/>
        <item x="2"/>
        <item x="5"/>
        <item x="249"/>
        <item x="160"/>
        <item x="322"/>
        <item x="296"/>
        <item x="217"/>
        <item x="53"/>
        <item x="280"/>
        <item x="8"/>
        <item x="141"/>
        <item x="279"/>
        <item x="251"/>
        <item x="321"/>
        <item x="55"/>
        <item x="317"/>
        <item x="69"/>
        <item x="80"/>
        <item x="332"/>
        <item x="34"/>
        <item x="220"/>
        <item x="62"/>
        <item x="103"/>
        <item x="281"/>
        <item x="312"/>
        <item x="74"/>
        <item x="46"/>
        <item x="300"/>
        <item x="330"/>
        <item x="109"/>
        <item x="106"/>
        <item x="196"/>
        <item x="32"/>
        <item x="307"/>
        <item x="235"/>
        <item x="315"/>
        <item x="132"/>
        <item x="163"/>
        <item x="164"/>
        <item x="189"/>
        <item x="207"/>
        <item x="269"/>
        <item x="49"/>
        <item x="10"/>
        <item x="295"/>
        <item x="57"/>
        <item x="219"/>
        <item x="301"/>
        <item x="304"/>
        <item x="303"/>
        <item x="293"/>
        <item x="117"/>
        <item x="20"/>
        <item x="265"/>
        <item x="316"/>
        <item x="262"/>
        <item x="98"/>
        <item x="51"/>
        <item x="204"/>
        <item x="175"/>
        <item x="73"/>
        <item x="134"/>
        <item x="4"/>
        <item x="319"/>
        <item x="142"/>
        <item x="338"/>
        <item x="42"/>
        <item x="152"/>
        <item x="127"/>
        <item x="143"/>
        <item x="115"/>
        <item x="159"/>
        <item x="191"/>
        <item x="243"/>
        <item x="129"/>
        <item x="297"/>
        <item x="177"/>
        <item x="284"/>
        <item x="36"/>
        <item x="126"/>
        <item x="267"/>
        <item x="41"/>
        <item x="231"/>
        <item x="291"/>
        <item x="176"/>
        <item x="85"/>
        <item x="313"/>
        <item x="257"/>
        <item t="default"/>
      </items>
    </pivotField>
    <pivotField axis="axisRow" showAll="0">
      <items count="7">
        <item x="0"/>
        <item x="3"/>
        <item x="5"/>
        <item x="2"/>
        <item x="1"/>
        <item x="4"/>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8"/>
  </rowFields>
  <rowItems count="7">
    <i>
      <x/>
    </i>
    <i>
      <x v="1"/>
    </i>
    <i>
      <x v="2"/>
    </i>
    <i>
      <x v="3"/>
    </i>
    <i>
      <x v="4"/>
    </i>
    <i>
      <x v="5"/>
    </i>
    <i t="grand">
      <x/>
    </i>
  </rowItems>
  <colItems count="1">
    <i/>
  </colItems>
  <dataFields count="1">
    <dataField name="Sum of Total Sales (INR)" fld="6"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83036B-468F-4AAE-B356-EBDF67BD51B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2:E8" firstHeaderRow="1" firstDataRow="1" firstDataCol="1"/>
  <pivotFields count="15">
    <pivotField showAll="0"/>
    <pivotField showAll="0"/>
    <pivotField axis="axisRow" showAll="0">
      <items count="6">
        <item x="0"/>
        <item x="2"/>
        <item x="4"/>
        <item x="3"/>
        <item x="1"/>
        <item t="default"/>
      </items>
    </pivotField>
    <pivotField showAll="0"/>
    <pivotField showAll="0"/>
    <pivotField showAll="0"/>
    <pivotField dataField="1" showAll="0">
      <items count="1001">
        <item x="755"/>
        <item x="139"/>
        <item x="859"/>
        <item x="908"/>
        <item x="38"/>
        <item x="220"/>
        <item x="514"/>
        <item x="406"/>
        <item x="392"/>
        <item x="423"/>
        <item x="453"/>
        <item x="705"/>
        <item x="284"/>
        <item x="34"/>
        <item x="108"/>
        <item x="727"/>
        <item x="686"/>
        <item x="670"/>
        <item x="409"/>
        <item x="928"/>
        <item x="79"/>
        <item x="744"/>
        <item x="410"/>
        <item x="469"/>
        <item x="946"/>
        <item x="26"/>
        <item x="250"/>
        <item x="69"/>
        <item x="378"/>
        <item x="192"/>
        <item x="759"/>
        <item x="606"/>
        <item x="68"/>
        <item x="319"/>
        <item x="575"/>
        <item x="264"/>
        <item x="813"/>
        <item x="632"/>
        <item x="152"/>
        <item x="866"/>
        <item x="546"/>
        <item x="154"/>
        <item x="772"/>
        <item x="136"/>
        <item x="64"/>
        <item x="324"/>
        <item x="463"/>
        <item x="418"/>
        <item x="281"/>
        <item x="297"/>
        <item x="94"/>
        <item x="752"/>
        <item x="532"/>
        <item x="736"/>
        <item x="768"/>
        <item x="309"/>
        <item x="739"/>
        <item x="882"/>
        <item x="986"/>
        <item x="141"/>
        <item x="412"/>
        <item x="721"/>
        <item x="32"/>
        <item x="757"/>
        <item x="835"/>
        <item x="359"/>
        <item x="534"/>
        <item x="747"/>
        <item x="157"/>
        <item x="975"/>
        <item x="46"/>
        <item x="435"/>
        <item x="340"/>
        <item x="565"/>
        <item x="411"/>
        <item x="316"/>
        <item x="952"/>
        <item x="955"/>
        <item x="358"/>
        <item x="641"/>
        <item x="164"/>
        <item x="175"/>
        <item x="776"/>
        <item x="741"/>
        <item x="972"/>
        <item x="402"/>
        <item x="500"/>
        <item x="983"/>
        <item x="580"/>
        <item x="525"/>
        <item x="321"/>
        <item x="323"/>
        <item x="372"/>
        <item x="959"/>
        <item x="180"/>
        <item x="8"/>
        <item x="366"/>
        <item x="127"/>
        <item x="371"/>
        <item x="699"/>
        <item x="694"/>
        <item x="491"/>
        <item x="356"/>
        <item x="471"/>
        <item x="730"/>
        <item x="22"/>
        <item x="806"/>
        <item x="881"/>
        <item x="576"/>
        <item x="756"/>
        <item x="996"/>
        <item x="661"/>
        <item x="608"/>
        <item x="845"/>
        <item x="647"/>
        <item x="441"/>
        <item x="78"/>
        <item x="183"/>
        <item x="507"/>
        <item x="961"/>
        <item x="20"/>
        <item x="962"/>
        <item x="924"/>
        <item x="72"/>
        <item x="76"/>
        <item x="303"/>
        <item x="246"/>
        <item x="87"/>
        <item x="98"/>
        <item x="207"/>
        <item x="855"/>
        <item x="974"/>
        <item x="253"/>
        <item x="397"/>
        <item x="363"/>
        <item x="186"/>
        <item x="926"/>
        <item x="510"/>
        <item x="789"/>
        <item x="685"/>
        <item x="188"/>
        <item x="480"/>
        <item x="305"/>
        <item x="627"/>
        <item x="564"/>
        <item x="716"/>
        <item x="482"/>
        <item x="375"/>
        <item x="416"/>
        <item x="404"/>
        <item x="709"/>
        <item x="609"/>
        <item x="432"/>
        <item x="291"/>
        <item x="104"/>
        <item x="42"/>
        <item x="878"/>
        <item x="399"/>
        <item x="318"/>
        <item x="725"/>
        <item x="792"/>
        <item x="171"/>
        <item x="421"/>
        <item x="896"/>
        <item x="310"/>
        <item x="445"/>
        <item x="287"/>
        <item x="991"/>
        <item x="703"/>
        <item x="140"/>
        <item x="111"/>
        <item x="213"/>
        <item x="56"/>
        <item x="276"/>
        <item x="444"/>
        <item x="12"/>
        <item x="766"/>
        <item x="542"/>
        <item x="173"/>
        <item x="338"/>
        <item x="843"/>
        <item x="62"/>
        <item x="818"/>
        <item x="573"/>
        <item x="825"/>
        <item x="217"/>
        <item x="817"/>
        <item x="970"/>
        <item x="398"/>
        <item x="1"/>
        <item x="239"/>
        <item x="758"/>
        <item x="956"/>
        <item x="623"/>
        <item x="969"/>
        <item x="112"/>
        <item x="464"/>
        <item x="989"/>
        <item x="988"/>
        <item x="513"/>
        <item x="84"/>
        <item x="40"/>
        <item x="710"/>
        <item x="864"/>
        <item x="306"/>
        <item x="51"/>
        <item x="865"/>
        <item x="265"/>
        <item x="645"/>
        <item x="662"/>
        <item x="702"/>
        <item x="35"/>
        <item x="298"/>
        <item x="45"/>
        <item x="484"/>
        <item x="557"/>
        <item x="593"/>
        <item x="339"/>
        <item x="103"/>
        <item x="425"/>
        <item x="113"/>
        <item x="256"/>
        <item x="814"/>
        <item x="700"/>
        <item x="454"/>
        <item x="168"/>
        <item x="783"/>
        <item x="587"/>
        <item x="7"/>
        <item x="748"/>
        <item x="174"/>
        <item x="633"/>
        <item x="447"/>
        <item x="193"/>
        <item x="828"/>
        <item x="978"/>
        <item x="729"/>
        <item x="563"/>
        <item x="21"/>
        <item x="355"/>
        <item x="308"/>
        <item x="99"/>
        <item x="598"/>
        <item x="555"/>
        <item x="684"/>
        <item x="849"/>
        <item x="198"/>
        <item x="307"/>
        <item x="994"/>
        <item x="584"/>
        <item x="769"/>
        <item x="143"/>
        <item x="915"/>
        <item x="638"/>
        <item x="943"/>
        <item x="420"/>
        <item x="770"/>
        <item x="850"/>
        <item x="349"/>
        <item x="833"/>
        <item x="400"/>
        <item x="964"/>
        <item x="468"/>
        <item x="870"/>
        <item x="851"/>
        <item x="981"/>
        <item x="44"/>
        <item x="275"/>
        <item x="590"/>
        <item x="24"/>
        <item x="516"/>
        <item x="133"/>
        <item x="528"/>
        <item x="129"/>
        <item x="832"/>
        <item x="873"/>
        <item x="487"/>
        <item x="650"/>
        <item x="236"/>
        <item x="333"/>
        <item x="214"/>
        <item x="204"/>
        <item x="596"/>
        <item x="995"/>
        <item x="624"/>
        <item x="560"/>
        <item x="451"/>
        <item x="301"/>
        <item x="202"/>
        <item x="619"/>
        <item x="869"/>
        <item x="927"/>
        <item x="429"/>
        <item x="109"/>
        <item x="379"/>
        <item x="302"/>
        <item x="176"/>
        <item x="610"/>
        <item x="602"/>
        <item x="679"/>
        <item x="526"/>
        <item x="656"/>
        <item x="293"/>
        <item x="901"/>
        <item x="652"/>
        <item x="801"/>
        <item x="867"/>
        <item x="364"/>
        <item x="556"/>
        <item x="743"/>
        <item x="698"/>
        <item x="751"/>
        <item x="205"/>
        <item x="467"/>
        <item x="75"/>
        <item x="519"/>
        <item x="459"/>
        <item x="505"/>
        <item x="61"/>
        <item x="777"/>
        <item x="169"/>
        <item x="958"/>
        <item x="840"/>
        <item x="764"/>
        <item x="877"/>
        <item x="648"/>
        <item x="138"/>
        <item x="615"/>
        <item x="934"/>
        <item x="248"/>
        <item x="147"/>
        <item x="889"/>
        <item x="874"/>
        <item x="665"/>
        <item x="267"/>
        <item x="503"/>
        <item x="77"/>
        <item x="107"/>
        <item x="925"/>
        <item x="884"/>
        <item x="251"/>
        <item x="290"/>
        <item x="746"/>
        <item x="254"/>
        <item x="711"/>
        <item x="697"/>
        <item x="888"/>
        <item x="354"/>
        <item x="351"/>
        <item x="562"/>
        <item x="492"/>
        <item x="754"/>
        <item x="531"/>
        <item x="216"/>
        <item x="497"/>
        <item x="381"/>
        <item x="344"/>
        <item x="802"/>
        <item x="876"/>
        <item x="642"/>
        <item x="585"/>
        <item x="929"/>
        <item x="317"/>
        <item x="182"/>
        <item x="490"/>
        <item x="750"/>
        <item x="9"/>
        <item x="370"/>
        <item x="199"/>
        <item x="550"/>
        <item x="73"/>
        <item x="501"/>
        <item x="812"/>
        <item x="249"/>
        <item x="473"/>
        <item x="816"/>
        <item x="18"/>
        <item x="676"/>
        <item x="279"/>
        <item x="872"/>
        <item x="149"/>
        <item x="16"/>
        <item x="419"/>
        <item x="19"/>
        <item x="863"/>
        <item x="735"/>
        <item x="121"/>
        <item x="428"/>
        <item x="903"/>
        <item x="693"/>
        <item x="778"/>
        <item x="160"/>
        <item x="762"/>
        <item x="247"/>
        <item x="184"/>
        <item x="273"/>
        <item x="367"/>
        <item x="485"/>
        <item x="118"/>
        <item x="629"/>
        <item x="666"/>
        <item x="304"/>
        <item x="678"/>
        <item x="914"/>
        <item x="102"/>
        <item x="151"/>
        <item x="91"/>
        <item x="3"/>
        <item x="263"/>
        <item x="999"/>
        <item x="578"/>
        <item x="283"/>
        <item x="27"/>
        <item x="898"/>
        <item x="486"/>
        <item x="128"/>
        <item x="726"/>
        <item x="221"/>
        <item x="465"/>
        <item x="17"/>
        <item x="383"/>
        <item x="644"/>
        <item x="529"/>
        <item x="10"/>
        <item x="740"/>
        <item x="489"/>
        <item x="93"/>
        <item x="201"/>
        <item x="348"/>
        <item x="690"/>
        <item x="194"/>
        <item x="689"/>
        <item x="844"/>
        <item x="658"/>
        <item x="862"/>
        <item x="607"/>
        <item x="206"/>
        <item x="517"/>
        <item x="195"/>
        <item x="824"/>
        <item x="980"/>
        <item x="521"/>
        <item x="894"/>
        <item x="592"/>
        <item x="987"/>
        <item x="841"/>
        <item x="212"/>
        <item x="568"/>
        <item x="235"/>
        <item x="100"/>
        <item x="361"/>
        <item x="646"/>
        <item x="153"/>
        <item x="875"/>
        <item x="715"/>
        <item x="347"/>
        <item x="272"/>
        <item x="2"/>
        <item x="385"/>
        <item x="579"/>
        <item x="58"/>
        <item x="788"/>
        <item x="571"/>
        <item x="831"/>
        <item x="781"/>
        <item x="92"/>
        <item x="395"/>
        <item x="734"/>
        <item x="683"/>
        <item x="767"/>
        <item x="552"/>
        <item x="853"/>
        <item x="947"/>
        <item x="63"/>
        <item x="238"/>
        <item x="224"/>
        <item x="846"/>
        <item x="294"/>
        <item x="225"/>
        <item x="450"/>
        <item x="458"/>
        <item x="879"/>
        <item x="146"/>
        <item x="472"/>
        <item x="446"/>
        <item x="622"/>
        <item x="805"/>
        <item x="577"/>
        <item x="479"/>
        <item x="753"/>
        <item x="165"/>
        <item x="541"/>
        <item x="680"/>
        <item x="170"/>
        <item x="520"/>
        <item x="97"/>
        <item x="326"/>
        <item x="162"/>
        <item x="523"/>
        <item x="854"/>
        <item x="886"/>
        <item x="274"/>
        <item x="722"/>
        <item x="589"/>
        <item x="328"/>
        <item x="443"/>
        <item x="838"/>
        <item x="911"/>
        <item x="566"/>
        <item x="407"/>
        <item x="268"/>
        <item x="374"/>
        <item x="549"/>
        <item x="515"/>
        <item x="895"/>
        <item x="243"/>
        <item x="200"/>
        <item x="938"/>
        <item x="493"/>
        <item x="396"/>
        <item x="714"/>
        <item x="720"/>
        <item x="538"/>
        <item x="839"/>
        <item x="993"/>
        <item x="0"/>
        <item x="231"/>
        <item x="603"/>
        <item x="784"/>
        <item x="774"/>
        <item x="723"/>
        <item x="259"/>
        <item x="779"/>
        <item x="786"/>
        <item x="167"/>
        <item x="561"/>
        <item x="439"/>
        <item x="572"/>
        <item x="342"/>
        <item x="992"/>
        <item x="478"/>
        <item x="601"/>
        <item x="660"/>
        <item x="380"/>
        <item x="55"/>
        <item x="787"/>
        <item x="649"/>
        <item x="208"/>
        <item x="674"/>
        <item x="71"/>
        <item x="95"/>
        <item x="179"/>
        <item x="880"/>
        <item x="394"/>
        <item x="860"/>
        <item x="919"/>
        <item x="331"/>
        <item x="973"/>
        <item x="257"/>
        <item x="847"/>
        <item x="922"/>
        <item x="920"/>
        <item x="337"/>
        <item x="96"/>
        <item x="811"/>
        <item x="533"/>
        <item x="530"/>
        <item x="365"/>
        <item x="90"/>
        <item x="796"/>
        <item x="401"/>
        <item x="704"/>
        <item x="433"/>
        <item x="222"/>
        <item x="229"/>
        <item x="81"/>
        <item x="737"/>
        <item x="692"/>
        <item x="809"/>
        <item x="728"/>
        <item x="386"/>
        <item x="687"/>
        <item x="940"/>
        <item x="932"/>
        <item x="122"/>
        <item x="848"/>
        <item x="54"/>
        <item x="785"/>
        <item x="403"/>
        <item x="511"/>
        <item x="595"/>
        <item x="653"/>
        <item x="47"/>
        <item x="460"/>
        <item x="189"/>
        <item x="960"/>
        <item x="126"/>
        <item x="953"/>
        <item x="350"/>
        <item x="315"/>
        <item x="196"/>
        <item x="373"/>
        <item x="476"/>
        <item x="252"/>
        <item x="535"/>
        <item x="971"/>
        <item x="30"/>
        <item x="808"/>
        <item x="628"/>
        <item x="540"/>
        <item x="440"/>
        <item x="639"/>
        <item x="921"/>
        <item x="457"/>
        <item x="131"/>
        <item x="885"/>
        <item x="475"/>
        <item x="352"/>
        <item x="771"/>
        <item x="942"/>
        <item x="883"/>
        <item x="688"/>
        <item x="597"/>
        <item x="163"/>
        <item x="23"/>
        <item x="966"/>
        <item x="871"/>
        <item x="618"/>
        <item x="899"/>
        <item x="547"/>
        <item x="312"/>
        <item x="245"/>
        <item x="907"/>
        <item x="33"/>
        <item x="415"/>
        <item x="74"/>
        <item x="86"/>
        <item x="713"/>
        <item x="664"/>
        <item x="691"/>
        <item x="15"/>
        <item x="161"/>
        <item x="965"/>
        <item x="368"/>
        <item x="158"/>
        <item x="724"/>
        <item x="574"/>
        <item x="470"/>
        <item x="745"/>
        <item x="66"/>
        <item x="637"/>
        <item x="815"/>
        <item x="110"/>
        <item x="659"/>
        <item x="65"/>
        <item x="790"/>
        <item x="900"/>
        <item x="89"/>
        <item x="4"/>
        <item x="583"/>
        <item x="5"/>
        <item x="187"/>
        <item x="226"/>
        <item x="933"/>
        <item x="916"/>
        <item x="939"/>
        <item x="314"/>
        <item x="559"/>
        <item x="285"/>
        <item x="544"/>
        <item x="230"/>
        <item x="384"/>
        <item x="902"/>
        <item x="616"/>
        <item x="819"/>
        <item x="191"/>
        <item x="393"/>
        <item x="836"/>
        <item x="827"/>
        <item x="923"/>
        <item x="496"/>
        <item x="260"/>
        <item x="320"/>
        <item x="604"/>
        <item x="218"/>
        <item x="313"/>
        <item x="270"/>
        <item x="13"/>
        <item x="436"/>
        <item x="172"/>
        <item x="655"/>
        <item x="742"/>
        <item x="31"/>
        <item x="834"/>
        <item x="821"/>
        <item x="509"/>
        <item x="733"/>
        <item x="887"/>
        <item x="269"/>
        <item x="106"/>
        <item x="967"/>
        <item x="799"/>
        <item x="123"/>
        <item x="495"/>
        <item x="829"/>
        <item x="376"/>
        <item x="997"/>
        <item x="782"/>
        <item x="353"/>
        <item x="377"/>
        <item x="682"/>
        <item x="630"/>
        <item x="931"/>
        <item x="810"/>
        <item x="594"/>
        <item x="918"/>
        <item x="223"/>
        <item x="362"/>
        <item x="43"/>
        <item x="388"/>
        <item x="85"/>
        <item x="67"/>
        <item x="311"/>
        <item x="897"/>
        <item x="668"/>
        <item x="669"/>
        <item x="892"/>
        <item x="390"/>
        <item x="144"/>
        <item x="49"/>
        <item x="631"/>
        <item x="330"/>
        <item x="712"/>
        <item x="442"/>
        <item x="502"/>
        <item x="945"/>
        <item x="949"/>
        <item x="334"/>
        <item x="449"/>
        <item x="696"/>
        <item x="242"/>
        <item x="930"/>
        <item x="537"/>
        <item x="408"/>
        <item x="935"/>
        <item x="634"/>
        <item x="289"/>
        <item x="117"/>
        <item x="706"/>
        <item x="795"/>
        <item x="452"/>
        <item x="635"/>
        <item x="60"/>
        <item x="150"/>
        <item x="830"/>
        <item x="277"/>
        <item x="233"/>
        <item x="909"/>
        <item x="203"/>
        <item x="341"/>
        <item x="912"/>
        <item x="345"/>
        <item x="677"/>
        <item x="731"/>
        <item x="773"/>
        <item x="413"/>
        <item x="701"/>
        <item x="134"/>
        <item x="937"/>
        <item x="343"/>
        <item x="278"/>
        <item x="83"/>
        <item x="430"/>
        <item x="657"/>
        <item x="299"/>
        <item x="286"/>
        <item x="282"/>
        <item x="569"/>
        <item x="228"/>
        <item x="861"/>
        <item x="558"/>
        <item x="422"/>
        <item x="405"/>
        <item x="979"/>
        <item x="905"/>
        <item x="820"/>
        <item x="255"/>
        <item x="671"/>
        <item x="904"/>
        <item x="426"/>
        <item x="738"/>
        <item x="36"/>
        <item x="166"/>
        <item x="800"/>
        <item x="570"/>
        <item x="125"/>
        <item x="295"/>
        <item x="990"/>
        <item x="181"/>
        <item x="336"/>
        <item x="332"/>
        <item x="857"/>
        <item x="504"/>
        <item x="553"/>
        <item x="25"/>
        <item x="197"/>
        <item x="963"/>
        <item x="124"/>
        <item x="613"/>
        <item x="890"/>
        <item x="387"/>
        <item x="434"/>
        <item x="11"/>
        <item x="59"/>
        <item x="280"/>
        <item x="28"/>
        <item x="120"/>
        <item x="842"/>
        <item x="749"/>
        <item x="586"/>
        <item x="210"/>
        <item x="672"/>
        <item x="474"/>
        <item x="551"/>
        <item x="605"/>
        <item x="695"/>
        <item x="954"/>
        <item x="241"/>
        <item x="52"/>
        <item x="554"/>
        <item x="588"/>
        <item x="582"/>
        <item x="215"/>
        <item x="536"/>
        <item x="142"/>
        <item x="448"/>
        <item x="868"/>
        <item x="391"/>
        <item x="37"/>
        <item x="346"/>
        <item x="936"/>
        <item x="763"/>
        <item x="718"/>
        <item x="148"/>
        <item x="227"/>
        <item x="499"/>
        <item x="325"/>
        <item x="823"/>
        <item x="891"/>
        <item x="82"/>
        <item x="760"/>
        <item x="717"/>
        <item x="178"/>
        <item x="105"/>
        <item x="917"/>
        <item x="998"/>
        <item x="466"/>
        <item x="522"/>
        <item x="50"/>
        <item x="240"/>
        <item x="389"/>
        <item x="382"/>
        <item x="543"/>
        <item x="53"/>
        <item x="116"/>
        <item x="640"/>
        <item x="913"/>
        <item x="944"/>
        <item x="494"/>
        <item x="488"/>
        <item x="803"/>
        <item x="856"/>
        <item x="798"/>
        <item x="39"/>
        <item x="455"/>
        <item x="135"/>
        <item x="793"/>
        <item x="858"/>
        <item x="41"/>
        <item x="732"/>
        <item x="984"/>
        <item x="941"/>
        <item x="643"/>
        <item x="506"/>
        <item x="621"/>
        <item x="626"/>
        <item x="985"/>
        <item x="424"/>
        <item x="292"/>
        <item x="88"/>
        <item x="477"/>
        <item x="258"/>
        <item x="663"/>
        <item x="155"/>
        <item x="775"/>
        <item x="417"/>
        <item x="119"/>
        <item x="581"/>
        <item x="244"/>
        <item x="114"/>
        <item x="708"/>
        <item x="508"/>
        <item x="617"/>
        <item x="156"/>
        <item x="654"/>
        <item x="185"/>
        <item x="614"/>
        <item x="70"/>
        <item x="822"/>
        <item x="80"/>
        <item x="461"/>
        <item x="132"/>
        <item x="438"/>
        <item x="982"/>
        <item x="599"/>
        <item x="369"/>
        <item x="101"/>
        <item x="271"/>
        <item x="625"/>
        <item x="893"/>
        <item x="950"/>
        <item x="115"/>
        <item x="651"/>
        <item x="807"/>
        <item x="190"/>
        <item x="567"/>
        <item x="512"/>
        <item x="636"/>
        <item x="761"/>
        <item x="852"/>
        <item x="431"/>
        <item x="437"/>
        <item x="335"/>
        <item x="794"/>
        <item x="826"/>
        <item x="719"/>
        <item x="968"/>
        <item x="237"/>
        <item x="462"/>
        <item x="539"/>
        <item x="456"/>
        <item x="837"/>
        <item x="976"/>
        <item x="14"/>
        <item x="780"/>
        <item x="288"/>
        <item x="211"/>
        <item x="296"/>
        <item x="681"/>
        <item x="322"/>
        <item x="6"/>
        <item x="591"/>
        <item x="232"/>
        <item x="951"/>
        <item x="159"/>
        <item x="48"/>
        <item x="765"/>
        <item x="357"/>
        <item x="791"/>
        <item x="600"/>
        <item x="612"/>
        <item x="234"/>
        <item x="524"/>
        <item x="177"/>
        <item x="797"/>
        <item x="327"/>
        <item x="219"/>
        <item x="261"/>
        <item x="483"/>
        <item x="620"/>
        <item x="611"/>
        <item x="137"/>
        <item x="29"/>
        <item x="427"/>
        <item x="527"/>
        <item x="957"/>
        <item x="145"/>
        <item x="977"/>
        <item x="57"/>
        <item x="300"/>
        <item x="481"/>
        <item x="360"/>
        <item x="906"/>
        <item x="667"/>
        <item x="130"/>
        <item x="209"/>
        <item x="329"/>
        <item x="414"/>
        <item x="675"/>
        <item x="707"/>
        <item x="948"/>
        <item x="545"/>
        <item x="518"/>
        <item x="548"/>
        <item x="673"/>
        <item x="266"/>
        <item x="498"/>
        <item x="804"/>
        <item x="262"/>
        <item x="910"/>
        <item t="default"/>
      </items>
    </pivotField>
    <pivotField numFmtId="14" showAll="0">
      <items count="347">
        <item x="68"/>
        <item x="61"/>
        <item x="299"/>
        <item x="183"/>
        <item x="71"/>
        <item x="282"/>
        <item x="23"/>
        <item x="135"/>
        <item x="104"/>
        <item x="1"/>
        <item x="171"/>
        <item x="302"/>
        <item x="150"/>
        <item x="45"/>
        <item x="311"/>
        <item x="214"/>
        <item x="266"/>
        <item x="148"/>
        <item x="113"/>
        <item x="154"/>
        <item x="6"/>
        <item x="158"/>
        <item x="78"/>
        <item x="227"/>
        <item x="232"/>
        <item x="215"/>
        <item x="137"/>
        <item x="292"/>
        <item x="314"/>
        <item x="138"/>
        <item x="169"/>
        <item x="25"/>
        <item x="340"/>
        <item x="333"/>
        <item x="210"/>
        <item x="208"/>
        <item x="21"/>
        <item x="336"/>
        <item x="56"/>
        <item x="118"/>
        <item x="241"/>
        <item x="200"/>
        <item x="325"/>
        <item x="90"/>
        <item x="112"/>
        <item x="185"/>
        <item x="188"/>
        <item x="14"/>
        <item x="99"/>
        <item x="259"/>
        <item x="236"/>
        <item x="156"/>
        <item x="65"/>
        <item x="275"/>
        <item x="342"/>
        <item x="22"/>
        <item x="77"/>
        <item x="256"/>
        <item x="229"/>
        <item x="181"/>
        <item x="16"/>
        <item x="211"/>
        <item x="86"/>
        <item x="245"/>
        <item x="328"/>
        <item x="324"/>
        <item x="195"/>
        <item x="0"/>
        <item x="101"/>
        <item x="305"/>
        <item x="277"/>
        <item x="15"/>
        <item x="323"/>
        <item x="337"/>
        <item x="136"/>
        <item x="216"/>
        <item x="290"/>
        <item x="253"/>
        <item x="233"/>
        <item x="223"/>
        <item x="120"/>
        <item x="166"/>
        <item x="335"/>
        <item x="3"/>
        <item x="341"/>
        <item x="186"/>
        <item x="228"/>
        <item x="116"/>
        <item x="18"/>
        <item x="182"/>
        <item x="264"/>
        <item x="192"/>
        <item x="30"/>
        <item x="174"/>
        <item x="226"/>
        <item x="97"/>
        <item x="9"/>
        <item x="242"/>
        <item x="149"/>
        <item x="59"/>
        <item x="237"/>
        <item x="244"/>
        <item x="212"/>
        <item x="60"/>
        <item x="310"/>
        <item x="178"/>
        <item x="247"/>
        <item x="67"/>
        <item x="298"/>
        <item x="268"/>
        <item x="88"/>
        <item x="308"/>
        <item x="224"/>
        <item x="162"/>
        <item x="234"/>
        <item x="218"/>
        <item x="29"/>
        <item x="197"/>
        <item x="271"/>
        <item x="12"/>
        <item x="75"/>
        <item x="147"/>
        <item x="54"/>
        <item x="17"/>
        <item x="173"/>
        <item x="50"/>
        <item x="345"/>
        <item x="24"/>
        <item x="128"/>
        <item x="47"/>
        <item x="252"/>
        <item x="131"/>
        <item x="7"/>
        <item x="238"/>
        <item x="87"/>
        <item x="198"/>
        <item x="194"/>
        <item x="193"/>
        <item x="108"/>
        <item x="79"/>
        <item x="146"/>
        <item x="286"/>
        <item x="165"/>
        <item x="327"/>
        <item x="81"/>
        <item x="187"/>
        <item x="258"/>
        <item x="52"/>
        <item x="105"/>
        <item x="100"/>
        <item x="72"/>
        <item x="144"/>
        <item x="121"/>
        <item x="37"/>
        <item x="124"/>
        <item x="91"/>
        <item x="199"/>
        <item x="157"/>
        <item x="111"/>
        <item x="140"/>
        <item x="44"/>
        <item x="273"/>
        <item x="145"/>
        <item x="27"/>
        <item x="203"/>
        <item x="254"/>
        <item x="205"/>
        <item x="320"/>
        <item x="161"/>
        <item x="139"/>
        <item x="201"/>
        <item x="288"/>
        <item x="225"/>
        <item x="230"/>
        <item x="239"/>
        <item x="133"/>
        <item x="82"/>
        <item x="151"/>
        <item x="344"/>
        <item x="84"/>
        <item x="39"/>
        <item x="35"/>
        <item x="206"/>
        <item x="250"/>
        <item x="294"/>
        <item x="102"/>
        <item x="326"/>
        <item x="306"/>
        <item x="153"/>
        <item x="123"/>
        <item x="222"/>
        <item x="89"/>
        <item x="329"/>
        <item x="339"/>
        <item x="180"/>
        <item x="263"/>
        <item x="38"/>
        <item x="95"/>
        <item x="283"/>
        <item x="63"/>
        <item x="309"/>
        <item x="94"/>
        <item x="26"/>
        <item x="246"/>
        <item x="184"/>
        <item x="278"/>
        <item x="28"/>
        <item x="13"/>
        <item x="167"/>
        <item x="96"/>
        <item x="19"/>
        <item x="122"/>
        <item x="334"/>
        <item x="93"/>
        <item x="83"/>
        <item x="318"/>
        <item x="92"/>
        <item x="272"/>
        <item x="172"/>
        <item x="43"/>
        <item x="70"/>
        <item x="276"/>
        <item x="270"/>
        <item x="331"/>
        <item x="125"/>
        <item x="40"/>
        <item x="168"/>
        <item x="221"/>
        <item x="179"/>
        <item x="66"/>
        <item x="190"/>
        <item x="248"/>
        <item x="107"/>
        <item x="240"/>
        <item x="260"/>
        <item x="255"/>
        <item x="11"/>
        <item x="64"/>
        <item x="209"/>
        <item x="48"/>
        <item x="119"/>
        <item x="110"/>
        <item x="287"/>
        <item x="274"/>
        <item x="343"/>
        <item x="31"/>
        <item x="130"/>
        <item x="170"/>
        <item x="261"/>
        <item x="202"/>
        <item x="114"/>
        <item x="155"/>
        <item x="289"/>
        <item x="213"/>
        <item x="76"/>
        <item x="285"/>
        <item x="33"/>
        <item x="58"/>
        <item x="2"/>
        <item x="5"/>
        <item x="249"/>
        <item x="160"/>
        <item x="322"/>
        <item x="296"/>
        <item x="217"/>
        <item x="53"/>
        <item x="280"/>
        <item x="8"/>
        <item x="141"/>
        <item x="279"/>
        <item x="251"/>
        <item x="321"/>
        <item x="55"/>
        <item x="317"/>
        <item x="69"/>
        <item x="80"/>
        <item x="332"/>
        <item x="34"/>
        <item x="220"/>
        <item x="62"/>
        <item x="103"/>
        <item x="281"/>
        <item x="312"/>
        <item x="74"/>
        <item x="46"/>
        <item x="300"/>
        <item x="330"/>
        <item x="109"/>
        <item x="106"/>
        <item x="196"/>
        <item x="32"/>
        <item x="307"/>
        <item x="235"/>
        <item x="315"/>
        <item x="132"/>
        <item x="163"/>
        <item x="164"/>
        <item x="189"/>
        <item x="207"/>
        <item x="269"/>
        <item x="49"/>
        <item x="10"/>
        <item x="295"/>
        <item x="57"/>
        <item x="219"/>
        <item x="301"/>
        <item x="304"/>
        <item x="303"/>
        <item x="293"/>
        <item x="117"/>
        <item x="20"/>
        <item x="265"/>
        <item x="316"/>
        <item x="262"/>
        <item x="98"/>
        <item x="51"/>
        <item x="204"/>
        <item x="175"/>
        <item x="73"/>
        <item x="134"/>
        <item x="4"/>
        <item x="319"/>
        <item x="142"/>
        <item x="338"/>
        <item x="42"/>
        <item x="152"/>
        <item x="127"/>
        <item x="143"/>
        <item x="115"/>
        <item x="159"/>
        <item x="191"/>
        <item x="243"/>
        <item x="129"/>
        <item x="297"/>
        <item x="177"/>
        <item x="284"/>
        <item x="36"/>
        <item x="126"/>
        <item x="267"/>
        <item x="41"/>
        <item x="231"/>
        <item x="291"/>
        <item x="176"/>
        <item x="85"/>
        <item x="313"/>
        <item x="257"/>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Items count="1">
    <i/>
  </colItems>
  <dataFields count="1">
    <dataField name="Sum of Total Sales (INR)" fld="6"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4"/>
          </reference>
        </references>
      </pivotArea>
    </chartFormat>
    <chartFormat chart="2" format="2">
      <pivotArea type="data" outline="0" fieldPosition="0">
        <references count="2">
          <reference field="4294967294" count="1" selected="0">
            <x v="0"/>
          </reference>
          <reference field="2" count="1" selected="0">
            <x v="3"/>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B97655-EB1A-417A-BB14-D86B04AC80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Q3:R29" firstHeaderRow="1" firstDataRow="1" firstDataCol="1"/>
  <pivotFields count="15">
    <pivotField showAll="0"/>
    <pivotField axis="axisRow" showAll="0" defaultSubtotal="0">
      <items count="25">
        <item x="1"/>
        <item x="2"/>
        <item x="11"/>
        <item x="13"/>
        <item x="24"/>
        <item x="9"/>
        <item x="16"/>
        <item x="7"/>
        <item x="6"/>
        <item x="10"/>
        <item x="21"/>
        <item x="17"/>
        <item x="18"/>
        <item x="3"/>
        <item x="20"/>
        <item x="8"/>
        <item x="19"/>
        <item x="0"/>
        <item x="4"/>
        <item x="14"/>
        <item x="23"/>
        <item x="5"/>
        <item x="12"/>
        <item x="22"/>
        <item x="15"/>
      </items>
    </pivotField>
    <pivotField showAll="0"/>
    <pivotField showAll="0"/>
    <pivotField showAll="0"/>
    <pivotField showAll="0"/>
    <pivotField dataField="1" showAll="0">
      <items count="1001">
        <item x="755"/>
        <item x="139"/>
        <item x="859"/>
        <item x="908"/>
        <item x="38"/>
        <item x="220"/>
        <item x="514"/>
        <item x="406"/>
        <item x="392"/>
        <item x="423"/>
        <item x="453"/>
        <item x="705"/>
        <item x="284"/>
        <item x="34"/>
        <item x="108"/>
        <item x="727"/>
        <item x="686"/>
        <item x="670"/>
        <item x="409"/>
        <item x="928"/>
        <item x="79"/>
        <item x="744"/>
        <item x="410"/>
        <item x="469"/>
        <item x="946"/>
        <item x="26"/>
        <item x="250"/>
        <item x="69"/>
        <item x="378"/>
        <item x="192"/>
        <item x="759"/>
        <item x="606"/>
        <item x="68"/>
        <item x="319"/>
        <item x="575"/>
        <item x="264"/>
        <item x="813"/>
        <item x="632"/>
        <item x="152"/>
        <item x="866"/>
        <item x="546"/>
        <item x="154"/>
        <item x="772"/>
        <item x="136"/>
        <item x="64"/>
        <item x="324"/>
        <item x="463"/>
        <item x="418"/>
        <item x="281"/>
        <item x="297"/>
        <item x="94"/>
        <item x="752"/>
        <item x="532"/>
        <item x="736"/>
        <item x="768"/>
        <item x="309"/>
        <item x="739"/>
        <item x="882"/>
        <item x="986"/>
        <item x="141"/>
        <item x="412"/>
        <item x="721"/>
        <item x="32"/>
        <item x="757"/>
        <item x="835"/>
        <item x="359"/>
        <item x="534"/>
        <item x="747"/>
        <item x="157"/>
        <item x="975"/>
        <item x="46"/>
        <item x="435"/>
        <item x="340"/>
        <item x="565"/>
        <item x="411"/>
        <item x="316"/>
        <item x="952"/>
        <item x="955"/>
        <item x="358"/>
        <item x="641"/>
        <item x="164"/>
        <item x="175"/>
        <item x="776"/>
        <item x="741"/>
        <item x="972"/>
        <item x="402"/>
        <item x="500"/>
        <item x="983"/>
        <item x="580"/>
        <item x="525"/>
        <item x="321"/>
        <item x="323"/>
        <item x="372"/>
        <item x="959"/>
        <item x="180"/>
        <item x="8"/>
        <item x="366"/>
        <item x="127"/>
        <item x="371"/>
        <item x="699"/>
        <item x="694"/>
        <item x="491"/>
        <item x="356"/>
        <item x="471"/>
        <item x="730"/>
        <item x="22"/>
        <item x="806"/>
        <item x="881"/>
        <item x="576"/>
        <item x="756"/>
        <item x="996"/>
        <item x="661"/>
        <item x="608"/>
        <item x="845"/>
        <item x="647"/>
        <item x="441"/>
        <item x="78"/>
        <item x="183"/>
        <item x="507"/>
        <item x="961"/>
        <item x="20"/>
        <item x="962"/>
        <item x="924"/>
        <item x="72"/>
        <item x="76"/>
        <item x="303"/>
        <item x="246"/>
        <item x="87"/>
        <item x="98"/>
        <item x="207"/>
        <item x="855"/>
        <item x="974"/>
        <item x="253"/>
        <item x="397"/>
        <item x="363"/>
        <item x="186"/>
        <item x="926"/>
        <item x="510"/>
        <item x="789"/>
        <item x="685"/>
        <item x="188"/>
        <item x="480"/>
        <item x="305"/>
        <item x="627"/>
        <item x="564"/>
        <item x="716"/>
        <item x="482"/>
        <item x="375"/>
        <item x="416"/>
        <item x="404"/>
        <item x="709"/>
        <item x="609"/>
        <item x="432"/>
        <item x="291"/>
        <item x="104"/>
        <item x="42"/>
        <item x="878"/>
        <item x="399"/>
        <item x="318"/>
        <item x="725"/>
        <item x="792"/>
        <item x="171"/>
        <item x="421"/>
        <item x="896"/>
        <item x="310"/>
        <item x="445"/>
        <item x="287"/>
        <item x="991"/>
        <item x="703"/>
        <item x="140"/>
        <item x="111"/>
        <item x="213"/>
        <item x="56"/>
        <item x="276"/>
        <item x="444"/>
        <item x="12"/>
        <item x="766"/>
        <item x="542"/>
        <item x="173"/>
        <item x="338"/>
        <item x="843"/>
        <item x="62"/>
        <item x="818"/>
        <item x="573"/>
        <item x="825"/>
        <item x="217"/>
        <item x="817"/>
        <item x="970"/>
        <item x="398"/>
        <item x="1"/>
        <item x="239"/>
        <item x="758"/>
        <item x="956"/>
        <item x="623"/>
        <item x="969"/>
        <item x="112"/>
        <item x="464"/>
        <item x="989"/>
        <item x="988"/>
        <item x="513"/>
        <item x="84"/>
        <item x="40"/>
        <item x="710"/>
        <item x="864"/>
        <item x="306"/>
        <item x="51"/>
        <item x="865"/>
        <item x="265"/>
        <item x="645"/>
        <item x="662"/>
        <item x="702"/>
        <item x="35"/>
        <item x="298"/>
        <item x="45"/>
        <item x="484"/>
        <item x="557"/>
        <item x="593"/>
        <item x="339"/>
        <item x="103"/>
        <item x="425"/>
        <item x="113"/>
        <item x="256"/>
        <item x="814"/>
        <item x="700"/>
        <item x="454"/>
        <item x="168"/>
        <item x="783"/>
        <item x="587"/>
        <item x="7"/>
        <item x="748"/>
        <item x="174"/>
        <item x="633"/>
        <item x="447"/>
        <item x="193"/>
        <item x="828"/>
        <item x="978"/>
        <item x="729"/>
        <item x="563"/>
        <item x="21"/>
        <item x="355"/>
        <item x="308"/>
        <item x="99"/>
        <item x="598"/>
        <item x="555"/>
        <item x="684"/>
        <item x="849"/>
        <item x="198"/>
        <item x="307"/>
        <item x="994"/>
        <item x="584"/>
        <item x="769"/>
        <item x="143"/>
        <item x="915"/>
        <item x="638"/>
        <item x="943"/>
        <item x="420"/>
        <item x="770"/>
        <item x="850"/>
        <item x="349"/>
        <item x="833"/>
        <item x="400"/>
        <item x="964"/>
        <item x="468"/>
        <item x="870"/>
        <item x="851"/>
        <item x="981"/>
        <item x="44"/>
        <item x="275"/>
        <item x="590"/>
        <item x="24"/>
        <item x="516"/>
        <item x="133"/>
        <item x="528"/>
        <item x="129"/>
        <item x="832"/>
        <item x="873"/>
        <item x="487"/>
        <item x="650"/>
        <item x="236"/>
        <item x="333"/>
        <item x="214"/>
        <item x="204"/>
        <item x="596"/>
        <item x="995"/>
        <item x="624"/>
        <item x="560"/>
        <item x="451"/>
        <item x="301"/>
        <item x="202"/>
        <item x="619"/>
        <item x="869"/>
        <item x="927"/>
        <item x="429"/>
        <item x="109"/>
        <item x="379"/>
        <item x="302"/>
        <item x="176"/>
        <item x="610"/>
        <item x="602"/>
        <item x="679"/>
        <item x="526"/>
        <item x="656"/>
        <item x="293"/>
        <item x="901"/>
        <item x="652"/>
        <item x="801"/>
        <item x="867"/>
        <item x="364"/>
        <item x="556"/>
        <item x="743"/>
        <item x="698"/>
        <item x="751"/>
        <item x="205"/>
        <item x="467"/>
        <item x="75"/>
        <item x="519"/>
        <item x="459"/>
        <item x="505"/>
        <item x="61"/>
        <item x="777"/>
        <item x="169"/>
        <item x="958"/>
        <item x="840"/>
        <item x="764"/>
        <item x="877"/>
        <item x="648"/>
        <item x="138"/>
        <item x="615"/>
        <item x="934"/>
        <item x="248"/>
        <item x="147"/>
        <item x="889"/>
        <item x="874"/>
        <item x="665"/>
        <item x="267"/>
        <item x="503"/>
        <item x="77"/>
        <item x="107"/>
        <item x="925"/>
        <item x="884"/>
        <item x="251"/>
        <item x="290"/>
        <item x="746"/>
        <item x="254"/>
        <item x="711"/>
        <item x="697"/>
        <item x="888"/>
        <item x="354"/>
        <item x="351"/>
        <item x="562"/>
        <item x="492"/>
        <item x="754"/>
        <item x="531"/>
        <item x="216"/>
        <item x="497"/>
        <item x="381"/>
        <item x="344"/>
        <item x="802"/>
        <item x="876"/>
        <item x="642"/>
        <item x="585"/>
        <item x="929"/>
        <item x="317"/>
        <item x="182"/>
        <item x="490"/>
        <item x="750"/>
        <item x="9"/>
        <item x="370"/>
        <item x="199"/>
        <item x="550"/>
        <item x="73"/>
        <item x="501"/>
        <item x="812"/>
        <item x="249"/>
        <item x="473"/>
        <item x="816"/>
        <item x="18"/>
        <item x="676"/>
        <item x="279"/>
        <item x="872"/>
        <item x="149"/>
        <item x="16"/>
        <item x="419"/>
        <item x="19"/>
        <item x="863"/>
        <item x="735"/>
        <item x="121"/>
        <item x="428"/>
        <item x="903"/>
        <item x="693"/>
        <item x="778"/>
        <item x="160"/>
        <item x="762"/>
        <item x="247"/>
        <item x="184"/>
        <item x="273"/>
        <item x="367"/>
        <item x="485"/>
        <item x="118"/>
        <item x="629"/>
        <item x="666"/>
        <item x="304"/>
        <item x="678"/>
        <item x="914"/>
        <item x="102"/>
        <item x="151"/>
        <item x="91"/>
        <item x="3"/>
        <item x="263"/>
        <item x="999"/>
        <item x="578"/>
        <item x="283"/>
        <item x="27"/>
        <item x="898"/>
        <item x="486"/>
        <item x="128"/>
        <item x="726"/>
        <item x="221"/>
        <item x="465"/>
        <item x="17"/>
        <item x="383"/>
        <item x="644"/>
        <item x="529"/>
        <item x="10"/>
        <item x="740"/>
        <item x="489"/>
        <item x="93"/>
        <item x="201"/>
        <item x="348"/>
        <item x="690"/>
        <item x="194"/>
        <item x="689"/>
        <item x="844"/>
        <item x="658"/>
        <item x="862"/>
        <item x="607"/>
        <item x="206"/>
        <item x="517"/>
        <item x="195"/>
        <item x="824"/>
        <item x="980"/>
        <item x="521"/>
        <item x="894"/>
        <item x="592"/>
        <item x="987"/>
        <item x="841"/>
        <item x="212"/>
        <item x="568"/>
        <item x="235"/>
        <item x="100"/>
        <item x="361"/>
        <item x="646"/>
        <item x="153"/>
        <item x="875"/>
        <item x="715"/>
        <item x="347"/>
        <item x="272"/>
        <item x="2"/>
        <item x="385"/>
        <item x="579"/>
        <item x="58"/>
        <item x="788"/>
        <item x="571"/>
        <item x="831"/>
        <item x="781"/>
        <item x="92"/>
        <item x="395"/>
        <item x="734"/>
        <item x="683"/>
        <item x="767"/>
        <item x="552"/>
        <item x="853"/>
        <item x="947"/>
        <item x="63"/>
        <item x="238"/>
        <item x="224"/>
        <item x="846"/>
        <item x="294"/>
        <item x="225"/>
        <item x="450"/>
        <item x="458"/>
        <item x="879"/>
        <item x="146"/>
        <item x="472"/>
        <item x="446"/>
        <item x="622"/>
        <item x="805"/>
        <item x="577"/>
        <item x="479"/>
        <item x="753"/>
        <item x="165"/>
        <item x="541"/>
        <item x="680"/>
        <item x="170"/>
        <item x="520"/>
        <item x="97"/>
        <item x="326"/>
        <item x="162"/>
        <item x="523"/>
        <item x="854"/>
        <item x="886"/>
        <item x="274"/>
        <item x="722"/>
        <item x="589"/>
        <item x="328"/>
        <item x="443"/>
        <item x="838"/>
        <item x="911"/>
        <item x="566"/>
        <item x="407"/>
        <item x="268"/>
        <item x="374"/>
        <item x="549"/>
        <item x="515"/>
        <item x="895"/>
        <item x="243"/>
        <item x="200"/>
        <item x="938"/>
        <item x="493"/>
        <item x="396"/>
        <item x="714"/>
        <item x="720"/>
        <item x="538"/>
        <item x="839"/>
        <item x="993"/>
        <item x="0"/>
        <item x="231"/>
        <item x="603"/>
        <item x="784"/>
        <item x="774"/>
        <item x="723"/>
        <item x="259"/>
        <item x="779"/>
        <item x="786"/>
        <item x="167"/>
        <item x="561"/>
        <item x="439"/>
        <item x="572"/>
        <item x="342"/>
        <item x="992"/>
        <item x="478"/>
        <item x="601"/>
        <item x="660"/>
        <item x="380"/>
        <item x="55"/>
        <item x="787"/>
        <item x="649"/>
        <item x="208"/>
        <item x="674"/>
        <item x="71"/>
        <item x="95"/>
        <item x="179"/>
        <item x="880"/>
        <item x="394"/>
        <item x="860"/>
        <item x="919"/>
        <item x="331"/>
        <item x="973"/>
        <item x="257"/>
        <item x="847"/>
        <item x="922"/>
        <item x="920"/>
        <item x="337"/>
        <item x="96"/>
        <item x="811"/>
        <item x="533"/>
        <item x="530"/>
        <item x="365"/>
        <item x="90"/>
        <item x="796"/>
        <item x="401"/>
        <item x="704"/>
        <item x="433"/>
        <item x="222"/>
        <item x="229"/>
        <item x="81"/>
        <item x="737"/>
        <item x="692"/>
        <item x="809"/>
        <item x="728"/>
        <item x="386"/>
        <item x="687"/>
        <item x="940"/>
        <item x="932"/>
        <item x="122"/>
        <item x="848"/>
        <item x="54"/>
        <item x="785"/>
        <item x="403"/>
        <item x="511"/>
        <item x="595"/>
        <item x="653"/>
        <item x="47"/>
        <item x="460"/>
        <item x="189"/>
        <item x="960"/>
        <item x="126"/>
        <item x="953"/>
        <item x="350"/>
        <item x="315"/>
        <item x="196"/>
        <item x="373"/>
        <item x="476"/>
        <item x="252"/>
        <item x="535"/>
        <item x="971"/>
        <item x="30"/>
        <item x="808"/>
        <item x="628"/>
        <item x="540"/>
        <item x="440"/>
        <item x="639"/>
        <item x="921"/>
        <item x="457"/>
        <item x="131"/>
        <item x="885"/>
        <item x="475"/>
        <item x="352"/>
        <item x="771"/>
        <item x="942"/>
        <item x="883"/>
        <item x="688"/>
        <item x="597"/>
        <item x="163"/>
        <item x="23"/>
        <item x="966"/>
        <item x="871"/>
        <item x="618"/>
        <item x="899"/>
        <item x="547"/>
        <item x="312"/>
        <item x="245"/>
        <item x="907"/>
        <item x="33"/>
        <item x="415"/>
        <item x="74"/>
        <item x="86"/>
        <item x="713"/>
        <item x="664"/>
        <item x="691"/>
        <item x="15"/>
        <item x="161"/>
        <item x="965"/>
        <item x="368"/>
        <item x="158"/>
        <item x="724"/>
        <item x="574"/>
        <item x="470"/>
        <item x="745"/>
        <item x="66"/>
        <item x="637"/>
        <item x="815"/>
        <item x="110"/>
        <item x="659"/>
        <item x="65"/>
        <item x="790"/>
        <item x="900"/>
        <item x="89"/>
        <item x="4"/>
        <item x="583"/>
        <item x="5"/>
        <item x="187"/>
        <item x="226"/>
        <item x="933"/>
        <item x="916"/>
        <item x="939"/>
        <item x="314"/>
        <item x="559"/>
        <item x="285"/>
        <item x="544"/>
        <item x="230"/>
        <item x="384"/>
        <item x="902"/>
        <item x="616"/>
        <item x="819"/>
        <item x="191"/>
        <item x="393"/>
        <item x="836"/>
        <item x="827"/>
        <item x="923"/>
        <item x="496"/>
        <item x="260"/>
        <item x="320"/>
        <item x="604"/>
        <item x="218"/>
        <item x="313"/>
        <item x="270"/>
        <item x="13"/>
        <item x="436"/>
        <item x="172"/>
        <item x="655"/>
        <item x="742"/>
        <item x="31"/>
        <item x="834"/>
        <item x="821"/>
        <item x="509"/>
        <item x="733"/>
        <item x="887"/>
        <item x="269"/>
        <item x="106"/>
        <item x="967"/>
        <item x="799"/>
        <item x="123"/>
        <item x="495"/>
        <item x="829"/>
        <item x="376"/>
        <item x="997"/>
        <item x="782"/>
        <item x="353"/>
        <item x="377"/>
        <item x="682"/>
        <item x="630"/>
        <item x="931"/>
        <item x="810"/>
        <item x="594"/>
        <item x="918"/>
        <item x="223"/>
        <item x="362"/>
        <item x="43"/>
        <item x="388"/>
        <item x="85"/>
        <item x="67"/>
        <item x="311"/>
        <item x="897"/>
        <item x="668"/>
        <item x="669"/>
        <item x="892"/>
        <item x="390"/>
        <item x="144"/>
        <item x="49"/>
        <item x="631"/>
        <item x="330"/>
        <item x="712"/>
        <item x="442"/>
        <item x="502"/>
        <item x="945"/>
        <item x="949"/>
        <item x="334"/>
        <item x="449"/>
        <item x="696"/>
        <item x="242"/>
        <item x="930"/>
        <item x="537"/>
        <item x="408"/>
        <item x="935"/>
        <item x="634"/>
        <item x="289"/>
        <item x="117"/>
        <item x="706"/>
        <item x="795"/>
        <item x="452"/>
        <item x="635"/>
        <item x="60"/>
        <item x="150"/>
        <item x="830"/>
        <item x="277"/>
        <item x="233"/>
        <item x="909"/>
        <item x="203"/>
        <item x="341"/>
        <item x="912"/>
        <item x="345"/>
        <item x="677"/>
        <item x="731"/>
        <item x="773"/>
        <item x="413"/>
        <item x="701"/>
        <item x="134"/>
        <item x="937"/>
        <item x="343"/>
        <item x="278"/>
        <item x="83"/>
        <item x="430"/>
        <item x="657"/>
        <item x="299"/>
        <item x="286"/>
        <item x="282"/>
        <item x="569"/>
        <item x="228"/>
        <item x="861"/>
        <item x="558"/>
        <item x="422"/>
        <item x="405"/>
        <item x="979"/>
        <item x="905"/>
        <item x="820"/>
        <item x="255"/>
        <item x="671"/>
        <item x="904"/>
        <item x="426"/>
        <item x="738"/>
        <item x="36"/>
        <item x="166"/>
        <item x="800"/>
        <item x="570"/>
        <item x="125"/>
        <item x="295"/>
        <item x="990"/>
        <item x="181"/>
        <item x="336"/>
        <item x="332"/>
        <item x="857"/>
        <item x="504"/>
        <item x="553"/>
        <item x="25"/>
        <item x="197"/>
        <item x="963"/>
        <item x="124"/>
        <item x="613"/>
        <item x="890"/>
        <item x="387"/>
        <item x="434"/>
        <item x="11"/>
        <item x="59"/>
        <item x="280"/>
        <item x="28"/>
        <item x="120"/>
        <item x="842"/>
        <item x="749"/>
        <item x="586"/>
        <item x="210"/>
        <item x="672"/>
        <item x="474"/>
        <item x="551"/>
        <item x="605"/>
        <item x="695"/>
        <item x="954"/>
        <item x="241"/>
        <item x="52"/>
        <item x="554"/>
        <item x="588"/>
        <item x="582"/>
        <item x="215"/>
        <item x="536"/>
        <item x="142"/>
        <item x="448"/>
        <item x="868"/>
        <item x="391"/>
        <item x="37"/>
        <item x="346"/>
        <item x="936"/>
        <item x="763"/>
        <item x="718"/>
        <item x="148"/>
        <item x="227"/>
        <item x="499"/>
        <item x="325"/>
        <item x="823"/>
        <item x="891"/>
        <item x="82"/>
        <item x="760"/>
        <item x="717"/>
        <item x="178"/>
        <item x="105"/>
        <item x="917"/>
        <item x="998"/>
        <item x="466"/>
        <item x="522"/>
        <item x="50"/>
        <item x="240"/>
        <item x="389"/>
        <item x="382"/>
        <item x="543"/>
        <item x="53"/>
        <item x="116"/>
        <item x="640"/>
        <item x="913"/>
        <item x="944"/>
        <item x="494"/>
        <item x="488"/>
        <item x="803"/>
        <item x="856"/>
        <item x="798"/>
        <item x="39"/>
        <item x="455"/>
        <item x="135"/>
        <item x="793"/>
        <item x="858"/>
        <item x="41"/>
        <item x="732"/>
        <item x="984"/>
        <item x="941"/>
        <item x="643"/>
        <item x="506"/>
        <item x="621"/>
        <item x="626"/>
        <item x="985"/>
        <item x="424"/>
        <item x="292"/>
        <item x="88"/>
        <item x="477"/>
        <item x="258"/>
        <item x="663"/>
        <item x="155"/>
        <item x="775"/>
        <item x="417"/>
        <item x="119"/>
        <item x="581"/>
        <item x="244"/>
        <item x="114"/>
        <item x="708"/>
        <item x="508"/>
        <item x="617"/>
        <item x="156"/>
        <item x="654"/>
        <item x="185"/>
        <item x="614"/>
        <item x="70"/>
        <item x="822"/>
        <item x="80"/>
        <item x="461"/>
        <item x="132"/>
        <item x="438"/>
        <item x="982"/>
        <item x="599"/>
        <item x="369"/>
        <item x="101"/>
        <item x="271"/>
        <item x="625"/>
        <item x="893"/>
        <item x="950"/>
        <item x="115"/>
        <item x="651"/>
        <item x="807"/>
        <item x="190"/>
        <item x="567"/>
        <item x="512"/>
        <item x="636"/>
        <item x="761"/>
        <item x="852"/>
        <item x="431"/>
        <item x="437"/>
        <item x="335"/>
        <item x="794"/>
        <item x="826"/>
        <item x="719"/>
        <item x="968"/>
        <item x="237"/>
        <item x="462"/>
        <item x="539"/>
        <item x="456"/>
        <item x="837"/>
        <item x="976"/>
        <item x="14"/>
        <item x="780"/>
        <item x="288"/>
        <item x="211"/>
        <item x="296"/>
        <item x="681"/>
        <item x="322"/>
        <item x="6"/>
        <item x="591"/>
        <item x="232"/>
        <item x="951"/>
        <item x="159"/>
        <item x="48"/>
        <item x="765"/>
        <item x="357"/>
        <item x="791"/>
        <item x="600"/>
        <item x="612"/>
        <item x="234"/>
        <item x="524"/>
        <item x="177"/>
        <item x="797"/>
        <item x="327"/>
        <item x="219"/>
        <item x="261"/>
        <item x="483"/>
        <item x="620"/>
        <item x="611"/>
        <item x="137"/>
        <item x="29"/>
        <item x="427"/>
        <item x="527"/>
        <item x="957"/>
        <item x="145"/>
        <item x="977"/>
        <item x="57"/>
        <item x="300"/>
        <item x="481"/>
        <item x="360"/>
        <item x="906"/>
        <item x="667"/>
        <item x="130"/>
        <item x="209"/>
        <item x="329"/>
        <item x="414"/>
        <item x="675"/>
        <item x="707"/>
        <item x="948"/>
        <item x="545"/>
        <item x="518"/>
        <item x="548"/>
        <item x="673"/>
        <item x="266"/>
        <item x="498"/>
        <item x="804"/>
        <item x="262"/>
        <item x="910"/>
        <item t="default"/>
      </items>
    </pivotField>
    <pivotField numFmtId="14" showAll="0">
      <items count="347">
        <item x="68"/>
        <item x="61"/>
        <item x="299"/>
        <item x="183"/>
        <item x="71"/>
        <item x="282"/>
        <item x="23"/>
        <item x="135"/>
        <item x="104"/>
        <item x="1"/>
        <item x="171"/>
        <item x="302"/>
        <item x="150"/>
        <item x="45"/>
        <item x="311"/>
        <item x="214"/>
        <item x="266"/>
        <item x="148"/>
        <item x="113"/>
        <item x="154"/>
        <item x="6"/>
        <item x="158"/>
        <item x="78"/>
        <item x="227"/>
        <item x="232"/>
        <item x="215"/>
        <item x="137"/>
        <item x="292"/>
        <item x="314"/>
        <item x="138"/>
        <item x="169"/>
        <item x="25"/>
        <item x="340"/>
        <item x="333"/>
        <item x="210"/>
        <item x="208"/>
        <item x="21"/>
        <item x="336"/>
        <item x="56"/>
        <item x="118"/>
        <item x="241"/>
        <item x="200"/>
        <item x="325"/>
        <item x="90"/>
        <item x="112"/>
        <item x="185"/>
        <item x="188"/>
        <item x="14"/>
        <item x="99"/>
        <item x="259"/>
        <item x="236"/>
        <item x="156"/>
        <item x="65"/>
        <item x="275"/>
        <item x="342"/>
        <item x="22"/>
        <item x="77"/>
        <item x="256"/>
        <item x="229"/>
        <item x="181"/>
        <item x="16"/>
        <item x="211"/>
        <item x="86"/>
        <item x="245"/>
        <item x="328"/>
        <item x="324"/>
        <item x="195"/>
        <item x="0"/>
        <item x="101"/>
        <item x="305"/>
        <item x="277"/>
        <item x="15"/>
        <item x="323"/>
        <item x="337"/>
        <item x="136"/>
        <item x="216"/>
        <item x="290"/>
        <item x="253"/>
        <item x="233"/>
        <item x="223"/>
        <item x="120"/>
        <item x="166"/>
        <item x="335"/>
        <item x="3"/>
        <item x="341"/>
        <item x="186"/>
        <item x="228"/>
        <item x="116"/>
        <item x="18"/>
        <item x="182"/>
        <item x="264"/>
        <item x="192"/>
        <item x="30"/>
        <item x="174"/>
        <item x="226"/>
        <item x="97"/>
        <item x="9"/>
        <item x="242"/>
        <item x="149"/>
        <item x="59"/>
        <item x="237"/>
        <item x="244"/>
        <item x="212"/>
        <item x="60"/>
        <item x="310"/>
        <item x="178"/>
        <item x="247"/>
        <item x="67"/>
        <item x="298"/>
        <item x="268"/>
        <item x="88"/>
        <item x="308"/>
        <item x="224"/>
        <item x="162"/>
        <item x="234"/>
        <item x="218"/>
        <item x="29"/>
        <item x="197"/>
        <item x="271"/>
        <item x="12"/>
        <item x="75"/>
        <item x="147"/>
        <item x="54"/>
        <item x="17"/>
        <item x="173"/>
        <item x="50"/>
        <item x="345"/>
        <item x="24"/>
        <item x="128"/>
        <item x="47"/>
        <item x="252"/>
        <item x="131"/>
        <item x="7"/>
        <item x="238"/>
        <item x="87"/>
        <item x="198"/>
        <item x="194"/>
        <item x="193"/>
        <item x="108"/>
        <item x="79"/>
        <item x="146"/>
        <item x="286"/>
        <item x="165"/>
        <item x="327"/>
        <item x="81"/>
        <item x="187"/>
        <item x="258"/>
        <item x="52"/>
        <item x="105"/>
        <item x="100"/>
        <item x="72"/>
        <item x="144"/>
        <item x="121"/>
        <item x="37"/>
        <item x="124"/>
        <item x="91"/>
        <item x="199"/>
        <item x="157"/>
        <item x="111"/>
        <item x="140"/>
        <item x="44"/>
        <item x="273"/>
        <item x="145"/>
        <item x="27"/>
        <item x="203"/>
        <item x="254"/>
        <item x="205"/>
        <item x="320"/>
        <item x="161"/>
        <item x="139"/>
        <item x="201"/>
        <item x="288"/>
        <item x="225"/>
        <item x="230"/>
        <item x="239"/>
        <item x="133"/>
        <item x="82"/>
        <item x="151"/>
        <item x="344"/>
        <item x="84"/>
        <item x="39"/>
        <item x="35"/>
        <item x="206"/>
        <item x="250"/>
        <item x="294"/>
        <item x="102"/>
        <item x="326"/>
        <item x="306"/>
        <item x="153"/>
        <item x="123"/>
        <item x="222"/>
        <item x="89"/>
        <item x="329"/>
        <item x="339"/>
        <item x="180"/>
        <item x="263"/>
        <item x="38"/>
        <item x="95"/>
        <item x="283"/>
        <item x="63"/>
        <item x="309"/>
        <item x="94"/>
        <item x="26"/>
        <item x="246"/>
        <item x="184"/>
        <item x="278"/>
        <item x="28"/>
        <item x="13"/>
        <item x="167"/>
        <item x="96"/>
        <item x="19"/>
        <item x="122"/>
        <item x="334"/>
        <item x="93"/>
        <item x="83"/>
        <item x="318"/>
        <item x="92"/>
        <item x="272"/>
        <item x="172"/>
        <item x="43"/>
        <item x="70"/>
        <item x="276"/>
        <item x="270"/>
        <item x="331"/>
        <item x="125"/>
        <item x="40"/>
        <item x="168"/>
        <item x="221"/>
        <item x="179"/>
        <item x="66"/>
        <item x="190"/>
        <item x="248"/>
        <item x="107"/>
        <item x="240"/>
        <item x="260"/>
        <item x="255"/>
        <item x="11"/>
        <item x="64"/>
        <item x="209"/>
        <item x="48"/>
        <item x="119"/>
        <item x="110"/>
        <item x="287"/>
        <item x="274"/>
        <item x="343"/>
        <item x="31"/>
        <item x="130"/>
        <item x="170"/>
        <item x="261"/>
        <item x="202"/>
        <item x="114"/>
        <item x="155"/>
        <item x="289"/>
        <item x="213"/>
        <item x="76"/>
        <item x="285"/>
        <item x="33"/>
        <item x="58"/>
        <item x="2"/>
        <item x="5"/>
        <item x="249"/>
        <item x="160"/>
        <item x="322"/>
        <item x="296"/>
        <item x="217"/>
        <item x="53"/>
        <item x="280"/>
        <item x="8"/>
        <item x="141"/>
        <item x="279"/>
        <item x="251"/>
        <item x="321"/>
        <item x="55"/>
        <item x="317"/>
        <item x="69"/>
        <item x="80"/>
        <item x="332"/>
        <item x="34"/>
        <item x="220"/>
        <item x="62"/>
        <item x="103"/>
        <item x="281"/>
        <item x="312"/>
        <item x="74"/>
        <item x="46"/>
        <item x="300"/>
        <item x="330"/>
        <item x="109"/>
        <item x="106"/>
        <item x="196"/>
        <item x="32"/>
        <item x="307"/>
        <item x="235"/>
        <item x="315"/>
        <item x="132"/>
        <item x="163"/>
        <item x="164"/>
        <item x="189"/>
        <item x="207"/>
        <item x="269"/>
        <item x="49"/>
        <item x="10"/>
        <item x="295"/>
        <item x="57"/>
        <item x="219"/>
        <item x="301"/>
        <item x="304"/>
        <item x="303"/>
        <item x="293"/>
        <item x="117"/>
        <item x="20"/>
        <item x="265"/>
        <item x="316"/>
        <item x="262"/>
        <item x="98"/>
        <item x="51"/>
        <item x="204"/>
        <item x="175"/>
        <item x="73"/>
        <item x="134"/>
        <item x="4"/>
        <item x="319"/>
        <item x="142"/>
        <item x="338"/>
        <item x="42"/>
        <item x="152"/>
        <item x="127"/>
        <item x="143"/>
        <item x="115"/>
        <item x="159"/>
        <item x="191"/>
        <item x="243"/>
        <item x="129"/>
        <item x="297"/>
        <item x="177"/>
        <item x="284"/>
        <item x="36"/>
        <item x="126"/>
        <item x="267"/>
        <item x="41"/>
        <item x="231"/>
        <item x="291"/>
        <item x="176"/>
        <item x="85"/>
        <item x="313"/>
        <item x="257"/>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otal Sales (INR)" fld="6"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2256F3-A9DE-45B0-952D-90C1CCE882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M6" firstHeaderRow="1" firstDataRow="1" firstDataCol="1"/>
  <pivotFields count="15">
    <pivotField showAll="0"/>
    <pivotField showAll="0">
      <items count="26">
        <item x="1"/>
        <item x="2"/>
        <item x="11"/>
        <item x="13"/>
        <item x="24"/>
        <item x="9"/>
        <item x="16"/>
        <item x="7"/>
        <item x="6"/>
        <item x="10"/>
        <item x="21"/>
        <item x="17"/>
        <item x="18"/>
        <item x="3"/>
        <item x="20"/>
        <item x="8"/>
        <item x="19"/>
        <item x="0"/>
        <item x="4"/>
        <item x="14"/>
        <item x="23"/>
        <item x="5"/>
        <item x="12"/>
        <item x="22"/>
        <item x="15"/>
        <item t="default"/>
      </items>
    </pivotField>
    <pivotField showAll="0">
      <items count="6">
        <item x="0"/>
        <item x="2"/>
        <item x="4"/>
        <item x="3"/>
        <item x="1"/>
        <item t="default"/>
      </items>
    </pivotField>
    <pivotField showAll="0">
      <items count="1001">
        <item x="755"/>
        <item x="38"/>
        <item x="423"/>
        <item x="220"/>
        <item x="139"/>
        <item x="406"/>
        <item x="108"/>
        <item x="409"/>
        <item x="250"/>
        <item x="744"/>
        <item x="34"/>
        <item x="192"/>
        <item x="727"/>
        <item x="946"/>
        <item x="264"/>
        <item x="26"/>
        <item x="392"/>
        <item x="79"/>
        <item x="859"/>
        <item x="378"/>
        <item x="469"/>
        <item x="908"/>
        <item x="64"/>
        <item x="319"/>
        <item x="297"/>
        <item x="284"/>
        <item x="759"/>
        <item x="94"/>
        <item x="813"/>
        <item x="410"/>
        <item x="752"/>
        <item x="157"/>
        <item x="632"/>
        <item x="739"/>
        <item x="986"/>
        <item x="514"/>
        <item x="546"/>
        <item x="565"/>
        <item x="532"/>
        <item x="606"/>
        <item x="435"/>
        <item x="309"/>
        <item x="411"/>
        <item x="453"/>
        <item x="705"/>
        <item x="412"/>
        <item x="32"/>
        <item x="757"/>
        <item x="152"/>
        <item x="866"/>
        <item x="491"/>
        <item x="471"/>
        <item x="686"/>
        <item x="741"/>
        <item x="670"/>
        <item x="806"/>
        <item x="324"/>
        <item x="928"/>
        <item x="608"/>
        <item x="961"/>
        <item x="694"/>
        <item x="175"/>
        <item x="776"/>
        <item x="141"/>
        <item x="402"/>
        <item x="416"/>
        <item x="983"/>
        <item x="725"/>
        <item x="323"/>
        <item x="924"/>
        <item x="180"/>
        <item x="69"/>
        <item x="56"/>
        <item x="68"/>
        <item x="253"/>
        <item x="340"/>
        <item x="22"/>
        <item x="173"/>
        <item x="316"/>
        <item x="952"/>
        <item x="627"/>
        <item x="575"/>
        <item x="217"/>
        <item x="716"/>
        <item x="358"/>
        <item x="432"/>
        <item x="239"/>
        <item x="576"/>
        <item x="661"/>
        <item x="421"/>
        <item x="310"/>
        <item x="265"/>
        <item x="702"/>
        <item x="154"/>
        <item x="183"/>
        <item x="772"/>
        <item x="72"/>
        <item x="136"/>
        <item x="76"/>
        <item x="98"/>
        <item x="855"/>
        <item x="633"/>
        <item x="580"/>
        <item x="573"/>
        <item x="525"/>
        <item x="463"/>
        <item x="729"/>
        <item x="418"/>
        <item x="281"/>
        <item x="685"/>
        <item x="188"/>
        <item x="372"/>
        <item x="375"/>
        <item x="84"/>
        <item x="699"/>
        <item x="710"/>
        <item x="915"/>
        <item x="736"/>
        <item x="42"/>
        <item x="399"/>
        <item x="768"/>
        <item x="400"/>
        <item x="356"/>
        <item x="730"/>
        <item x="339"/>
        <item x="882"/>
        <item x="870"/>
        <item x="256"/>
        <item x="140"/>
        <item x="881"/>
        <item x="624"/>
        <item x="619"/>
        <item x="927"/>
        <item x="756"/>
        <item x="109"/>
        <item x="721"/>
        <item x="835"/>
        <item x="359"/>
        <item x="843"/>
        <item x="901"/>
        <item x="867"/>
        <item x="534"/>
        <item x="441"/>
        <item x="684"/>
        <item x="769"/>
        <item x="747"/>
        <item x="777"/>
        <item x="1"/>
        <item x="962"/>
        <item x="758"/>
        <item x="147"/>
        <item x="874"/>
        <item x="513"/>
        <item x="303"/>
        <item x="851"/>
        <item x="981"/>
        <item x="87"/>
        <item x="44"/>
        <item x="975"/>
        <item x="290"/>
        <item x="697"/>
        <item x="46"/>
        <item x="354"/>
        <item x="974"/>
        <item x="873"/>
        <item x="497"/>
        <item x="876"/>
        <item x="642"/>
        <item x="557"/>
        <item x="363"/>
        <item x="750"/>
        <item x="186"/>
        <item x="926"/>
        <item x="510"/>
        <item x="789"/>
        <item x="480"/>
        <item x="16"/>
        <item x="305"/>
        <item x="814"/>
        <item x="482"/>
        <item x="293"/>
        <item x="903"/>
        <item x="955"/>
        <item x="160"/>
        <item x="641"/>
        <item x="104"/>
        <item x="164"/>
        <item x="629"/>
        <item x="666"/>
        <item x="978"/>
        <item x="91"/>
        <item x="792"/>
        <item x="27"/>
        <item x="648"/>
        <item x="287"/>
        <item x="198"/>
        <item x="194"/>
        <item x="884"/>
        <item x="638"/>
        <item x="492"/>
        <item x="972"/>
        <item x="153"/>
        <item x="766"/>
        <item x="715"/>
        <item x="338"/>
        <item x="571"/>
        <item x="62"/>
        <item x="395"/>
        <item x="500"/>
        <item x="818"/>
        <item x="863"/>
        <item x="333"/>
        <item x="204"/>
        <item x="846"/>
        <item x="817"/>
        <item x="321"/>
        <item x="869"/>
        <item x="118"/>
        <item x="959"/>
        <item x="956"/>
        <item x="472"/>
        <item x="446"/>
        <item x="8"/>
        <item x="969"/>
        <item x="678"/>
        <item x="577"/>
        <item x="610"/>
        <item x="679"/>
        <item x="989"/>
        <item x="366"/>
        <item x="523"/>
        <item x="652"/>
        <item x="898"/>
        <item x="127"/>
        <item x="801"/>
        <item x="371"/>
        <item x="838"/>
        <item x="911"/>
        <item x="566"/>
        <item x="662"/>
        <item x="459"/>
        <item x="505"/>
        <item x="607"/>
        <item x="200"/>
        <item x="61"/>
        <item x="958"/>
        <item x="396"/>
        <item x="714"/>
        <item x="103"/>
        <item x="538"/>
        <item x="425"/>
        <item x="774"/>
        <item x="889"/>
        <item x="272"/>
        <item x="439"/>
        <item x="454"/>
        <item x="572"/>
        <item x="2"/>
        <item x="781"/>
        <item x="783"/>
        <item x="888"/>
        <item x="587"/>
        <item x="7"/>
        <item x="562"/>
        <item x="787"/>
        <item x="193"/>
        <item x="853"/>
        <item x="947"/>
        <item x="828"/>
        <item x="63"/>
        <item x="920"/>
        <item x="996"/>
        <item x="370"/>
        <item x="550"/>
        <item x="73"/>
        <item x="450"/>
        <item x="365"/>
        <item x="845"/>
        <item x="647"/>
        <item x="401"/>
        <item x="279"/>
        <item x="872"/>
        <item x="598"/>
        <item x="78"/>
        <item x="479"/>
        <item x="555"/>
        <item x="19"/>
        <item x="541"/>
        <item x="849"/>
        <item x="307"/>
        <item x="326"/>
        <item x="692"/>
        <item x="886"/>
        <item x="693"/>
        <item x="143"/>
        <item x="589"/>
        <item x="273"/>
        <item x="386"/>
        <item x="507"/>
        <item x="20"/>
        <item x="367"/>
        <item x="943"/>
        <item x="420"/>
        <item x="770"/>
        <item x="850"/>
        <item x="102"/>
        <item x="953"/>
        <item x="895"/>
        <item x="578"/>
        <item x="373"/>
        <item x="720"/>
        <item x="246"/>
        <item x="839"/>
        <item x="207"/>
        <item x="993"/>
        <item x="540"/>
        <item x="726"/>
        <item x="0"/>
        <item x="603"/>
        <item x="133"/>
        <item x="259"/>
        <item x="921"/>
        <item x="129"/>
        <item x="167"/>
        <item x="885"/>
        <item x="236"/>
        <item x="844"/>
        <item x="397"/>
        <item x="688"/>
        <item x="992"/>
        <item x="206"/>
        <item x="23"/>
        <item x="596"/>
        <item x="894"/>
        <item x="618"/>
        <item x="841"/>
        <item x="202"/>
        <item x="71"/>
        <item x="95"/>
        <item x="568"/>
        <item x="86"/>
        <item x="713"/>
        <item x="860"/>
        <item x="158"/>
        <item x="257"/>
        <item x="875"/>
        <item x="470"/>
        <item x="745"/>
        <item x="337"/>
        <item x="564"/>
        <item x="579"/>
        <item x="58"/>
        <item x="788"/>
        <item x="404"/>
        <item x="831"/>
        <item x="92"/>
        <item x="709"/>
        <item x="609"/>
        <item x="291"/>
        <item x="205"/>
        <item x="552"/>
        <item x="809"/>
        <item x="878"/>
        <item x="819"/>
        <item x="225"/>
        <item x="191"/>
        <item x="318"/>
        <item x="687"/>
        <item x="171"/>
        <item x="836"/>
        <item x="840"/>
        <item x="764"/>
        <item x="260"/>
        <item x="932"/>
        <item x="313"/>
        <item x="896"/>
        <item x="54"/>
        <item x="13"/>
        <item x="146"/>
        <item x="615"/>
        <item x="445"/>
        <item x="172"/>
        <item x="655"/>
        <item x="834"/>
        <item x="991"/>
        <item x="703"/>
        <item x="189"/>
        <item x="960"/>
        <item x="753"/>
        <item x="165"/>
        <item x="350"/>
        <item x="520"/>
        <item x="97"/>
        <item x="196"/>
        <item x="887"/>
        <item x="162"/>
        <item x="854"/>
        <item x="77"/>
        <item x="274"/>
        <item x="107"/>
        <item x="808"/>
        <item x="711"/>
        <item x="111"/>
        <item x="440"/>
        <item x="213"/>
        <item x="351"/>
        <item x="829"/>
        <item x="639"/>
        <item x="754"/>
        <item x="782"/>
        <item x="276"/>
        <item x="268"/>
        <item x="444"/>
        <item x="457"/>
        <item x="931"/>
        <item x="344"/>
        <item x="549"/>
        <item x="810"/>
        <item x="12"/>
        <item x="585"/>
        <item x="597"/>
        <item x="490"/>
        <item x="362"/>
        <item x="938"/>
        <item x="542"/>
        <item x="311"/>
        <item x="415"/>
        <item x="231"/>
        <item x="784"/>
        <item x="664"/>
        <item x="816"/>
        <item x="676"/>
        <item x="15"/>
        <item x="779"/>
        <item x="786"/>
        <item x="825"/>
        <item x="696"/>
        <item x="242"/>
        <item x="110"/>
        <item x="428"/>
        <item x="89"/>
        <item x="762"/>
        <item x="970"/>
        <item x="380"/>
        <item x="398"/>
        <item x="179"/>
        <item x="289"/>
        <item x="60"/>
        <item x="314"/>
        <item x="623"/>
        <item x="304"/>
        <item x="919"/>
        <item x="112"/>
        <item x="847"/>
        <item x="384"/>
        <item x="902"/>
        <item x="151"/>
        <item x="464"/>
        <item x="3"/>
        <item x="263"/>
        <item x="277"/>
        <item x="96"/>
        <item x="233"/>
        <item x="988"/>
        <item x="923"/>
        <item x="909"/>
        <item x="530"/>
        <item x="604"/>
        <item x="218"/>
        <item x="40"/>
        <item x="486"/>
        <item x="345"/>
        <item x="704"/>
        <item x="742"/>
        <item x="221"/>
        <item x="465"/>
        <item x="864"/>
        <item x="306"/>
        <item x="937"/>
        <item x="10"/>
        <item x="229"/>
        <item x="51"/>
        <item x="740"/>
        <item x="865"/>
        <item x="733"/>
        <item x="645"/>
        <item x="430"/>
        <item x="728"/>
        <item x="35"/>
        <item x="298"/>
        <item x="967"/>
        <item x="45"/>
        <item x="484"/>
        <item x="593"/>
        <item x="495"/>
        <item x="521"/>
        <item x="940"/>
        <item x="122"/>
        <item x="848"/>
        <item x="212"/>
        <item x="403"/>
        <item x="653"/>
        <item x="682"/>
        <item x="460"/>
        <item x="100"/>
        <item x="671"/>
        <item x="361"/>
        <item x="646"/>
        <item x="918"/>
        <item x="426"/>
        <item x="315"/>
        <item x="223"/>
        <item x="113"/>
        <item x="43"/>
        <item x="388"/>
        <item x="85"/>
        <item x="166"/>
        <item x="347"/>
        <item x="700"/>
        <item x="385"/>
        <item x="535"/>
        <item x="168"/>
        <item x="30"/>
        <item x="628"/>
        <item x="990"/>
        <item x="336"/>
        <item x="748"/>
        <item x="390"/>
        <item x="330"/>
        <item x="712"/>
        <item x="442"/>
        <item x="174"/>
        <item x="502"/>
        <item x="447"/>
        <item x="945"/>
        <item x="334"/>
        <item x="449"/>
        <item x="734"/>
        <item x="475"/>
        <item x="683"/>
        <item x="352"/>
        <item x="767"/>
        <item x="883"/>
        <item x="163"/>
        <item x="238"/>
        <item x="224"/>
        <item x="966"/>
        <item x="294"/>
        <item x="280"/>
        <item x="563"/>
        <item x="312"/>
        <item x="245"/>
        <item x="907"/>
        <item x="408"/>
        <item x="21"/>
        <item x="355"/>
        <item x="308"/>
        <item x="458"/>
        <item x="117"/>
        <item x="706"/>
        <item x="879"/>
        <item x="795"/>
        <item x="635"/>
        <item x="99"/>
        <item x="161"/>
        <item x="622"/>
        <item x="805"/>
        <item x="605"/>
        <item x="241"/>
        <item x="588"/>
        <item x="582"/>
        <item x="680"/>
        <item x="170"/>
        <item x="142"/>
        <item x="637"/>
        <item x="815"/>
        <item x="994"/>
        <item x="584"/>
        <item x="37"/>
        <item x="203"/>
        <item x="341"/>
        <item x="659"/>
        <item x="65"/>
        <item x="325"/>
        <item x="900"/>
        <item x="912"/>
        <item x="722"/>
        <item x="677"/>
        <item x="4"/>
        <item x="328"/>
        <item x="583"/>
        <item x="134"/>
        <item x="5"/>
        <item x="443"/>
        <item x="917"/>
        <item x="187"/>
        <item x="226"/>
        <item x="933"/>
        <item x="916"/>
        <item x="50"/>
        <item x="343"/>
        <item x="939"/>
        <item x="559"/>
        <item x="407"/>
        <item x="349"/>
        <item x="83"/>
        <item x="374"/>
        <item x="285"/>
        <item x="544"/>
        <item x="53"/>
        <item x="230"/>
        <item x="488"/>
        <item x="515"/>
        <item x="833"/>
        <item x="39"/>
        <item x="135"/>
        <item x="299"/>
        <item x="243"/>
        <item x="228"/>
        <item x="393"/>
        <item x="793"/>
        <item x="964"/>
        <item x="493"/>
        <item x="827"/>
        <item x="468"/>
        <item x="320"/>
        <item x="861"/>
        <item x="858"/>
        <item x="41"/>
        <item x="558"/>
        <item x="422"/>
        <item x="984"/>
        <item x="275"/>
        <item x="979"/>
        <item x="643"/>
        <item x="820"/>
        <item x="506"/>
        <item x="436"/>
        <item x="255"/>
        <item x="31"/>
        <item x="590"/>
        <item x="621"/>
        <item x="985"/>
        <item x="424"/>
        <item x="24"/>
        <item x="516"/>
        <item x="904"/>
        <item x="821"/>
        <item x="88"/>
        <item x="528"/>
        <item x="723"/>
        <item x="477"/>
        <item x="832"/>
        <item x="258"/>
        <item x="487"/>
        <item x="738"/>
        <item x="36"/>
        <item x="561"/>
        <item x="650"/>
        <item x="342"/>
        <item x="155"/>
        <item x="106"/>
        <item x="570"/>
        <item x="214"/>
        <item x="123"/>
        <item x="478"/>
        <item x="601"/>
        <item x="775"/>
        <item x="332"/>
        <item x="995"/>
        <item x="560"/>
        <item x="417"/>
        <item x="119"/>
        <item x="581"/>
        <item x="660"/>
        <item x="553"/>
        <item x="55"/>
        <item x="451"/>
        <item x="649"/>
        <item x="208"/>
        <item x="301"/>
        <item x="997"/>
        <item x="244"/>
        <item x="674"/>
        <item x="353"/>
        <item x="25"/>
        <item x="708"/>
        <item x="124"/>
        <item x="880"/>
        <item x="394"/>
        <item x="156"/>
        <item x="594"/>
        <item x="654"/>
        <item x="429"/>
        <item x="331"/>
        <item x="973"/>
        <item x="379"/>
        <item x="185"/>
        <item x="434"/>
        <item x="302"/>
        <item x="176"/>
        <item x="602"/>
        <item x="922"/>
        <item x="614"/>
        <item x="67"/>
        <item x="526"/>
        <item x="897"/>
        <item x="811"/>
        <item x="656"/>
        <item x="533"/>
        <item x="120"/>
        <item x="668"/>
        <item x="132"/>
        <item x="842"/>
        <item x="669"/>
        <item x="892"/>
        <item x="90"/>
        <item x="796"/>
        <item x="474"/>
        <item x="144"/>
        <item x="551"/>
        <item x="49"/>
        <item x="364"/>
        <item x="599"/>
        <item x="631"/>
        <item x="954"/>
        <item x="271"/>
        <item x="52"/>
        <item x="556"/>
        <item x="949"/>
        <item x="433"/>
        <item x="743"/>
        <item x="698"/>
        <item x="222"/>
        <item x="536"/>
        <item x="950"/>
        <item x="115"/>
        <item x="751"/>
        <item x="81"/>
        <item x="737"/>
        <item x="930"/>
        <item x="346"/>
        <item x="467"/>
        <item x="936"/>
        <item x="763"/>
        <item x="718"/>
        <item x="148"/>
        <item x="227"/>
        <item x="499"/>
        <item x="651"/>
        <item x="537"/>
        <item x="807"/>
        <item x="75"/>
        <item x="519"/>
        <item x="82"/>
        <item x="169"/>
        <item x="935"/>
        <item x="636"/>
        <item x="760"/>
        <item x="761"/>
        <item x="634"/>
        <item x="717"/>
        <item x="877"/>
        <item x="466"/>
        <item x="785"/>
        <item x="522"/>
        <item x="452"/>
        <item x="240"/>
        <item x="138"/>
        <item x="150"/>
        <item x="511"/>
        <item x="335"/>
        <item x="934"/>
        <item x="595"/>
        <item x="382"/>
        <item x="248"/>
        <item x="543"/>
        <item x="47"/>
        <item x="830"/>
        <item x="913"/>
        <item x="944"/>
        <item x="794"/>
        <item x="803"/>
        <item x="856"/>
        <item x="126"/>
        <item x="798"/>
        <item x="455"/>
        <item x="665"/>
        <item x="267"/>
        <item x="719"/>
        <item x="503"/>
        <item x="476"/>
        <item x="252"/>
        <item x="732"/>
        <item x="971"/>
        <item x="925"/>
        <item x="941"/>
        <item x="456"/>
        <item x="251"/>
        <item x="731"/>
        <item x="746"/>
        <item x="773"/>
        <item x="254"/>
        <item x="626"/>
        <item x="413"/>
        <item x="288"/>
        <item x="292"/>
        <item x="701"/>
        <item x="211"/>
        <item x="296"/>
        <item x="531"/>
        <item x="216"/>
        <item x="591"/>
        <item x="278"/>
        <item x="381"/>
        <item x="48"/>
        <item x="131"/>
        <item x="802"/>
        <item x="663"/>
        <item x="771"/>
        <item x="942"/>
        <item x="657"/>
        <item x="765"/>
        <item x="286"/>
        <item x="282"/>
        <item x="569"/>
        <item x="929"/>
        <item x="317"/>
        <item x="182"/>
        <item x="9"/>
        <item x="357"/>
        <item x="871"/>
        <item x="199"/>
        <item x="501"/>
        <item x="899"/>
        <item x="791"/>
        <item x="547"/>
        <item x="405"/>
        <item x="114"/>
        <item x="905"/>
        <item x="33"/>
        <item x="600"/>
        <item x="508"/>
        <item x="617"/>
        <item x="812"/>
        <item x="249"/>
        <item x="473"/>
        <item x="74"/>
        <item x="18"/>
        <item x="691"/>
        <item x="612"/>
        <item x="965"/>
        <item x="368"/>
        <item x="724"/>
        <item x="149"/>
        <item x="419"/>
        <item x="574"/>
        <item x="234"/>
        <item x="66"/>
        <item x="735"/>
        <item x="800"/>
        <item x="70"/>
        <item x="524"/>
        <item x="121"/>
        <item x="822"/>
        <item x="80"/>
        <item x="177"/>
        <item x="125"/>
        <item x="461"/>
        <item x="438"/>
        <item x="295"/>
        <item x="797"/>
        <item x="327"/>
        <item x="181"/>
        <item x="219"/>
        <item x="261"/>
        <item x="483"/>
        <item x="778"/>
        <item x="790"/>
        <item x="620"/>
        <item x="857"/>
        <item x="982"/>
        <item x="611"/>
        <item x="137"/>
        <item x="247"/>
        <item x="504"/>
        <item x="184"/>
        <item x="29"/>
        <item x="369"/>
        <item x="101"/>
        <item x="427"/>
        <item x="527"/>
        <item x="197"/>
        <item x="963"/>
        <item x="625"/>
        <item x="893"/>
        <item x="485"/>
        <item x="613"/>
        <item x="890"/>
        <item x="957"/>
        <item x="387"/>
        <item x="914"/>
        <item x="145"/>
        <item x="977"/>
        <item x="11"/>
        <item x="57"/>
        <item x="300"/>
        <item x="616"/>
        <item x="59"/>
        <item x="190"/>
        <item x="481"/>
        <item x="28"/>
        <item x="567"/>
        <item x="999"/>
        <item x="360"/>
        <item x="512"/>
        <item x="906"/>
        <item x="496"/>
        <item x="667"/>
        <item x="283"/>
        <item x="749"/>
        <item x="852"/>
        <item x="431"/>
        <item x="130"/>
        <item x="209"/>
        <item x="329"/>
        <item x="437"/>
        <item x="270"/>
        <item x="586"/>
        <item x="210"/>
        <item x="672"/>
        <item x="414"/>
        <item x="128"/>
        <item x="675"/>
        <item x="707"/>
        <item x="695"/>
        <item x="948"/>
        <item x="545"/>
        <item x="17"/>
        <item x="383"/>
        <item x="554"/>
        <item x="644"/>
        <item x="826"/>
        <item x="215"/>
        <item x="518"/>
        <item x="509"/>
        <item x="529"/>
        <item x="548"/>
        <item x="673"/>
        <item x="489"/>
        <item x="448"/>
        <item x="868"/>
        <item x="266"/>
        <item x="498"/>
        <item x="93"/>
        <item x="804"/>
        <item x="391"/>
        <item x="201"/>
        <item x="348"/>
        <item x="690"/>
        <item x="689"/>
        <item x="968"/>
        <item x="269"/>
        <item x="237"/>
        <item x="462"/>
        <item x="262"/>
        <item x="539"/>
        <item x="658"/>
        <item x="862"/>
        <item x="823"/>
        <item x="799"/>
        <item x="837"/>
        <item x="976"/>
        <item x="891"/>
        <item x="14"/>
        <item x="517"/>
        <item x="780"/>
        <item x="195"/>
        <item x="824"/>
        <item x="980"/>
        <item x="910"/>
        <item x="592"/>
        <item x="987"/>
        <item x="178"/>
        <item x="105"/>
        <item x="376"/>
        <item x="681"/>
        <item x="322"/>
        <item x="998"/>
        <item x="6"/>
        <item x="377"/>
        <item x="232"/>
        <item x="389"/>
        <item x="951"/>
        <item x="159"/>
        <item x="630"/>
        <item x="235"/>
        <item x="116"/>
        <item x="640"/>
        <item x="494"/>
        <item t="default"/>
      </items>
    </pivotField>
    <pivotField showAll="0">
      <items count="6">
        <item x="3"/>
        <item x="2"/>
        <item x="1"/>
        <item x="0"/>
        <item x="4"/>
        <item t="default"/>
      </items>
    </pivotField>
    <pivotField showAll="0"/>
    <pivotField dataField="1" showAll="0"/>
    <pivotField axis="axisRow" numFmtId="14" showAll="0">
      <items count="347">
        <item x="68"/>
        <item x="61"/>
        <item x="299"/>
        <item x="183"/>
        <item x="71"/>
        <item x="282"/>
        <item x="23"/>
        <item x="135"/>
        <item x="104"/>
        <item x="1"/>
        <item x="171"/>
        <item x="302"/>
        <item x="150"/>
        <item x="45"/>
        <item x="311"/>
        <item x="214"/>
        <item x="266"/>
        <item x="148"/>
        <item x="113"/>
        <item x="154"/>
        <item x="6"/>
        <item x="158"/>
        <item x="78"/>
        <item x="227"/>
        <item x="232"/>
        <item x="215"/>
        <item x="137"/>
        <item x="292"/>
        <item x="314"/>
        <item x="138"/>
        <item x="169"/>
        <item x="25"/>
        <item x="340"/>
        <item x="333"/>
        <item x="210"/>
        <item x="208"/>
        <item x="21"/>
        <item x="336"/>
        <item x="56"/>
        <item x="118"/>
        <item x="241"/>
        <item x="200"/>
        <item x="325"/>
        <item x="90"/>
        <item x="112"/>
        <item x="185"/>
        <item x="188"/>
        <item x="14"/>
        <item x="99"/>
        <item x="259"/>
        <item x="236"/>
        <item x="156"/>
        <item x="65"/>
        <item x="275"/>
        <item x="342"/>
        <item x="22"/>
        <item x="77"/>
        <item x="256"/>
        <item x="229"/>
        <item x="181"/>
        <item x="16"/>
        <item x="211"/>
        <item x="86"/>
        <item x="245"/>
        <item x="328"/>
        <item x="324"/>
        <item x="195"/>
        <item x="0"/>
        <item x="101"/>
        <item x="305"/>
        <item x="277"/>
        <item x="15"/>
        <item x="323"/>
        <item x="337"/>
        <item x="136"/>
        <item x="216"/>
        <item x="290"/>
        <item x="253"/>
        <item x="233"/>
        <item x="223"/>
        <item x="120"/>
        <item x="166"/>
        <item x="335"/>
        <item x="3"/>
        <item x="341"/>
        <item x="186"/>
        <item x="228"/>
        <item x="116"/>
        <item x="18"/>
        <item x="182"/>
        <item x="264"/>
        <item x="192"/>
        <item x="30"/>
        <item x="174"/>
        <item x="226"/>
        <item x="97"/>
        <item x="9"/>
        <item x="242"/>
        <item x="149"/>
        <item x="59"/>
        <item x="237"/>
        <item x="244"/>
        <item x="212"/>
        <item x="60"/>
        <item x="310"/>
        <item x="178"/>
        <item x="247"/>
        <item x="67"/>
        <item x="298"/>
        <item x="268"/>
        <item x="88"/>
        <item x="308"/>
        <item x="224"/>
        <item x="162"/>
        <item x="234"/>
        <item x="218"/>
        <item x="29"/>
        <item x="197"/>
        <item x="271"/>
        <item x="12"/>
        <item x="75"/>
        <item x="147"/>
        <item x="54"/>
        <item x="17"/>
        <item x="173"/>
        <item x="50"/>
        <item x="345"/>
        <item x="24"/>
        <item x="128"/>
        <item x="47"/>
        <item x="252"/>
        <item x="131"/>
        <item x="7"/>
        <item x="238"/>
        <item x="87"/>
        <item x="198"/>
        <item x="194"/>
        <item x="193"/>
        <item x="108"/>
        <item x="79"/>
        <item x="146"/>
        <item x="286"/>
        <item x="165"/>
        <item x="327"/>
        <item x="81"/>
        <item x="187"/>
        <item x="258"/>
        <item x="52"/>
        <item x="105"/>
        <item x="100"/>
        <item x="72"/>
        <item x="144"/>
        <item x="121"/>
        <item x="37"/>
        <item x="124"/>
        <item x="91"/>
        <item x="199"/>
        <item x="157"/>
        <item x="111"/>
        <item x="140"/>
        <item x="44"/>
        <item x="273"/>
        <item x="145"/>
        <item x="27"/>
        <item x="203"/>
        <item x="254"/>
        <item x="205"/>
        <item x="320"/>
        <item x="161"/>
        <item x="139"/>
        <item x="201"/>
        <item x="288"/>
        <item x="225"/>
        <item x="230"/>
        <item x="239"/>
        <item x="133"/>
        <item x="82"/>
        <item x="151"/>
        <item x="344"/>
        <item x="84"/>
        <item x="39"/>
        <item x="35"/>
        <item x="206"/>
        <item x="250"/>
        <item x="294"/>
        <item x="102"/>
        <item x="326"/>
        <item x="306"/>
        <item x="153"/>
        <item x="123"/>
        <item x="222"/>
        <item x="89"/>
        <item x="329"/>
        <item x="339"/>
        <item x="180"/>
        <item x="263"/>
        <item x="38"/>
        <item x="95"/>
        <item x="283"/>
        <item x="63"/>
        <item x="309"/>
        <item x="94"/>
        <item x="26"/>
        <item x="246"/>
        <item x="184"/>
        <item x="278"/>
        <item x="28"/>
        <item x="13"/>
        <item x="167"/>
        <item x="96"/>
        <item x="19"/>
        <item x="122"/>
        <item x="334"/>
        <item x="93"/>
        <item x="83"/>
        <item x="318"/>
        <item x="92"/>
        <item x="272"/>
        <item x="172"/>
        <item x="43"/>
        <item x="70"/>
        <item x="276"/>
        <item x="270"/>
        <item x="331"/>
        <item x="125"/>
        <item x="40"/>
        <item x="168"/>
        <item x="221"/>
        <item x="179"/>
        <item x="66"/>
        <item x="190"/>
        <item x="248"/>
        <item x="107"/>
        <item x="240"/>
        <item x="260"/>
        <item x="255"/>
        <item x="11"/>
        <item x="64"/>
        <item x="209"/>
        <item x="48"/>
        <item x="119"/>
        <item x="110"/>
        <item x="287"/>
        <item x="274"/>
        <item x="343"/>
        <item x="31"/>
        <item x="130"/>
        <item x="170"/>
        <item x="261"/>
        <item x="202"/>
        <item x="114"/>
        <item x="155"/>
        <item x="289"/>
        <item x="213"/>
        <item x="76"/>
        <item x="285"/>
        <item x="33"/>
        <item x="58"/>
        <item x="2"/>
        <item x="5"/>
        <item x="249"/>
        <item x="160"/>
        <item x="322"/>
        <item x="296"/>
        <item x="217"/>
        <item x="53"/>
        <item x="280"/>
        <item x="8"/>
        <item x="141"/>
        <item x="279"/>
        <item x="251"/>
        <item x="321"/>
        <item x="55"/>
        <item x="317"/>
        <item x="69"/>
        <item x="80"/>
        <item x="332"/>
        <item x="34"/>
        <item x="220"/>
        <item x="62"/>
        <item x="103"/>
        <item x="281"/>
        <item x="312"/>
        <item x="74"/>
        <item x="46"/>
        <item x="300"/>
        <item x="330"/>
        <item x="109"/>
        <item x="106"/>
        <item x="196"/>
        <item x="32"/>
        <item x="307"/>
        <item x="235"/>
        <item x="315"/>
        <item x="132"/>
        <item x="163"/>
        <item x="164"/>
        <item x="189"/>
        <item x="207"/>
        <item x="269"/>
        <item x="49"/>
        <item x="10"/>
        <item x="295"/>
        <item x="57"/>
        <item x="219"/>
        <item x="301"/>
        <item x="304"/>
        <item x="303"/>
        <item x="293"/>
        <item x="117"/>
        <item x="20"/>
        <item x="265"/>
        <item x="316"/>
        <item x="262"/>
        <item x="98"/>
        <item x="51"/>
        <item x="204"/>
        <item x="175"/>
        <item x="73"/>
        <item x="134"/>
        <item x="4"/>
        <item x="319"/>
        <item x="142"/>
        <item x="338"/>
        <item x="42"/>
        <item x="152"/>
        <item x="127"/>
        <item x="143"/>
        <item x="115"/>
        <item x="159"/>
        <item x="191"/>
        <item x="243"/>
        <item x="129"/>
        <item x="297"/>
        <item x="177"/>
        <item x="284"/>
        <item x="36"/>
        <item x="126"/>
        <item x="267"/>
        <item x="41"/>
        <item x="231"/>
        <item x="291"/>
        <item x="176"/>
        <item x="85"/>
        <item x="313"/>
        <item x="257"/>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2">
    <field x="14"/>
    <field x="7"/>
  </rowFields>
  <rowItems count="3">
    <i>
      <x v="1"/>
    </i>
    <i>
      <x v="2"/>
    </i>
    <i t="grand">
      <x/>
    </i>
  </rowItems>
  <colItems count="1">
    <i/>
  </colItems>
  <dataFields count="1">
    <dataField name="Sum of Total Sales (INR)" fld="6"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1"/>
          </reference>
        </references>
      </pivotArea>
    </chartFormat>
    <chartFormat chart="2" format="4">
      <pivotArea type="data" outline="0" fieldPosition="0">
        <references count="2">
          <reference field="4294967294" count="1" selected="0">
            <x v="0"/>
          </reference>
          <reference field="14" count="1" selected="0">
            <x v="2"/>
          </reference>
        </references>
      </pivotArea>
    </chartFormat>
  </chart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11BE75-88D3-4130-8C46-258E05ACDF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3:V9" firstHeaderRow="1" firstDataRow="1" firstDataCol="1"/>
  <pivotFields count="15">
    <pivotField showAll="0"/>
    <pivotField showAll="0"/>
    <pivotField axis="axisRow" showAll="0">
      <items count="6">
        <item x="0"/>
        <item x="2"/>
        <item x="4"/>
        <item x="3"/>
        <item x="1"/>
        <item t="default"/>
      </items>
    </pivotField>
    <pivotField showAll="0"/>
    <pivotField dataField="1" showAll="0">
      <items count="6">
        <item x="3"/>
        <item x="2"/>
        <item x="1"/>
        <item x="0"/>
        <item x="4"/>
        <item t="default"/>
      </items>
    </pivotField>
    <pivotField showAll="0"/>
    <pivotField showAll="0"/>
    <pivotField numFmtId="14" showAll="0">
      <items count="347">
        <item x="68"/>
        <item x="61"/>
        <item x="299"/>
        <item x="183"/>
        <item x="71"/>
        <item x="282"/>
        <item x="23"/>
        <item x="135"/>
        <item x="104"/>
        <item x="1"/>
        <item x="171"/>
        <item x="302"/>
        <item x="150"/>
        <item x="45"/>
        <item x="311"/>
        <item x="214"/>
        <item x="266"/>
        <item x="148"/>
        <item x="113"/>
        <item x="154"/>
        <item x="6"/>
        <item x="158"/>
        <item x="78"/>
        <item x="227"/>
        <item x="232"/>
        <item x="215"/>
        <item x="137"/>
        <item x="292"/>
        <item x="314"/>
        <item x="138"/>
        <item x="169"/>
        <item x="25"/>
        <item x="340"/>
        <item x="333"/>
        <item x="210"/>
        <item x="208"/>
        <item x="21"/>
        <item x="336"/>
        <item x="56"/>
        <item x="118"/>
        <item x="241"/>
        <item x="200"/>
        <item x="325"/>
        <item x="90"/>
        <item x="112"/>
        <item x="185"/>
        <item x="188"/>
        <item x="14"/>
        <item x="99"/>
        <item x="259"/>
        <item x="236"/>
        <item x="156"/>
        <item x="65"/>
        <item x="275"/>
        <item x="342"/>
        <item x="22"/>
        <item x="77"/>
        <item x="256"/>
        <item x="229"/>
        <item x="181"/>
        <item x="16"/>
        <item x="211"/>
        <item x="86"/>
        <item x="245"/>
        <item x="328"/>
        <item x="324"/>
        <item x="195"/>
        <item x="0"/>
        <item x="101"/>
        <item x="305"/>
        <item x="277"/>
        <item x="15"/>
        <item x="323"/>
        <item x="337"/>
        <item x="136"/>
        <item x="216"/>
        <item x="290"/>
        <item x="253"/>
        <item x="233"/>
        <item x="223"/>
        <item x="120"/>
        <item x="166"/>
        <item x="335"/>
        <item x="3"/>
        <item x="341"/>
        <item x="186"/>
        <item x="228"/>
        <item x="116"/>
        <item x="18"/>
        <item x="182"/>
        <item x="264"/>
        <item x="192"/>
        <item x="30"/>
        <item x="174"/>
        <item x="226"/>
        <item x="97"/>
        <item x="9"/>
        <item x="242"/>
        <item x="149"/>
        <item x="59"/>
        <item x="237"/>
        <item x="244"/>
        <item x="212"/>
        <item x="60"/>
        <item x="310"/>
        <item x="178"/>
        <item x="247"/>
        <item x="67"/>
        <item x="298"/>
        <item x="268"/>
        <item x="88"/>
        <item x="308"/>
        <item x="224"/>
        <item x="162"/>
        <item x="234"/>
        <item x="218"/>
        <item x="29"/>
        <item x="197"/>
        <item x="271"/>
        <item x="12"/>
        <item x="75"/>
        <item x="147"/>
        <item x="54"/>
        <item x="17"/>
        <item x="173"/>
        <item x="50"/>
        <item x="345"/>
        <item x="24"/>
        <item x="128"/>
        <item x="47"/>
        <item x="252"/>
        <item x="131"/>
        <item x="7"/>
        <item x="238"/>
        <item x="87"/>
        <item x="198"/>
        <item x="194"/>
        <item x="193"/>
        <item x="108"/>
        <item x="79"/>
        <item x="146"/>
        <item x="286"/>
        <item x="165"/>
        <item x="327"/>
        <item x="81"/>
        <item x="187"/>
        <item x="258"/>
        <item x="52"/>
        <item x="105"/>
        <item x="100"/>
        <item x="72"/>
        <item x="144"/>
        <item x="121"/>
        <item x="37"/>
        <item x="124"/>
        <item x="91"/>
        <item x="199"/>
        <item x="157"/>
        <item x="111"/>
        <item x="140"/>
        <item x="44"/>
        <item x="273"/>
        <item x="145"/>
        <item x="27"/>
        <item x="203"/>
        <item x="254"/>
        <item x="205"/>
        <item x="320"/>
        <item x="161"/>
        <item x="139"/>
        <item x="201"/>
        <item x="288"/>
        <item x="225"/>
        <item x="230"/>
        <item x="239"/>
        <item x="133"/>
        <item x="82"/>
        <item x="151"/>
        <item x="344"/>
        <item x="84"/>
        <item x="39"/>
        <item x="35"/>
        <item x="206"/>
        <item x="250"/>
        <item x="294"/>
        <item x="102"/>
        <item x="326"/>
        <item x="306"/>
        <item x="153"/>
        <item x="123"/>
        <item x="222"/>
        <item x="89"/>
        <item x="329"/>
        <item x="339"/>
        <item x="180"/>
        <item x="263"/>
        <item x="38"/>
        <item x="95"/>
        <item x="283"/>
        <item x="63"/>
        <item x="309"/>
        <item x="94"/>
        <item x="26"/>
        <item x="246"/>
        <item x="184"/>
        <item x="278"/>
        <item x="28"/>
        <item x="13"/>
        <item x="167"/>
        <item x="96"/>
        <item x="19"/>
        <item x="122"/>
        <item x="334"/>
        <item x="93"/>
        <item x="83"/>
        <item x="318"/>
        <item x="92"/>
        <item x="272"/>
        <item x="172"/>
        <item x="43"/>
        <item x="70"/>
        <item x="276"/>
        <item x="270"/>
        <item x="331"/>
        <item x="125"/>
        <item x="40"/>
        <item x="168"/>
        <item x="221"/>
        <item x="179"/>
        <item x="66"/>
        <item x="190"/>
        <item x="248"/>
        <item x="107"/>
        <item x="240"/>
        <item x="260"/>
        <item x="255"/>
        <item x="11"/>
        <item x="64"/>
        <item x="209"/>
        <item x="48"/>
        <item x="119"/>
        <item x="110"/>
        <item x="287"/>
        <item x="274"/>
        <item x="343"/>
        <item x="31"/>
        <item x="130"/>
        <item x="170"/>
        <item x="261"/>
        <item x="202"/>
        <item x="114"/>
        <item x="155"/>
        <item x="289"/>
        <item x="213"/>
        <item x="76"/>
        <item x="285"/>
        <item x="33"/>
        <item x="58"/>
        <item x="2"/>
        <item x="5"/>
        <item x="249"/>
        <item x="160"/>
        <item x="322"/>
        <item x="296"/>
        <item x="217"/>
        <item x="53"/>
        <item x="280"/>
        <item x="8"/>
        <item x="141"/>
        <item x="279"/>
        <item x="251"/>
        <item x="321"/>
        <item x="55"/>
        <item x="317"/>
        <item x="69"/>
        <item x="80"/>
        <item x="332"/>
        <item x="34"/>
        <item x="220"/>
        <item x="62"/>
        <item x="103"/>
        <item x="281"/>
        <item x="312"/>
        <item x="74"/>
        <item x="46"/>
        <item x="300"/>
        <item x="330"/>
        <item x="109"/>
        <item x="106"/>
        <item x="196"/>
        <item x="32"/>
        <item x="307"/>
        <item x="235"/>
        <item x="315"/>
        <item x="132"/>
        <item x="163"/>
        <item x="164"/>
        <item x="189"/>
        <item x="207"/>
        <item x="269"/>
        <item x="49"/>
        <item x="10"/>
        <item x="295"/>
        <item x="57"/>
        <item x="219"/>
        <item x="301"/>
        <item x="304"/>
        <item x="303"/>
        <item x="293"/>
        <item x="117"/>
        <item x="20"/>
        <item x="265"/>
        <item x="316"/>
        <item x="262"/>
        <item x="98"/>
        <item x="51"/>
        <item x="204"/>
        <item x="175"/>
        <item x="73"/>
        <item x="134"/>
        <item x="4"/>
        <item x="319"/>
        <item x="142"/>
        <item x="338"/>
        <item x="42"/>
        <item x="152"/>
        <item x="127"/>
        <item x="143"/>
        <item x="115"/>
        <item x="159"/>
        <item x="191"/>
        <item x="243"/>
        <item x="129"/>
        <item x="297"/>
        <item x="177"/>
        <item x="284"/>
        <item x="36"/>
        <item x="126"/>
        <item x="267"/>
        <item x="41"/>
        <item x="231"/>
        <item x="291"/>
        <item x="176"/>
        <item x="85"/>
        <item x="313"/>
        <item x="257"/>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
  </rowFields>
  <rowItems count="6">
    <i>
      <x/>
    </i>
    <i>
      <x v="1"/>
    </i>
    <i>
      <x v="2"/>
    </i>
    <i>
      <x v="3"/>
    </i>
    <i>
      <x v="4"/>
    </i>
    <i t="grand">
      <x/>
    </i>
  </rowItems>
  <colItems count="1">
    <i/>
  </colItems>
  <dataFields count="1">
    <dataField name="Sum of Quantity Sold" fld="4"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4"/>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2" count="1" selected="0">
            <x v="0"/>
          </reference>
        </references>
      </pivotArea>
    </chartFormat>
    <chartFormat chart="4" format="13">
      <pivotArea type="data" outline="0" fieldPosition="0">
        <references count="2">
          <reference field="4294967294" count="1" selected="0">
            <x v="0"/>
          </reference>
          <reference field="2" count="1" selected="0">
            <x v="1"/>
          </reference>
        </references>
      </pivotArea>
    </chartFormat>
    <chartFormat chart="4" format="14">
      <pivotArea type="data" outline="0" fieldPosition="0">
        <references count="2">
          <reference field="4294967294" count="1" selected="0">
            <x v="0"/>
          </reference>
          <reference field="2" count="1" selected="0">
            <x v="2"/>
          </reference>
        </references>
      </pivotArea>
    </chartFormat>
    <chartFormat chart="4" format="15">
      <pivotArea type="data" outline="0" fieldPosition="0">
        <references count="2">
          <reference field="4294967294" count="1" selected="0">
            <x v="0"/>
          </reference>
          <reference field="2" count="1" selected="0">
            <x v="3"/>
          </reference>
        </references>
      </pivotArea>
    </chartFormat>
    <chartFormat chart="4" format="16">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DDD541-9727-44F4-8633-9778FACE0F8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X3:Y9" firstHeaderRow="1" firstDataRow="1" firstDataCol="1"/>
  <pivotFields count="15">
    <pivotField showAll="0"/>
    <pivotField showAll="0">
      <items count="26">
        <item x="1"/>
        <item x="2"/>
        <item x="11"/>
        <item x="13"/>
        <item x="24"/>
        <item x="9"/>
        <item x="16"/>
        <item x="7"/>
        <item x="6"/>
        <item x="10"/>
        <item x="21"/>
        <item x="17"/>
        <item x="18"/>
        <item x="3"/>
        <item x="20"/>
        <item x="8"/>
        <item x="19"/>
        <item x="0"/>
        <item x="4"/>
        <item x="14"/>
        <item x="23"/>
        <item x="5"/>
        <item x="12"/>
        <item x="22"/>
        <item x="15"/>
        <item t="default"/>
      </items>
    </pivotField>
    <pivotField axis="axisRow" showAll="0">
      <items count="6">
        <item x="0"/>
        <item x="2"/>
        <item x="4"/>
        <item x="3"/>
        <item x="1"/>
        <item t="default"/>
      </items>
    </pivotField>
    <pivotField showAll="0"/>
    <pivotField showAll="0">
      <items count="6">
        <item h="1" x="3"/>
        <item x="2"/>
        <item h="1" x="1"/>
        <item h="1" x="0"/>
        <item h="1" x="4"/>
        <item t="default"/>
      </items>
    </pivotField>
    <pivotField showAll="0"/>
    <pivotField showAll="0"/>
    <pivotField numFmtId="14" showAll="0">
      <items count="347">
        <item x="68"/>
        <item x="61"/>
        <item x="299"/>
        <item x="183"/>
        <item x="71"/>
        <item x="282"/>
        <item x="23"/>
        <item x="135"/>
        <item x="104"/>
        <item x="1"/>
        <item x="171"/>
        <item x="302"/>
        <item x="150"/>
        <item x="45"/>
        <item x="311"/>
        <item x="214"/>
        <item x="266"/>
        <item x="148"/>
        <item x="113"/>
        <item x="154"/>
        <item x="6"/>
        <item x="158"/>
        <item x="78"/>
        <item x="227"/>
        <item x="232"/>
        <item x="215"/>
        <item x="137"/>
        <item x="292"/>
        <item x="314"/>
        <item x="138"/>
        <item x="169"/>
        <item x="25"/>
        <item x="340"/>
        <item x="333"/>
        <item x="210"/>
        <item x="208"/>
        <item x="21"/>
        <item x="336"/>
        <item x="56"/>
        <item x="118"/>
        <item x="241"/>
        <item x="200"/>
        <item x="325"/>
        <item x="90"/>
        <item x="112"/>
        <item x="185"/>
        <item x="188"/>
        <item x="14"/>
        <item x="99"/>
        <item x="259"/>
        <item x="236"/>
        <item x="156"/>
        <item x="65"/>
        <item x="275"/>
        <item x="342"/>
        <item x="22"/>
        <item x="77"/>
        <item x="256"/>
        <item x="229"/>
        <item x="181"/>
        <item x="16"/>
        <item x="211"/>
        <item x="86"/>
        <item x="245"/>
        <item x="328"/>
        <item x="324"/>
        <item x="195"/>
        <item x="0"/>
        <item x="101"/>
        <item x="305"/>
        <item x="277"/>
        <item x="15"/>
        <item x="323"/>
        <item x="337"/>
        <item x="136"/>
        <item x="216"/>
        <item x="290"/>
        <item x="253"/>
        <item x="233"/>
        <item x="223"/>
        <item x="120"/>
        <item x="166"/>
        <item x="335"/>
        <item x="3"/>
        <item x="341"/>
        <item x="186"/>
        <item x="228"/>
        <item x="116"/>
        <item x="18"/>
        <item x="182"/>
        <item x="264"/>
        <item x="192"/>
        <item x="30"/>
        <item x="174"/>
        <item x="226"/>
        <item x="97"/>
        <item x="9"/>
        <item x="242"/>
        <item x="149"/>
        <item x="59"/>
        <item x="237"/>
        <item x="244"/>
        <item x="212"/>
        <item x="60"/>
        <item x="310"/>
        <item x="178"/>
        <item x="247"/>
        <item x="67"/>
        <item x="298"/>
        <item x="268"/>
        <item x="88"/>
        <item x="308"/>
        <item x="224"/>
        <item x="162"/>
        <item x="234"/>
        <item x="218"/>
        <item x="29"/>
        <item x="197"/>
        <item x="271"/>
        <item x="12"/>
        <item x="75"/>
        <item x="147"/>
        <item x="54"/>
        <item x="17"/>
        <item x="173"/>
        <item x="50"/>
        <item x="345"/>
        <item x="24"/>
        <item x="128"/>
        <item x="47"/>
        <item x="252"/>
        <item x="131"/>
        <item x="7"/>
        <item x="238"/>
        <item x="87"/>
        <item x="198"/>
        <item x="194"/>
        <item x="193"/>
        <item x="108"/>
        <item x="79"/>
        <item x="146"/>
        <item x="286"/>
        <item x="165"/>
        <item x="327"/>
        <item x="81"/>
        <item x="187"/>
        <item x="258"/>
        <item x="52"/>
        <item x="105"/>
        <item x="100"/>
        <item x="72"/>
        <item x="144"/>
        <item x="121"/>
        <item x="37"/>
        <item x="124"/>
        <item x="91"/>
        <item x="199"/>
        <item x="157"/>
        <item x="111"/>
        <item x="140"/>
        <item x="44"/>
        <item x="273"/>
        <item x="145"/>
        <item x="27"/>
        <item x="203"/>
        <item x="254"/>
        <item x="205"/>
        <item x="320"/>
        <item x="161"/>
        <item x="139"/>
        <item x="201"/>
        <item x="288"/>
        <item x="225"/>
        <item x="230"/>
        <item x="239"/>
        <item x="133"/>
        <item x="82"/>
        <item x="151"/>
        <item x="344"/>
        <item x="84"/>
        <item x="39"/>
        <item x="35"/>
        <item x="206"/>
        <item x="250"/>
        <item x="294"/>
        <item x="102"/>
        <item x="326"/>
        <item x="306"/>
        <item x="153"/>
        <item x="123"/>
        <item x="222"/>
        <item x="89"/>
        <item x="329"/>
        <item x="339"/>
        <item x="180"/>
        <item x="263"/>
        <item x="38"/>
        <item x="95"/>
        <item x="283"/>
        <item x="63"/>
        <item x="309"/>
        <item x="94"/>
        <item x="26"/>
        <item x="246"/>
        <item x="184"/>
        <item x="278"/>
        <item x="28"/>
        <item x="13"/>
        <item x="167"/>
        <item x="96"/>
        <item x="19"/>
        <item x="122"/>
        <item x="334"/>
        <item x="93"/>
        <item x="83"/>
        <item x="318"/>
        <item x="92"/>
        <item x="272"/>
        <item x="172"/>
        <item x="43"/>
        <item x="70"/>
        <item x="276"/>
        <item x="270"/>
        <item x="331"/>
        <item x="125"/>
        <item x="40"/>
        <item x="168"/>
        <item x="221"/>
        <item x="179"/>
        <item x="66"/>
        <item x="190"/>
        <item x="248"/>
        <item x="107"/>
        <item x="240"/>
        <item x="260"/>
        <item x="255"/>
        <item x="11"/>
        <item x="64"/>
        <item x="209"/>
        <item x="48"/>
        <item x="119"/>
        <item x="110"/>
        <item x="287"/>
        <item x="274"/>
        <item x="343"/>
        <item x="31"/>
        <item x="130"/>
        <item x="170"/>
        <item x="261"/>
        <item x="202"/>
        <item x="114"/>
        <item x="155"/>
        <item x="289"/>
        <item x="213"/>
        <item x="76"/>
        <item x="285"/>
        <item x="33"/>
        <item x="58"/>
        <item x="2"/>
        <item x="5"/>
        <item x="249"/>
        <item x="160"/>
        <item x="322"/>
        <item x="296"/>
        <item x="217"/>
        <item x="53"/>
        <item x="280"/>
        <item x="8"/>
        <item x="141"/>
        <item x="279"/>
        <item x="251"/>
        <item x="321"/>
        <item x="55"/>
        <item x="317"/>
        <item x="69"/>
        <item x="80"/>
        <item x="332"/>
        <item x="34"/>
        <item x="220"/>
        <item x="62"/>
        <item x="103"/>
        <item x="281"/>
        <item x="312"/>
        <item x="74"/>
        <item x="46"/>
        <item x="300"/>
        <item x="330"/>
        <item x="109"/>
        <item x="106"/>
        <item x="196"/>
        <item x="32"/>
        <item x="307"/>
        <item x="235"/>
        <item x="315"/>
        <item x="132"/>
        <item x="163"/>
        <item x="164"/>
        <item x="189"/>
        <item x="207"/>
        <item x="269"/>
        <item x="49"/>
        <item x="10"/>
        <item x="295"/>
        <item x="57"/>
        <item x="219"/>
        <item x="301"/>
        <item x="304"/>
        <item x="303"/>
        <item x="293"/>
        <item x="117"/>
        <item x="20"/>
        <item x="265"/>
        <item x="316"/>
        <item x="262"/>
        <item x="98"/>
        <item x="51"/>
        <item x="204"/>
        <item x="175"/>
        <item x="73"/>
        <item x="134"/>
        <item x="4"/>
        <item x="319"/>
        <item x="142"/>
        <item x="338"/>
        <item x="42"/>
        <item x="152"/>
        <item x="127"/>
        <item x="143"/>
        <item x="115"/>
        <item x="159"/>
        <item x="191"/>
        <item x="243"/>
        <item x="129"/>
        <item x="297"/>
        <item x="177"/>
        <item x="284"/>
        <item x="36"/>
        <item x="126"/>
        <item x="267"/>
        <item x="41"/>
        <item x="231"/>
        <item x="291"/>
        <item x="176"/>
        <item x="85"/>
        <item x="313"/>
        <item x="257"/>
        <item t="default"/>
      </items>
    </pivotField>
    <pivotField showAll="0"/>
    <pivotField dataField="1"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Items count="1">
    <i/>
  </colItems>
  <dataFields count="1">
    <dataField name="Average of Customer Rating" fld="9" subtotal="average"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B1E06F-645B-433F-A82C-2DD6A12CE9A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B2:AC9" firstHeaderRow="1" firstDataRow="1" firstDataCol="1"/>
  <pivotFields count="15">
    <pivotField dataField="1" showAll="0"/>
    <pivotField showAll="0">
      <items count="26">
        <item x="1"/>
        <item x="2"/>
        <item x="11"/>
        <item x="13"/>
        <item x="24"/>
        <item x="9"/>
        <item x="16"/>
        <item x="7"/>
        <item x="6"/>
        <item x="10"/>
        <item x="21"/>
        <item x="17"/>
        <item x="18"/>
        <item x="3"/>
        <item x="20"/>
        <item x="8"/>
        <item x="19"/>
        <item x="0"/>
        <item x="4"/>
        <item x="14"/>
        <item x="23"/>
        <item x="5"/>
        <item x="12"/>
        <item x="22"/>
        <item x="15"/>
        <item t="default"/>
      </items>
    </pivotField>
    <pivotField showAll="0"/>
    <pivotField showAll="0"/>
    <pivotField showAll="0"/>
    <pivotField showAll="0"/>
    <pivotField showAll="0"/>
    <pivotField numFmtId="14" showAll="0">
      <items count="347">
        <item x="68"/>
        <item x="61"/>
        <item x="299"/>
        <item x="183"/>
        <item x="71"/>
        <item x="282"/>
        <item x="23"/>
        <item x="135"/>
        <item x="104"/>
        <item x="1"/>
        <item x="171"/>
        <item x="302"/>
        <item x="150"/>
        <item x="45"/>
        <item x="311"/>
        <item x="214"/>
        <item x="266"/>
        <item x="148"/>
        <item x="113"/>
        <item x="154"/>
        <item x="6"/>
        <item x="158"/>
        <item x="78"/>
        <item x="227"/>
        <item x="232"/>
        <item x="215"/>
        <item x="137"/>
        <item x="292"/>
        <item x="314"/>
        <item x="138"/>
        <item x="169"/>
        <item x="25"/>
        <item x="340"/>
        <item x="333"/>
        <item x="210"/>
        <item x="208"/>
        <item x="21"/>
        <item x="336"/>
        <item x="56"/>
        <item x="118"/>
        <item x="241"/>
        <item x="200"/>
        <item x="325"/>
        <item x="90"/>
        <item x="112"/>
        <item x="185"/>
        <item x="188"/>
        <item x="14"/>
        <item x="99"/>
        <item x="259"/>
        <item x="236"/>
        <item x="156"/>
        <item x="65"/>
        <item x="275"/>
        <item x="342"/>
        <item x="22"/>
        <item x="77"/>
        <item x="256"/>
        <item x="229"/>
        <item x="181"/>
        <item x="16"/>
        <item x="211"/>
        <item x="86"/>
        <item x="245"/>
        <item x="328"/>
        <item x="324"/>
        <item x="195"/>
        <item x="0"/>
        <item x="101"/>
        <item x="305"/>
        <item x="277"/>
        <item x="15"/>
        <item x="323"/>
        <item x="337"/>
        <item x="136"/>
        <item x="216"/>
        <item x="290"/>
        <item x="253"/>
        <item x="233"/>
        <item x="223"/>
        <item x="120"/>
        <item x="166"/>
        <item x="335"/>
        <item x="3"/>
        <item x="341"/>
        <item x="186"/>
        <item x="228"/>
        <item x="116"/>
        <item x="18"/>
        <item x="182"/>
        <item x="264"/>
        <item x="192"/>
        <item x="30"/>
        <item x="174"/>
        <item x="226"/>
        <item x="97"/>
        <item x="9"/>
        <item x="242"/>
        <item x="149"/>
        <item x="59"/>
        <item x="237"/>
        <item x="244"/>
        <item x="212"/>
        <item x="60"/>
        <item x="310"/>
        <item x="178"/>
        <item x="247"/>
        <item x="67"/>
        <item x="298"/>
        <item x="268"/>
        <item x="88"/>
        <item x="308"/>
        <item x="224"/>
        <item x="162"/>
        <item x="234"/>
        <item x="218"/>
        <item x="29"/>
        <item x="197"/>
        <item x="271"/>
        <item x="12"/>
        <item x="75"/>
        <item x="147"/>
        <item x="54"/>
        <item x="17"/>
        <item x="173"/>
        <item x="50"/>
        <item x="345"/>
        <item x="24"/>
        <item x="128"/>
        <item x="47"/>
        <item x="252"/>
        <item x="131"/>
        <item x="7"/>
        <item x="238"/>
        <item x="87"/>
        <item x="198"/>
        <item x="194"/>
        <item x="193"/>
        <item x="108"/>
        <item x="79"/>
        <item x="146"/>
        <item x="286"/>
        <item x="165"/>
        <item x="327"/>
        <item x="81"/>
        <item x="187"/>
        <item x="258"/>
        <item x="52"/>
        <item x="105"/>
        <item x="100"/>
        <item x="72"/>
        <item x="144"/>
        <item x="121"/>
        <item x="37"/>
        <item x="124"/>
        <item x="91"/>
        <item x="199"/>
        <item x="157"/>
        <item x="111"/>
        <item x="140"/>
        <item x="44"/>
        <item x="273"/>
        <item x="145"/>
        <item x="27"/>
        <item x="203"/>
        <item x="254"/>
        <item x="205"/>
        <item x="320"/>
        <item x="161"/>
        <item x="139"/>
        <item x="201"/>
        <item x="288"/>
        <item x="225"/>
        <item x="230"/>
        <item x="239"/>
        <item x="133"/>
        <item x="82"/>
        <item x="151"/>
        <item x="344"/>
        <item x="84"/>
        <item x="39"/>
        <item x="35"/>
        <item x="206"/>
        <item x="250"/>
        <item x="294"/>
        <item x="102"/>
        <item x="326"/>
        <item x="306"/>
        <item x="153"/>
        <item x="123"/>
        <item x="222"/>
        <item x="89"/>
        <item x="329"/>
        <item x="339"/>
        <item x="180"/>
        <item x="263"/>
        <item x="38"/>
        <item x="95"/>
        <item x="283"/>
        <item x="63"/>
        <item x="309"/>
        <item x="94"/>
        <item x="26"/>
        <item x="246"/>
        <item x="184"/>
        <item x="278"/>
        <item x="28"/>
        <item x="13"/>
        <item x="167"/>
        <item x="96"/>
        <item x="19"/>
        <item x="122"/>
        <item x="334"/>
        <item x="93"/>
        <item x="83"/>
        <item x="318"/>
        <item x="92"/>
        <item x="272"/>
        <item x="172"/>
        <item x="43"/>
        <item x="70"/>
        <item x="276"/>
        <item x="270"/>
        <item x="331"/>
        <item x="125"/>
        <item x="40"/>
        <item x="168"/>
        <item x="221"/>
        <item x="179"/>
        <item x="66"/>
        <item x="190"/>
        <item x="248"/>
        <item x="107"/>
        <item x="240"/>
        <item x="260"/>
        <item x="255"/>
        <item x="11"/>
        <item x="64"/>
        <item x="209"/>
        <item x="48"/>
        <item x="119"/>
        <item x="110"/>
        <item x="287"/>
        <item x="274"/>
        <item x="343"/>
        <item x="31"/>
        <item x="130"/>
        <item x="170"/>
        <item x="261"/>
        <item x="202"/>
        <item x="114"/>
        <item x="155"/>
        <item x="289"/>
        <item x="213"/>
        <item x="76"/>
        <item x="285"/>
        <item x="33"/>
        <item x="58"/>
        <item x="2"/>
        <item x="5"/>
        <item x="249"/>
        <item x="160"/>
        <item x="322"/>
        <item x="296"/>
        <item x="217"/>
        <item x="53"/>
        <item x="280"/>
        <item x="8"/>
        <item x="141"/>
        <item x="279"/>
        <item x="251"/>
        <item x="321"/>
        <item x="55"/>
        <item x="317"/>
        <item x="69"/>
        <item x="80"/>
        <item x="332"/>
        <item x="34"/>
        <item x="220"/>
        <item x="62"/>
        <item x="103"/>
        <item x="281"/>
        <item x="312"/>
        <item x="74"/>
        <item x="46"/>
        <item x="300"/>
        <item x="330"/>
        <item x="109"/>
        <item x="106"/>
        <item x="196"/>
        <item x="32"/>
        <item x="307"/>
        <item x="235"/>
        <item x="315"/>
        <item x="132"/>
        <item x="163"/>
        <item x="164"/>
        <item x="189"/>
        <item x="207"/>
        <item x="269"/>
        <item x="49"/>
        <item x="10"/>
        <item x="295"/>
        <item x="57"/>
        <item x="219"/>
        <item x="301"/>
        <item x="304"/>
        <item x="303"/>
        <item x="293"/>
        <item x="117"/>
        <item x="20"/>
        <item x="265"/>
        <item x="316"/>
        <item x="262"/>
        <item x="98"/>
        <item x="51"/>
        <item x="204"/>
        <item x="175"/>
        <item x="73"/>
        <item x="134"/>
        <item x="4"/>
        <item x="319"/>
        <item x="142"/>
        <item x="338"/>
        <item x="42"/>
        <item x="152"/>
        <item x="127"/>
        <item x="143"/>
        <item x="115"/>
        <item x="159"/>
        <item x="191"/>
        <item x="243"/>
        <item x="129"/>
        <item x="297"/>
        <item x="177"/>
        <item x="284"/>
        <item x="36"/>
        <item x="126"/>
        <item x="267"/>
        <item x="41"/>
        <item x="231"/>
        <item x="291"/>
        <item x="176"/>
        <item x="85"/>
        <item x="313"/>
        <item x="257"/>
        <item t="default"/>
      </items>
    </pivotField>
    <pivotField axis="axisRow" showAll="0">
      <items count="7">
        <item x="0"/>
        <item x="3"/>
        <item x="5"/>
        <item x="2"/>
        <item x="1"/>
        <item x="4"/>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8"/>
  </rowFields>
  <rowItems count="7">
    <i>
      <x/>
    </i>
    <i>
      <x v="1"/>
    </i>
    <i>
      <x v="2"/>
    </i>
    <i>
      <x v="3"/>
    </i>
    <i>
      <x v="4"/>
    </i>
    <i>
      <x v="5"/>
    </i>
    <i t="grand">
      <x/>
    </i>
  </rowItems>
  <colItems count="1">
    <i/>
  </colItems>
  <dataFields count="1">
    <dataField name="Count of Order ID" fld="0"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242FCB-FF04-40FD-BB7B-0751106C89E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M2:AN9" firstHeaderRow="1" firstDataRow="1" firstDataCol="1"/>
  <pivotFields count="15">
    <pivotField showAll="0">
      <items count="1001">
        <item x="376"/>
        <item x="272"/>
        <item x="118"/>
        <item x="451"/>
        <item x="475"/>
        <item x="818"/>
        <item x="731"/>
        <item x="653"/>
        <item x="606"/>
        <item x="238"/>
        <item x="675"/>
        <item x="910"/>
        <item x="927"/>
        <item x="321"/>
        <item x="835"/>
        <item x="836"/>
        <item x="676"/>
        <item x="625"/>
        <item x="239"/>
        <item x="119"/>
        <item x="93"/>
        <item x="150"/>
        <item x="837"/>
        <item x="560"/>
        <item x="952"/>
        <item x="411"/>
        <item x="626"/>
        <item x="677"/>
        <item x="696"/>
        <item x="322"/>
        <item x="348"/>
        <item x="953"/>
        <item x="452"/>
        <item x="476"/>
        <item x="377"/>
        <item x="888"/>
        <item x="954"/>
        <item x="323"/>
        <item x="240"/>
        <item x="241"/>
        <item x="324"/>
        <item x="378"/>
        <item x="175"/>
        <item x="955"/>
        <item x="561"/>
        <item x="654"/>
        <item x="50"/>
        <item x="678"/>
        <item x="430"/>
        <item x="94"/>
        <item x="655"/>
        <item x="210"/>
        <item x="911"/>
        <item x="697"/>
        <item x="349"/>
        <item x="211"/>
        <item x="819"/>
        <item x="350"/>
        <item x="732"/>
        <item x="294"/>
        <item x="477"/>
        <item x="273"/>
        <item x="578"/>
        <item x="412"/>
        <item x="956"/>
        <item x="762"/>
        <item x="627"/>
        <item x="51"/>
        <item x="413"/>
        <item x="928"/>
        <item x="733"/>
        <item x="792"/>
        <item x="502"/>
        <item x="67"/>
        <item x="986"/>
        <item x="295"/>
        <item x="414"/>
        <item x="656"/>
        <item x="242"/>
        <item x="431"/>
        <item x="453"/>
        <item x="579"/>
        <item x="5"/>
        <item x="912"/>
        <item x="52"/>
        <item x="657"/>
        <item x="415"/>
        <item x="416"/>
        <item x="628"/>
        <item x="243"/>
        <item x="120"/>
        <item x="351"/>
        <item x="531"/>
        <item x="734"/>
        <item x="889"/>
        <item x="274"/>
        <item x="629"/>
        <item x="478"/>
        <item x="711"/>
        <item x="658"/>
        <item x="432"/>
        <item x="503"/>
        <item x="244"/>
        <item x="121"/>
        <item x="325"/>
        <item x="151"/>
        <item x="379"/>
        <item x="957"/>
        <item x="838"/>
        <item x="275"/>
        <item x="763"/>
        <item x="28"/>
        <item x="296"/>
        <item x="276"/>
        <item x="712"/>
        <item x="326"/>
        <item x="562"/>
        <item x="504"/>
        <item x="820"/>
        <item x="913"/>
        <item x="861"/>
        <item x="659"/>
        <item x="958"/>
        <item x="122"/>
        <item x="890"/>
        <item x="352"/>
        <item x="68"/>
        <item x="630"/>
        <item x="679"/>
        <item x="245"/>
        <item x="793"/>
        <item x="0"/>
        <item x="176"/>
        <item x="327"/>
        <item x="297"/>
        <item x="479"/>
        <item x="298"/>
        <item x="123"/>
        <item x="69"/>
        <item x="862"/>
        <item x="152"/>
        <item x="891"/>
        <item x="480"/>
        <item x="246"/>
        <item x="6"/>
        <item x="481"/>
        <item x="764"/>
        <item x="124"/>
        <item x="177"/>
        <item x="580"/>
        <item x="713"/>
        <item x="987"/>
        <item x="153"/>
        <item x="154"/>
        <item x="607"/>
        <item x="29"/>
        <item x="735"/>
        <item x="53"/>
        <item x="765"/>
        <item x="839"/>
        <item x="863"/>
        <item x="70"/>
        <item x="54"/>
        <item x="864"/>
        <item x="608"/>
        <item x="178"/>
        <item x="660"/>
        <item x="433"/>
        <item x="125"/>
        <item x="680"/>
        <item x="212"/>
        <item x="505"/>
        <item x="714"/>
        <item x="213"/>
        <item x="631"/>
        <item x="155"/>
        <item x="214"/>
        <item x="299"/>
        <item x="277"/>
        <item x="563"/>
        <item x="609"/>
        <item x="914"/>
        <item x="215"/>
        <item x="434"/>
        <item x="7"/>
        <item x="179"/>
        <item x="532"/>
        <item x="380"/>
        <item x="865"/>
        <item x="216"/>
        <item x="681"/>
        <item x="661"/>
        <item x="632"/>
        <item x="278"/>
        <item x="794"/>
        <item x="915"/>
        <item x="71"/>
        <item x="959"/>
        <item x="533"/>
        <item x="840"/>
        <item x="454"/>
        <item x="866"/>
        <item x="95"/>
        <item x="72"/>
        <item x="633"/>
        <item x="581"/>
        <item x="929"/>
        <item x="610"/>
        <item x="417"/>
        <item x="534"/>
        <item x="353"/>
        <item x="892"/>
        <item x="73"/>
        <item x="55"/>
        <item x="682"/>
        <item x="634"/>
        <item x="30"/>
        <item x="893"/>
        <item x="381"/>
        <item x="126"/>
        <item x="382"/>
        <item x="988"/>
        <item x="795"/>
        <item x="821"/>
        <item x="506"/>
        <item x="127"/>
        <item x="611"/>
        <item x="180"/>
        <item x="796"/>
        <item x="612"/>
        <item x="383"/>
        <item x="418"/>
        <item x="736"/>
        <item x="930"/>
        <item x="797"/>
        <item x="535"/>
        <item x="384"/>
        <item x="156"/>
        <item x="300"/>
        <item x="56"/>
        <item x="582"/>
        <item x="822"/>
        <item x="385"/>
        <item x="354"/>
        <item x="31"/>
        <item x="386"/>
        <item x="894"/>
        <item x="583"/>
        <item x="157"/>
        <item x="737"/>
        <item x="435"/>
        <item x="798"/>
        <item x="738"/>
        <item x="960"/>
        <item x="564"/>
        <item x="895"/>
        <item x="613"/>
        <item x="8"/>
        <item x="961"/>
        <item x="962"/>
        <item x="74"/>
        <item x="75"/>
        <item x="931"/>
        <item x="932"/>
        <item x="482"/>
        <item x="9"/>
        <item x="867"/>
        <item x="507"/>
        <item x="217"/>
        <item x="483"/>
        <item x="766"/>
        <item x="536"/>
        <item x="181"/>
        <item x="128"/>
        <item x="868"/>
        <item x="129"/>
        <item x="614"/>
        <item x="355"/>
        <item x="455"/>
        <item x="218"/>
        <item x="247"/>
        <item x="537"/>
        <item x="219"/>
        <item x="739"/>
        <item x="565"/>
        <item x="182"/>
        <item x="248"/>
        <item x="279"/>
        <item x="740"/>
        <item x="220"/>
        <item x="767"/>
        <item x="328"/>
        <item x="387"/>
        <item x="301"/>
        <item x="76"/>
        <item x="869"/>
        <item x="130"/>
        <item x="963"/>
        <item x="356"/>
        <item x="96"/>
        <item x="683"/>
        <item x="799"/>
        <item x="484"/>
        <item x="841"/>
        <item x="933"/>
        <item x="800"/>
        <item x="280"/>
        <item x="388"/>
        <item x="916"/>
        <item x="10"/>
        <item x="77"/>
        <item x="715"/>
        <item x="823"/>
        <item x="870"/>
        <item x="768"/>
        <item x="508"/>
        <item x="801"/>
        <item x="635"/>
        <item x="78"/>
        <item x="221"/>
        <item x="456"/>
        <item x="802"/>
        <item x="131"/>
        <item x="964"/>
        <item x="636"/>
        <item x="485"/>
        <item x="896"/>
        <item x="302"/>
        <item x="389"/>
        <item x="615"/>
        <item x="538"/>
        <item x="698"/>
        <item x="158"/>
        <item x="390"/>
        <item x="132"/>
        <item x="329"/>
        <item x="509"/>
        <item x="97"/>
        <item x="436"/>
        <item x="965"/>
        <item x="716"/>
        <item x="133"/>
        <item x="966"/>
        <item x="159"/>
        <item x="934"/>
        <item x="437"/>
        <item x="539"/>
        <item x="510"/>
        <item x="871"/>
        <item x="11"/>
        <item x="98"/>
        <item x="872"/>
        <item x="330"/>
        <item x="616"/>
        <item x="331"/>
        <item x="897"/>
        <item x="540"/>
        <item x="457"/>
        <item x="662"/>
        <item x="873"/>
        <item x="303"/>
        <item x="741"/>
        <item x="79"/>
        <item x="541"/>
        <item x="742"/>
        <item x="249"/>
        <item x="743"/>
        <item x="304"/>
        <item x="357"/>
        <item x="542"/>
        <item x="32"/>
        <item x="250"/>
        <item x="251"/>
        <item x="543"/>
        <item x="898"/>
        <item x="824"/>
        <item x="12"/>
        <item x="305"/>
        <item x="134"/>
        <item x="744"/>
        <item x="967"/>
        <item x="99"/>
        <item x="899"/>
        <item x="989"/>
        <item x="281"/>
        <item x="160"/>
        <item x="458"/>
        <item x="968"/>
        <item x="769"/>
        <item x="544"/>
        <item x="969"/>
        <item x="935"/>
        <item x="459"/>
        <item x="684"/>
        <item x="842"/>
        <item x="183"/>
        <item x="770"/>
        <item x="282"/>
        <item x="511"/>
        <item x="990"/>
        <item x="391"/>
        <item x="685"/>
        <item x="392"/>
        <item x="100"/>
        <item x="135"/>
        <item x="419"/>
        <item x="33"/>
        <item x="970"/>
        <item x="637"/>
        <item x="771"/>
        <item x="617"/>
        <item x="222"/>
        <item x="283"/>
        <item x="438"/>
        <item x="874"/>
        <item x="663"/>
        <item x="664"/>
        <item x="917"/>
        <item x="34"/>
        <item x="101"/>
        <item x="284"/>
        <item x="843"/>
        <item x="900"/>
        <item x="223"/>
        <item x="584"/>
        <item x="1"/>
        <item x="918"/>
        <item x="618"/>
        <item x="460"/>
        <item x="699"/>
        <item x="184"/>
        <item x="545"/>
        <item x="252"/>
        <item x="420"/>
        <item x="745"/>
        <item x="585"/>
        <item x="512"/>
        <item x="136"/>
        <item x="665"/>
        <item x="224"/>
        <item x="875"/>
        <item x="393"/>
        <item x="185"/>
        <item x="161"/>
        <item x="162"/>
        <item x="35"/>
        <item x="186"/>
        <item x="936"/>
        <item x="306"/>
        <item x="461"/>
        <item x="253"/>
        <item x="254"/>
        <item x="586"/>
        <item x="513"/>
        <item x="421"/>
        <item x="638"/>
        <item x="546"/>
        <item x="666"/>
        <item x="514"/>
        <item x="937"/>
        <item x="991"/>
        <item x="225"/>
        <item x="285"/>
        <item x="587"/>
        <item x="137"/>
        <item x="255"/>
        <item x="844"/>
        <item x="13"/>
        <item x="36"/>
        <item x="717"/>
        <item x="746"/>
        <item x="187"/>
        <item x="515"/>
        <item x="486"/>
        <item x="332"/>
        <item x="226"/>
        <item x="188"/>
        <item x="566"/>
        <item x="307"/>
        <item x="163"/>
        <item x="189"/>
        <item x="639"/>
        <item x="308"/>
        <item x="256"/>
        <item x="358"/>
        <item x="567"/>
        <item x="102"/>
        <item x="103"/>
        <item x="14"/>
        <item x="439"/>
        <item x="394"/>
        <item x="772"/>
        <item x="190"/>
        <item x="164"/>
        <item x="487"/>
        <item x="547"/>
        <item x="15"/>
        <item x="901"/>
        <item x="286"/>
        <item x="395"/>
        <item x="845"/>
        <item x="227"/>
        <item x="568"/>
        <item x="619"/>
        <item x="165"/>
        <item x="16"/>
        <item x="440"/>
        <item x="938"/>
        <item x="37"/>
        <item x="257"/>
        <item x="191"/>
        <item x="258"/>
        <item x="640"/>
        <item x="825"/>
        <item x="192"/>
        <item x="700"/>
        <item x="846"/>
        <item x="667"/>
        <item x="441"/>
        <item x="138"/>
        <item x="359"/>
        <item x="747"/>
        <item x="38"/>
        <item x="773"/>
        <item x="104"/>
        <item x="774"/>
        <item x="641"/>
        <item x="775"/>
        <item x="360"/>
        <item x="902"/>
        <item x="748"/>
        <item x="193"/>
        <item x="17"/>
        <item x="259"/>
        <item x="57"/>
        <item x="80"/>
        <item x="139"/>
        <item x="422"/>
        <item x="58"/>
        <item x="749"/>
        <item x="105"/>
        <item x="686"/>
        <item x="462"/>
        <item x="548"/>
        <item x="750"/>
        <item x="620"/>
        <item x="81"/>
        <item x="194"/>
        <item x="826"/>
        <item x="621"/>
        <item x="718"/>
        <item x="588"/>
        <item x="287"/>
        <item x="361"/>
        <item x="549"/>
        <item x="971"/>
        <item x="362"/>
        <item x="701"/>
        <item x="972"/>
        <item x="876"/>
        <item x="140"/>
        <item x="803"/>
        <item x="877"/>
        <item x="719"/>
        <item x="878"/>
        <item x="166"/>
        <item x="442"/>
        <item x="195"/>
        <item x="396"/>
        <item x="589"/>
        <item x="973"/>
        <item x="702"/>
        <item x="82"/>
        <item x="83"/>
        <item x="333"/>
        <item x="642"/>
        <item x="106"/>
        <item x="516"/>
        <item x="590"/>
        <item x="167"/>
        <item x="992"/>
        <item x="591"/>
        <item x="939"/>
        <item x="974"/>
        <item x="59"/>
        <item x="334"/>
        <item x="335"/>
        <item x="804"/>
        <item x="228"/>
        <item x="776"/>
        <item x="569"/>
        <item x="423"/>
        <item x="847"/>
        <item x="107"/>
        <item x="424"/>
        <item x="397"/>
        <item x="196"/>
        <item x="919"/>
        <item x="39"/>
        <item x="777"/>
        <item x="570"/>
        <item x="197"/>
        <item x="40"/>
        <item x="517"/>
        <item x="571"/>
        <item x="778"/>
        <item x="108"/>
        <item x="109"/>
        <item x="488"/>
        <item x="84"/>
        <item x="110"/>
        <item x="85"/>
        <item x="879"/>
        <item x="229"/>
        <item x="940"/>
        <item x="363"/>
        <item x="622"/>
        <item x="827"/>
        <item x="975"/>
        <item x="364"/>
        <item x="463"/>
        <item x="260"/>
        <item x="976"/>
        <item x="687"/>
        <item x="779"/>
        <item x="903"/>
        <item x="805"/>
        <item x="141"/>
        <item x="168"/>
        <item x="198"/>
        <item x="464"/>
        <item x="489"/>
        <item x="848"/>
        <item x="60"/>
        <item x="849"/>
        <item x="111"/>
        <item x="18"/>
        <item x="19"/>
        <item x="336"/>
        <item x="41"/>
        <item x="550"/>
        <item x="142"/>
        <item x="425"/>
        <item x="703"/>
        <item x="751"/>
        <item x="169"/>
        <item x="704"/>
        <item x="592"/>
        <item x="398"/>
        <item x="288"/>
        <item x="752"/>
        <item x="806"/>
        <item x="289"/>
        <item x="490"/>
        <item x="753"/>
        <item x="880"/>
        <item x="977"/>
        <item x="518"/>
        <item x="668"/>
        <item x="572"/>
        <item x="643"/>
        <item x="593"/>
        <item x="720"/>
        <item x="644"/>
        <item x="20"/>
        <item x="551"/>
        <item x="261"/>
        <item x="230"/>
        <item x="290"/>
        <item x="807"/>
        <item x="808"/>
        <item x="993"/>
        <item x="645"/>
        <item x="994"/>
        <item x="199"/>
        <item x="941"/>
        <item x="426"/>
        <item x="61"/>
        <item x="309"/>
        <item x="399"/>
        <item x="904"/>
        <item x="291"/>
        <item x="850"/>
        <item x="262"/>
        <item x="978"/>
        <item x="143"/>
        <item x="337"/>
        <item x="62"/>
        <item x="170"/>
        <item x="465"/>
        <item x="688"/>
        <item x="427"/>
        <item x="754"/>
        <item x="21"/>
        <item x="365"/>
        <item x="881"/>
        <item x="310"/>
        <item x="400"/>
        <item x="292"/>
        <item x="311"/>
        <item x="646"/>
        <item x="519"/>
        <item x="828"/>
        <item x="995"/>
        <item x="200"/>
        <item x="669"/>
        <item x="63"/>
        <item x="231"/>
        <item x="443"/>
        <item x="882"/>
        <item x="594"/>
        <item x="942"/>
        <item x="263"/>
        <item x="623"/>
        <item x="201"/>
        <item x="444"/>
        <item x="42"/>
        <item x="232"/>
        <item x="401"/>
        <item x="22"/>
        <item x="312"/>
        <item x="86"/>
        <item x="2"/>
        <item x="445"/>
        <item x="979"/>
        <item x="780"/>
        <item x="202"/>
        <item x="520"/>
        <item x="366"/>
        <item x="521"/>
        <item x="171"/>
        <item x="112"/>
        <item x="338"/>
        <item x="552"/>
        <item x="23"/>
        <item x="491"/>
        <item x="755"/>
        <item x="670"/>
        <item x="553"/>
        <item x="367"/>
        <item x="829"/>
        <item x="595"/>
        <item x="144"/>
        <item x="203"/>
        <item x="671"/>
        <item x="689"/>
        <item x="466"/>
        <item x="402"/>
        <item x="446"/>
        <item x="172"/>
        <item x="920"/>
        <item x="996"/>
        <item x="368"/>
        <item x="781"/>
        <item x="830"/>
        <item x="313"/>
        <item x="573"/>
        <item x="851"/>
        <item x="522"/>
        <item x="705"/>
        <item x="782"/>
        <item x="596"/>
        <item x="852"/>
        <item x="756"/>
        <item x="757"/>
        <item x="113"/>
        <item x="523"/>
        <item x="809"/>
        <item x="3"/>
        <item x="574"/>
        <item x="758"/>
        <item x="647"/>
        <item x="524"/>
        <item x="24"/>
        <item x="810"/>
        <item x="403"/>
        <item x="314"/>
        <item x="575"/>
        <item x="672"/>
        <item x="759"/>
        <item x="492"/>
        <item x="690"/>
        <item x="87"/>
        <item x="691"/>
        <item x="921"/>
        <item x="721"/>
        <item x="64"/>
        <item x="853"/>
        <item x="722"/>
        <item x="404"/>
        <item x="980"/>
        <item x="854"/>
        <item x="264"/>
        <item x="943"/>
        <item x="855"/>
        <item x="88"/>
        <item x="706"/>
        <item x="905"/>
        <item x="783"/>
        <item x="265"/>
        <item x="723"/>
        <item x="554"/>
        <item x="811"/>
        <item x="114"/>
        <item x="981"/>
        <item x="315"/>
        <item x="812"/>
        <item x="493"/>
        <item x="906"/>
        <item x="883"/>
        <item x="907"/>
        <item x="831"/>
        <item x="173"/>
        <item x="648"/>
        <item x="339"/>
        <item x="89"/>
        <item x="856"/>
        <item x="707"/>
        <item x="340"/>
        <item x="467"/>
        <item x="316"/>
        <item x="784"/>
        <item x="90"/>
        <item x="233"/>
        <item x="525"/>
        <item x="724"/>
        <item x="369"/>
        <item x="692"/>
        <item x="997"/>
        <item x="447"/>
        <item x="526"/>
        <item x="673"/>
        <item x="341"/>
        <item x="145"/>
        <item x="832"/>
        <item x="204"/>
        <item x="43"/>
        <item x="115"/>
        <item x="44"/>
        <item x="649"/>
        <item x="693"/>
        <item x="725"/>
        <item x="468"/>
        <item x="469"/>
        <item x="726"/>
        <item x="922"/>
        <item x="370"/>
        <item x="146"/>
        <item x="923"/>
        <item x="205"/>
        <item x="597"/>
        <item x="598"/>
        <item x="727"/>
        <item x="448"/>
        <item x="884"/>
        <item x="45"/>
        <item x="924"/>
        <item x="527"/>
        <item x="624"/>
        <item x="46"/>
        <item x="982"/>
        <item x="760"/>
        <item x="857"/>
        <item x="266"/>
        <item x="708"/>
        <item x="555"/>
        <item x="494"/>
        <item x="405"/>
        <item x="25"/>
        <item x="944"/>
        <item x="785"/>
        <item x="317"/>
        <item x="470"/>
        <item x="471"/>
        <item x="998"/>
        <item x="813"/>
        <item x="786"/>
        <item x="787"/>
        <item x="147"/>
        <item x="267"/>
        <item x="234"/>
        <item x="65"/>
        <item x="814"/>
        <item x="788"/>
        <item x="449"/>
        <item x="495"/>
        <item x="709"/>
        <item x="318"/>
        <item x="496"/>
        <item x="148"/>
        <item x="206"/>
        <item x="207"/>
        <item x="472"/>
        <item x="116"/>
        <item x="908"/>
        <item x="945"/>
        <item x="858"/>
        <item x="342"/>
        <item x="999"/>
        <item x="650"/>
        <item x="983"/>
        <item x="117"/>
        <item x="599"/>
        <item x="371"/>
        <item x="694"/>
        <item x="47"/>
        <item x="833"/>
        <item x="576"/>
        <item x="834"/>
        <item x="473"/>
        <item x="235"/>
        <item x="208"/>
        <item x="174"/>
        <item x="984"/>
        <item x="91"/>
        <item x="236"/>
        <item x="556"/>
        <item x="450"/>
        <item x="372"/>
        <item x="319"/>
        <item x="600"/>
        <item x="428"/>
        <item x="497"/>
        <item x="728"/>
        <item x="498"/>
        <item x="557"/>
        <item x="601"/>
        <item x="343"/>
        <item x="344"/>
        <item x="149"/>
        <item x="885"/>
        <item x="946"/>
        <item x="815"/>
        <item x="947"/>
        <item x="237"/>
        <item x="373"/>
        <item x="577"/>
        <item x="406"/>
        <item x="268"/>
        <item x="528"/>
        <item x="269"/>
        <item x="48"/>
        <item x="270"/>
        <item x="948"/>
        <item x="499"/>
        <item x="602"/>
        <item x="909"/>
        <item x="407"/>
        <item x="603"/>
        <item x="789"/>
        <item x="859"/>
        <item x="271"/>
        <item x="695"/>
        <item x="429"/>
        <item x="374"/>
        <item x="320"/>
        <item x="66"/>
        <item x="500"/>
        <item x="949"/>
        <item x="49"/>
        <item x="985"/>
        <item x="408"/>
        <item x="529"/>
        <item x="558"/>
        <item x="409"/>
        <item x="886"/>
        <item x="604"/>
        <item x="816"/>
        <item x="761"/>
        <item x="26"/>
        <item x="293"/>
        <item x="345"/>
        <item x="375"/>
        <item x="410"/>
        <item x="790"/>
        <item x="925"/>
        <item x="926"/>
        <item x="346"/>
        <item x="817"/>
        <item x="950"/>
        <item x="887"/>
        <item x="559"/>
        <item x="729"/>
        <item x="530"/>
        <item x="791"/>
        <item x="92"/>
        <item x="605"/>
        <item x="209"/>
        <item x="951"/>
        <item x="651"/>
        <item x="27"/>
        <item x="730"/>
        <item x="347"/>
        <item x="710"/>
        <item x="652"/>
        <item x="4"/>
        <item x="674"/>
        <item x="501"/>
        <item x="474"/>
        <item x="860"/>
        <item t="default"/>
      </items>
    </pivotField>
    <pivotField showAll="0"/>
    <pivotField showAll="0">
      <items count="6">
        <item x="0"/>
        <item x="2"/>
        <item x="4"/>
        <item x="3"/>
        <item x="1"/>
        <item t="default"/>
      </items>
    </pivotField>
    <pivotField showAll="0"/>
    <pivotField showAll="0"/>
    <pivotField showAll="0"/>
    <pivotField showAll="0">
      <items count="1001">
        <item h="1" x="755"/>
        <item h="1" x="139"/>
        <item h="1" x="859"/>
        <item h="1" x="908"/>
        <item h="1" x="38"/>
        <item h="1" x="220"/>
        <item h="1" x="514"/>
        <item h="1" x="406"/>
        <item h="1" x="392"/>
        <item h="1" x="423"/>
        <item h="1" x="453"/>
        <item h="1" x="705"/>
        <item h="1" x="284"/>
        <item h="1" x="34"/>
        <item h="1" x="108"/>
        <item h="1" x="727"/>
        <item x="686"/>
        <item h="1" x="670"/>
        <item h="1" x="409"/>
        <item h="1" x="928"/>
        <item h="1" x="79"/>
        <item h="1" x="744"/>
        <item h="1" x="410"/>
        <item h="1" x="469"/>
        <item h="1" x="946"/>
        <item h="1" x="26"/>
        <item h="1" x="250"/>
        <item h="1" x="69"/>
        <item h="1" x="378"/>
        <item h="1" x="192"/>
        <item h="1" x="759"/>
        <item h="1" x="606"/>
        <item h="1" x="68"/>
        <item h="1" x="319"/>
        <item h="1" x="575"/>
        <item h="1" x="264"/>
        <item h="1" x="813"/>
        <item h="1" x="632"/>
        <item h="1" x="152"/>
        <item h="1" x="866"/>
        <item h="1" x="546"/>
        <item h="1" x="154"/>
        <item h="1" x="772"/>
        <item h="1" x="136"/>
        <item h="1" x="64"/>
        <item h="1" x="324"/>
        <item h="1" x="463"/>
        <item h="1" x="418"/>
        <item h="1" x="281"/>
        <item h="1" x="297"/>
        <item h="1" x="94"/>
        <item h="1" x="752"/>
        <item h="1" x="532"/>
        <item h="1" x="736"/>
        <item h="1" x="768"/>
        <item h="1" x="309"/>
        <item h="1" x="739"/>
        <item h="1" x="882"/>
        <item h="1" x="986"/>
        <item h="1" x="141"/>
        <item h="1" x="412"/>
        <item h="1" x="721"/>
        <item h="1" x="32"/>
        <item h="1" x="757"/>
        <item h="1" x="835"/>
        <item h="1" x="359"/>
        <item h="1" x="534"/>
        <item h="1" x="747"/>
        <item h="1" x="157"/>
        <item h="1" x="975"/>
        <item h="1" x="46"/>
        <item h="1" x="435"/>
        <item h="1" x="340"/>
        <item h="1" x="565"/>
        <item h="1" x="411"/>
        <item h="1" x="316"/>
        <item h="1" x="952"/>
        <item h="1" x="955"/>
        <item h="1" x="358"/>
        <item h="1" x="641"/>
        <item h="1" x="164"/>
        <item h="1" x="175"/>
        <item h="1" x="776"/>
        <item h="1" x="741"/>
        <item h="1" x="972"/>
        <item h="1" x="402"/>
        <item h="1" x="500"/>
        <item h="1" x="983"/>
        <item h="1" x="580"/>
        <item h="1" x="525"/>
        <item h="1" x="321"/>
        <item h="1" x="323"/>
        <item h="1" x="372"/>
        <item h="1" x="959"/>
        <item h="1" x="180"/>
        <item h="1" x="8"/>
        <item h="1" x="366"/>
        <item h="1" x="127"/>
        <item h="1" x="371"/>
        <item h="1" x="699"/>
        <item h="1" x="694"/>
        <item h="1" x="491"/>
        <item h="1" x="356"/>
        <item h="1" x="471"/>
        <item h="1" x="730"/>
        <item h="1" x="22"/>
        <item h="1" x="806"/>
        <item h="1" x="881"/>
        <item h="1" x="576"/>
        <item h="1" x="756"/>
        <item h="1" x="996"/>
        <item h="1" x="661"/>
        <item h="1" x="608"/>
        <item h="1" x="845"/>
        <item h="1" x="647"/>
        <item h="1" x="441"/>
        <item h="1" x="78"/>
        <item h="1" x="183"/>
        <item h="1" x="507"/>
        <item h="1" x="961"/>
        <item h="1" x="20"/>
        <item h="1" x="962"/>
        <item h="1" x="924"/>
        <item h="1" x="72"/>
        <item h="1" x="76"/>
        <item h="1" x="303"/>
        <item h="1" x="246"/>
        <item h="1" x="87"/>
        <item h="1" x="98"/>
        <item h="1" x="207"/>
        <item h="1" x="855"/>
        <item h="1" x="974"/>
        <item h="1" x="253"/>
        <item h="1" x="397"/>
        <item h="1" x="363"/>
        <item h="1" x="186"/>
        <item h="1" x="926"/>
        <item h="1" x="510"/>
        <item h="1" x="789"/>
        <item h="1" x="685"/>
        <item h="1" x="188"/>
        <item h="1" x="480"/>
        <item h="1" x="305"/>
        <item h="1" x="627"/>
        <item h="1" x="564"/>
        <item h="1" x="716"/>
        <item h="1" x="482"/>
        <item h="1" x="375"/>
        <item h="1" x="416"/>
        <item h="1" x="404"/>
        <item h="1" x="709"/>
        <item h="1" x="609"/>
        <item h="1" x="432"/>
        <item h="1" x="291"/>
        <item h="1" x="104"/>
        <item h="1" x="42"/>
        <item h="1" x="878"/>
        <item h="1" x="399"/>
        <item h="1" x="318"/>
        <item h="1" x="725"/>
        <item h="1" x="792"/>
        <item h="1" x="171"/>
        <item h="1" x="421"/>
        <item h="1" x="896"/>
        <item h="1" x="310"/>
        <item h="1" x="445"/>
        <item h="1" x="287"/>
        <item h="1" x="991"/>
        <item h="1" x="703"/>
        <item h="1" x="140"/>
        <item h="1" x="111"/>
        <item h="1" x="213"/>
        <item h="1" x="56"/>
        <item h="1" x="276"/>
        <item h="1" x="444"/>
        <item h="1" x="12"/>
        <item h="1" x="766"/>
        <item h="1" x="542"/>
        <item h="1" x="173"/>
        <item h="1" x="338"/>
        <item h="1" x="843"/>
        <item h="1" x="62"/>
        <item h="1" x="818"/>
        <item h="1" x="573"/>
        <item h="1" x="825"/>
        <item h="1" x="217"/>
        <item h="1" x="817"/>
        <item h="1" x="970"/>
        <item h="1" x="398"/>
        <item h="1" x="1"/>
        <item h="1" x="239"/>
        <item h="1" x="758"/>
        <item h="1" x="956"/>
        <item h="1" x="623"/>
        <item h="1" x="969"/>
        <item h="1" x="112"/>
        <item h="1" x="464"/>
        <item h="1" x="989"/>
        <item h="1" x="988"/>
        <item h="1" x="513"/>
        <item h="1" x="84"/>
        <item h="1" x="40"/>
        <item h="1" x="710"/>
        <item h="1" x="864"/>
        <item h="1" x="306"/>
        <item h="1" x="51"/>
        <item h="1" x="865"/>
        <item h="1" x="265"/>
        <item h="1" x="645"/>
        <item h="1" x="662"/>
        <item h="1" x="702"/>
        <item h="1" x="35"/>
        <item h="1" x="298"/>
        <item h="1" x="45"/>
        <item h="1" x="484"/>
        <item h="1" x="557"/>
        <item h="1" x="593"/>
        <item h="1" x="339"/>
        <item h="1" x="103"/>
        <item h="1" x="425"/>
        <item h="1" x="113"/>
        <item h="1" x="256"/>
        <item h="1" x="814"/>
        <item h="1" x="700"/>
        <item h="1" x="454"/>
        <item h="1" x="168"/>
        <item h="1" x="783"/>
        <item h="1" x="587"/>
        <item h="1" x="7"/>
        <item h="1" x="748"/>
        <item h="1" x="174"/>
        <item h="1" x="633"/>
        <item h="1" x="447"/>
        <item h="1" x="193"/>
        <item h="1" x="828"/>
        <item h="1" x="978"/>
        <item h="1" x="729"/>
        <item h="1" x="563"/>
        <item h="1" x="21"/>
        <item h="1" x="355"/>
        <item h="1" x="308"/>
        <item h="1" x="99"/>
        <item h="1" x="598"/>
        <item h="1" x="555"/>
        <item h="1" x="684"/>
        <item h="1" x="849"/>
        <item h="1" x="198"/>
        <item h="1" x="307"/>
        <item h="1" x="994"/>
        <item h="1" x="584"/>
        <item h="1" x="769"/>
        <item h="1" x="143"/>
        <item h="1" x="915"/>
        <item h="1" x="638"/>
        <item h="1" x="943"/>
        <item h="1" x="420"/>
        <item h="1" x="770"/>
        <item h="1" x="850"/>
        <item h="1" x="349"/>
        <item h="1" x="833"/>
        <item h="1" x="400"/>
        <item h="1" x="964"/>
        <item h="1" x="468"/>
        <item h="1" x="870"/>
        <item h="1" x="851"/>
        <item h="1" x="981"/>
        <item h="1" x="44"/>
        <item h="1" x="275"/>
        <item h="1" x="590"/>
        <item h="1" x="24"/>
        <item h="1" x="516"/>
        <item h="1" x="133"/>
        <item h="1" x="528"/>
        <item h="1" x="129"/>
        <item h="1" x="832"/>
        <item h="1" x="873"/>
        <item h="1" x="487"/>
        <item h="1" x="650"/>
        <item h="1" x="236"/>
        <item h="1" x="333"/>
        <item h="1" x="214"/>
        <item h="1" x="204"/>
        <item h="1" x="596"/>
        <item h="1" x="995"/>
        <item h="1" x="624"/>
        <item h="1" x="560"/>
        <item h="1" x="451"/>
        <item h="1" x="301"/>
        <item h="1" x="202"/>
        <item h="1" x="619"/>
        <item h="1" x="869"/>
        <item h="1" x="927"/>
        <item h="1" x="429"/>
        <item h="1" x="109"/>
        <item h="1" x="379"/>
        <item h="1" x="302"/>
        <item h="1" x="176"/>
        <item h="1" x="610"/>
        <item h="1" x="602"/>
        <item h="1" x="679"/>
        <item h="1" x="526"/>
        <item h="1" x="656"/>
        <item h="1" x="293"/>
        <item h="1" x="901"/>
        <item h="1" x="652"/>
        <item h="1" x="801"/>
        <item h="1" x="867"/>
        <item h="1" x="364"/>
        <item h="1" x="556"/>
        <item h="1" x="743"/>
        <item h="1" x="698"/>
        <item h="1" x="751"/>
        <item h="1" x="205"/>
        <item h="1" x="467"/>
        <item h="1" x="75"/>
        <item h="1" x="519"/>
        <item h="1" x="459"/>
        <item h="1" x="505"/>
        <item h="1" x="61"/>
        <item h="1" x="777"/>
        <item h="1" x="169"/>
        <item h="1" x="958"/>
        <item h="1" x="840"/>
        <item h="1" x="764"/>
        <item h="1" x="877"/>
        <item h="1" x="648"/>
        <item h="1" x="138"/>
        <item h="1" x="615"/>
        <item h="1" x="934"/>
        <item h="1" x="248"/>
        <item h="1" x="147"/>
        <item h="1" x="889"/>
        <item h="1" x="874"/>
        <item h="1" x="665"/>
        <item h="1" x="267"/>
        <item h="1" x="503"/>
        <item h="1" x="77"/>
        <item h="1" x="107"/>
        <item h="1" x="925"/>
        <item h="1" x="884"/>
        <item h="1" x="251"/>
        <item h="1" x="290"/>
        <item h="1" x="746"/>
        <item h="1" x="254"/>
        <item h="1" x="711"/>
        <item h="1" x="697"/>
        <item h="1" x="888"/>
        <item h="1" x="354"/>
        <item h="1" x="351"/>
        <item h="1" x="562"/>
        <item h="1" x="492"/>
        <item h="1" x="754"/>
        <item h="1" x="531"/>
        <item h="1" x="216"/>
        <item h="1" x="497"/>
        <item h="1" x="381"/>
        <item h="1" x="344"/>
        <item h="1" x="802"/>
        <item h="1" x="876"/>
        <item h="1" x="642"/>
        <item h="1" x="585"/>
        <item h="1" x="929"/>
        <item h="1" x="317"/>
        <item h="1" x="182"/>
        <item h="1" x="490"/>
        <item h="1" x="750"/>
        <item h="1" x="9"/>
        <item h="1" x="370"/>
        <item h="1" x="199"/>
        <item h="1" x="550"/>
        <item h="1" x="73"/>
        <item h="1" x="501"/>
        <item h="1" x="812"/>
        <item h="1" x="249"/>
        <item h="1" x="473"/>
        <item h="1" x="816"/>
        <item h="1" x="18"/>
        <item h="1" x="676"/>
        <item h="1" x="279"/>
        <item h="1" x="872"/>
        <item h="1" x="149"/>
        <item h="1" x="16"/>
        <item h="1" x="419"/>
        <item h="1" x="19"/>
        <item h="1" x="863"/>
        <item h="1" x="735"/>
        <item h="1" x="121"/>
        <item h="1" x="428"/>
        <item h="1" x="903"/>
        <item h="1" x="693"/>
        <item h="1" x="778"/>
        <item h="1" x="160"/>
        <item h="1" x="762"/>
        <item h="1" x="247"/>
        <item h="1" x="184"/>
        <item h="1" x="273"/>
        <item h="1" x="367"/>
        <item h="1" x="485"/>
        <item h="1" x="118"/>
        <item h="1" x="629"/>
        <item h="1" x="666"/>
        <item h="1" x="304"/>
        <item h="1" x="678"/>
        <item h="1" x="914"/>
        <item h="1" x="102"/>
        <item h="1" x="151"/>
        <item h="1" x="91"/>
        <item h="1" x="3"/>
        <item h="1" x="263"/>
        <item h="1" x="999"/>
        <item h="1" x="578"/>
        <item h="1" x="283"/>
        <item h="1" x="27"/>
        <item h="1" x="898"/>
        <item h="1" x="486"/>
        <item h="1" x="128"/>
        <item h="1" x="726"/>
        <item h="1" x="221"/>
        <item h="1" x="465"/>
        <item h="1" x="17"/>
        <item h="1" x="383"/>
        <item h="1" x="644"/>
        <item h="1" x="529"/>
        <item h="1" x="10"/>
        <item h="1" x="740"/>
        <item h="1" x="489"/>
        <item h="1" x="93"/>
        <item h="1" x="201"/>
        <item h="1" x="348"/>
        <item h="1" x="690"/>
        <item h="1" x="194"/>
        <item h="1" x="689"/>
        <item h="1" x="844"/>
        <item h="1" x="658"/>
        <item h="1" x="862"/>
        <item h="1" x="607"/>
        <item h="1" x="206"/>
        <item h="1" x="517"/>
        <item h="1" x="195"/>
        <item h="1" x="824"/>
        <item h="1" x="980"/>
        <item h="1" x="521"/>
        <item h="1" x="894"/>
        <item h="1" x="592"/>
        <item h="1" x="987"/>
        <item h="1" x="841"/>
        <item h="1" x="212"/>
        <item h="1" x="568"/>
        <item h="1" x="235"/>
        <item h="1" x="100"/>
        <item h="1" x="361"/>
        <item h="1" x="646"/>
        <item h="1" x="153"/>
        <item h="1" x="875"/>
        <item h="1" x="715"/>
        <item h="1" x="347"/>
        <item h="1" x="272"/>
        <item h="1" x="2"/>
        <item h="1" x="385"/>
        <item h="1" x="579"/>
        <item h="1" x="58"/>
        <item h="1" x="788"/>
        <item h="1" x="571"/>
        <item h="1" x="831"/>
        <item h="1" x="781"/>
        <item h="1" x="92"/>
        <item h="1" x="395"/>
        <item h="1" x="734"/>
        <item h="1" x="683"/>
        <item h="1" x="767"/>
        <item h="1" x="552"/>
        <item h="1" x="853"/>
        <item h="1" x="947"/>
        <item h="1" x="63"/>
        <item h="1" x="238"/>
        <item h="1" x="224"/>
        <item h="1" x="846"/>
        <item h="1" x="294"/>
        <item h="1" x="225"/>
        <item h="1" x="450"/>
        <item h="1" x="458"/>
        <item h="1" x="879"/>
        <item h="1" x="146"/>
        <item h="1" x="472"/>
        <item h="1" x="446"/>
        <item h="1" x="622"/>
        <item h="1" x="805"/>
        <item h="1" x="577"/>
        <item h="1" x="479"/>
        <item h="1" x="753"/>
        <item h="1" x="165"/>
        <item h="1" x="541"/>
        <item h="1" x="680"/>
        <item h="1" x="170"/>
        <item h="1" x="520"/>
        <item h="1" x="97"/>
        <item h="1" x="326"/>
        <item h="1" x="162"/>
        <item h="1" x="523"/>
        <item h="1" x="854"/>
        <item h="1" x="886"/>
        <item h="1" x="274"/>
        <item h="1" x="722"/>
        <item h="1" x="589"/>
        <item h="1" x="328"/>
        <item h="1" x="443"/>
        <item h="1" x="838"/>
        <item h="1" x="911"/>
        <item h="1" x="566"/>
        <item h="1" x="407"/>
        <item h="1" x="268"/>
        <item h="1" x="374"/>
        <item h="1" x="549"/>
        <item h="1" x="515"/>
        <item h="1" x="895"/>
        <item h="1" x="243"/>
        <item h="1" x="200"/>
        <item h="1" x="938"/>
        <item h="1" x="493"/>
        <item h="1" x="396"/>
        <item h="1" x="714"/>
        <item h="1" x="720"/>
        <item h="1" x="538"/>
        <item h="1" x="839"/>
        <item h="1" x="993"/>
        <item h="1" x="0"/>
        <item h="1" x="231"/>
        <item h="1" x="603"/>
        <item h="1" x="784"/>
        <item h="1" x="774"/>
        <item h="1" x="723"/>
        <item h="1" x="259"/>
        <item h="1" x="779"/>
        <item h="1" x="786"/>
        <item h="1" x="167"/>
        <item h="1" x="561"/>
        <item h="1" x="439"/>
        <item h="1" x="572"/>
        <item h="1" x="342"/>
        <item h="1" x="992"/>
        <item h="1" x="478"/>
        <item h="1" x="601"/>
        <item h="1" x="660"/>
        <item h="1" x="380"/>
        <item h="1" x="55"/>
        <item h="1" x="787"/>
        <item h="1" x="649"/>
        <item h="1" x="208"/>
        <item h="1" x="674"/>
        <item h="1" x="71"/>
        <item h="1" x="95"/>
        <item h="1" x="179"/>
        <item h="1" x="880"/>
        <item h="1" x="394"/>
        <item h="1" x="860"/>
        <item h="1" x="919"/>
        <item h="1" x="331"/>
        <item h="1" x="973"/>
        <item h="1" x="257"/>
        <item h="1" x="847"/>
        <item h="1" x="922"/>
        <item h="1" x="920"/>
        <item h="1" x="337"/>
        <item h="1" x="96"/>
        <item h="1" x="811"/>
        <item h="1" x="533"/>
        <item h="1" x="530"/>
        <item h="1" x="365"/>
        <item h="1" x="90"/>
        <item h="1" x="796"/>
        <item h="1" x="401"/>
        <item h="1" x="704"/>
        <item h="1" x="433"/>
        <item h="1" x="222"/>
        <item h="1" x="229"/>
        <item h="1" x="81"/>
        <item h="1" x="737"/>
        <item h="1" x="692"/>
        <item h="1" x="809"/>
        <item h="1" x="728"/>
        <item h="1" x="386"/>
        <item h="1" x="687"/>
        <item h="1" x="940"/>
        <item h="1" x="932"/>
        <item h="1" x="122"/>
        <item h="1" x="848"/>
        <item h="1" x="54"/>
        <item h="1" x="785"/>
        <item h="1" x="403"/>
        <item h="1" x="511"/>
        <item h="1" x="595"/>
        <item h="1" x="653"/>
        <item h="1" x="47"/>
        <item h="1" x="460"/>
        <item h="1" x="189"/>
        <item h="1" x="960"/>
        <item h="1" x="126"/>
        <item h="1" x="953"/>
        <item h="1" x="350"/>
        <item h="1" x="315"/>
        <item h="1" x="196"/>
        <item h="1" x="373"/>
        <item h="1" x="476"/>
        <item h="1" x="252"/>
        <item h="1" x="535"/>
        <item h="1" x="971"/>
        <item h="1" x="30"/>
        <item h="1" x="808"/>
        <item h="1" x="628"/>
        <item h="1" x="540"/>
        <item h="1" x="440"/>
        <item h="1" x="639"/>
        <item h="1" x="921"/>
        <item h="1" x="457"/>
        <item h="1" x="131"/>
        <item h="1" x="885"/>
        <item h="1" x="475"/>
        <item h="1" x="352"/>
        <item h="1" x="771"/>
        <item h="1" x="942"/>
        <item h="1" x="883"/>
        <item h="1" x="688"/>
        <item h="1" x="597"/>
        <item h="1" x="163"/>
        <item h="1" x="23"/>
        <item h="1" x="966"/>
        <item h="1" x="871"/>
        <item h="1" x="618"/>
        <item h="1" x="899"/>
        <item h="1" x="547"/>
        <item h="1" x="312"/>
        <item h="1" x="245"/>
        <item h="1" x="907"/>
        <item h="1" x="33"/>
        <item h="1" x="415"/>
        <item h="1" x="74"/>
        <item h="1" x="86"/>
        <item h="1" x="713"/>
        <item h="1" x="664"/>
        <item h="1" x="691"/>
        <item h="1" x="15"/>
        <item h="1" x="161"/>
        <item h="1" x="965"/>
        <item h="1" x="368"/>
        <item h="1" x="158"/>
        <item h="1" x="724"/>
        <item h="1" x="574"/>
        <item h="1" x="470"/>
        <item h="1" x="745"/>
        <item h="1" x="66"/>
        <item h="1" x="637"/>
        <item h="1" x="815"/>
        <item h="1" x="110"/>
        <item h="1" x="659"/>
        <item h="1" x="65"/>
        <item h="1" x="790"/>
        <item h="1" x="900"/>
        <item h="1" x="89"/>
        <item h="1" x="4"/>
        <item h="1" x="583"/>
        <item h="1" x="5"/>
        <item h="1" x="187"/>
        <item h="1" x="226"/>
        <item h="1" x="933"/>
        <item h="1" x="916"/>
        <item h="1" x="939"/>
        <item h="1" x="314"/>
        <item h="1" x="559"/>
        <item h="1" x="285"/>
        <item h="1" x="544"/>
        <item h="1" x="230"/>
        <item h="1" x="384"/>
        <item h="1" x="902"/>
        <item h="1" x="616"/>
        <item h="1" x="819"/>
        <item h="1" x="191"/>
        <item h="1" x="393"/>
        <item h="1" x="836"/>
        <item h="1" x="827"/>
        <item h="1" x="923"/>
        <item h="1" x="496"/>
        <item h="1" x="260"/>
        <item h="1" x="320"/>
        <item h="1" x="604"/>
        <item h="1" x="218"/>
        <item h="1" x="313"/>
        <item h="1" x="270"/>
        <item h="1" x="13"/>
        <item h="1" x="436"/>
        <item h="1" x="172"/>
        <item h="1" x="655"/>
        <item h="1" x="742"/>
        <item h="1" x="31"/>
        <item h="1" x="834"/>
        <item h="1" x="821"/>
        <item h="1" x="509"/>
        <item h="1" x="733"/>
        <item h="1" x="887"/>
        <item h="1" x="269"/>
        <item h="1" x="106"/>
        <item h="1" x="967"/>
        <item h="1" x="799"/>
        <item h="1" x="123"/>
        <item h="1" x="495"/>
        <item h="1" x="829"/>
        <item h="1" x="376"/>
        <item h="1" x="997"/>
        <item h="1" x="782"/>
        <item h="1" x="353"/>
        <item h="1" x="377"/>
        <item h="1" x="682"/>
        <item h="1" x="630"/>
        <item h="1" x="931"/>
        <item h="1" x="810"/>
        <item h="1" x="594"/>
        <item h="1" x="918"/>
        <item h="1" x="223"/>
        <item h="1" x="362"/>
        <item h="1" x="43"/>
        <item h="1" x="388"/>
        <item h="1" x="85"/>
        <item h="1" x="67"/>
        <item h="1" x="311"/>
        <item h="1" x="897"/>
        <item h="1" x="668"/>
        <item h="1" x="669"/>
        <item h="1" x="892"/>
        <item h="1" x="390"/>
        <item h="1" x="144"/>
        <item h="1" x="49"/>
        <item h="1" x="631"/>
        <item h="1" x="330"/>
        <item h="1" x="712"/>
        <item h="1" x="442"/>
        <item h="1" x="502"/>
        <item h="1" x="945"/>
        <item h="1" x="949"/>
        <item h="1" x="334"/>
        <item h="1" x="449"/>
        <item h="1" x="696"/>
        <item h="1" x="242"/>
        <item h="1" x="930"/>
        <item h="1" x="537"/>
        <item h="1" x="408"/>
        <item h="1" x="935"/>
        <item h="1" x="634"/>
        <item h="1" x="289"/>
        <item h="1" x="117"/>
        <item h="1" x="706"/>
        <item h="1" x="795"/>
        <item h="1" x="452"/>
        <item h="1" x="635"/>
        <item h="1" x="60"/>
        <item h="1" x="150"/>
        <item h="1" x="830"/>
        <item h="1" x="277"/>
        <item h="1" x="233"/>
        <item h="1" x="909"/>
        <item h="1" x="203"/>
        <item h="1" x="341"/>
        <item h="1" x="912"/>
        <item h="1" x="345"/>
        <item h="1" x="677"/>
        <item h="1" x="731"/>
        <item h="1" x="773"/>
        <item h="1" x="413"/>
        <item h="1" x="701"/>
        <item h="1" x="134"/>
        <item h="1" x="937"/>
        <item h="1" x="343"/>
        <item h="1" x="278"/>
        <item h="1" x="83"/>
        <item h="1" x="430"/>
        <item h="1" x="657"/>
        <item h="1" x="299"/>
        <item h="1" x="286"/>
        <item h="1" x="282"/>
        <item h="1" x="569"/>
        <item h="1" x="228"/>
        <item h="1" x="861"/>
        <item h="1" x="558"/>
        <item h="1" x="422"/>
        <item h="1" x="405"/>
        <item h="1" x="979"/>
        <item h="1" x="905"/>
        <item h="1" x="820"/>
        <item h="1" x="255"/>
        <item h="1" x="671"/>
        <item h="1" x="904"/>
        <item h="1" x="426"/>
        <item h="1" x="738"/>
        <item h="1" x="36"/>
        <item h="1" x="166"/>
        <item h="1" x="800"/>
        <item h="1" x="570"/>
        <item h="1" x="125"/>
        <item h="1" x="295"/>
        <item h="1" x="990"/>
        <item h="1" x="181"/>
        <item h="1" x="336"/>
        <item h="1" x="332"/>
        <item h="1" x="857"/>
        <item h="1" x="504"/>
        <item h="1" x="553"/>
        <item h="1" x="25"/>
        <item h="1" x="197"/>
        <item h="1" x="963"/>
        <item h="1" x="124"/>
        <item h="1" x="613"/>
        <item h="1" x="890"/>
        <item h="1" x="387"/>
        <item h="1" x="434"/>
        <item h="1" x="11"/>
        <item h="1" x="59"/>
        <item h="1" x="280"/>
        <item h="1" x="28"/>
        <item h="1" x="120"/>
        <item h="1" x="842"/>
        <item h="1" x="749"/>
        <item h="1" x="586"/>
        <item h="1" x="210"/>
        <item h="1" x="672"/>
        <item h="1" x="474"/>
        <item h="1" x="551"/>
        <item h="1" x="605"/>
        <item h="1" x="695"/>
        <item h="1" x="954"/>
        <item h="1" x="241"/>
        <item h="1" x="52"/>
        <item h="1" x="554"/>
        <item h="1" x="588"/>
        <item h="1" x="582"/>
        <item h="1" x="215"/>
        <item h="1" x="536"/>
        <item h="1" x="142"/>
        <item h="1" x="448"/>
        <item h="1" x="868"/>
        <item h="1" x="391"/>
        <item h="1" x="37"/>
        <item h="1" x="346"/>
        <item h="1" x="936"/>
        <item h="1" x="763"/>
        <item h="1" x="718"/>
        <item h="1" x="148"/>
        <item h="1" x="227"/>
        <item h="1" x="499"/>
        <item h="1" x="325"/>
        <item h="1" x="823"/>
        <item h="1" x="891"/>
        <item h="1" x="82"/>
        <item h="1" x="760"/>
        <item h="1" x="717"/>
        <item h="1" x="178"/>
        <item h="1" x="105"/>
        <item h="1" x="917"/>
        <item h="1" x="998"/>
        <item h="1" x="466"/>
        <item h="1" x="522"/>
        <item h="1" x="50"/>
        <item h="1" x="240"/>
        <item h="1" x="389"/>
        <item h="1" x="382"/>
        <item h="1" x="543"/>
        <item h="1" x="53"/>
        <item h="1" x="116"/>
        <item h="1" x="640"/>
        <item h="1" x="913"/>
        <item h="1" x="944"/>
        <item h="1" x="494"/>
        <item h="1" x="488"/>
        <item h="1" x="803"/>
        <item h="1" x="856"/>
        <item h="1" x="798"/>
        <item h="1" x="39"/>
        <item h="1" x="455"/>
        <item h="1" x="135"/>
        <item h="1" x="793"/>
        <item h="1" x="858"/>
        <item h="1" x="41"/>
        <item h="1" x="732"/>
        <item h="1" x="984"/>
        <item h="1" x="941"/>
        <item h="1" x="643"/>
        <item h="1" x="506"/>
        <item h="1" x="621"/>
        <item h="1" x="626"/>
        <item h="1" x="985"/>
        <item h="1" x="424"/>
        <item h="1" x="292"/>
        <item h="1" x="88"/>
        <item h="1" x="477"/>
        <item h="1" x="258"/>
        <item h="1" x="663"/>
        <item h="1" x="155"/>
        <item h="1" x="775"/>
        <item h="1" x="417"/>
        <item h="1" x="119"/>
        <item h="1" x="581"/>
        <item h="1" x="244"/>
        <item h="1" x="114"/>
        <item h="1" x="708"/>
        <item h="1" x="508"/>
        <item h="1" x="617"/>
        <item h="1" x="156"/>
        <item h="1" x="654"/>
        <item h="1" x="185"/>
        <item h="1" x="614"/>
        <item h="1" x="70"/>
        <item h="1" x="822"/>
        <item h="1" x="80"/>
        <item h="1" x="461"/>
        <item h="1" x="132"/>
        <item h="1" x="438"/>
        <item h="1" x="982"/>
        <item h="1" x="599"/>
        <item h="1" x="369"/>
        <item h="1" x="101"/>
        <item h="1" x="271"/>
        <item h="1" x="625"/>
        <item h="1" x="893"/>
        <item h="1" x="950"/>
        <item h="1" x="115"/>
        <item h="1" x="651"/>
        <item h="1" x="807"/>
        <item h="1" x="190"/>
        <item h="1" x="567"/>
        <item h="1" x="512"/>
        <item h="1" x="636"/>
        <item h="1" x="761"/>
        <item h="1" x="852"/>
        <item h="1" x="431"/>
        <item h="1" x="437"/>
        <item h="1" x="335"/>
        <item h="1" x="794"/>
        <item h="1" x="826"/>
        <item h="1" x="719"/>
        <item h="1" x="968"/>
        <item h="1" x="237"/>
        <item h="1" x="462"/>
        <item h="1" x="539"/>
        <item h="1" x="456"/>
        <item h="1" x="837"/>
        <item h="1" x="976"/>
        <item h="1" x="14"/>
        <item h="1" x="780"/>
        <item h="1" x="288"/>
        <item h="1" x="211"/>
        <item h="1" x="296"/>
        <item h="1" x="681"/>
        <item h="1" x="322"/>
        <item h="1" x="6"/>
        <item h="1" x="591"/>
        <item h="1" x="232"/>
        <item h="1" x="951"/>
        <item h="1" x="159"/>
        <item h="1" x="48"/>
        <item h="1" x="765"/>
        <item h="1" x="357"/>
        <item h="1" x="791"/>
        <item h="1" x="600"/>
        <item h="1" x="612"/>
        <item h="1" x="234"/>
        <item h="1" x="524"/>
        <item h="1" x="177"/>
        <item h="1" x="797"/>
        <item h="1" x="327"/>
        <item h="1" x="219"/>
        <item h="1" x="261"/>
        <item h="1" x="483"/>
        <item h="1" x="620"/>
        <item h="1" x="611"/>
        <item h="1" x="137"/>
        <item h="1" x="29"/>
        <item h="1" x="427"/>
        <item h="1" x="527"/>
        <item h="1" x="957"/>
        <item h="1" x="145"/>
        <item h="1" x="977"/>
        <item h="1" x="57"/>
        <item h="1" x="300"/>
        <item h="1" x="481"/>
        <item h="1" x="360"/>
        <item h="1" x="906"/>
        <item h="1" x="667"/>
        <item h="1" x="130"/>
        <item h="1" x="209"/>
        <item h="1" x="329"/>
        <item h="1" x="414"/>
        <item h="1" x="675"/>
        <item h="1" x="707"/>
        <item h="1" x="948"/>
        <item h="1" x="545"/>
        <item h="1" x="518"/>
        <item h="1" x="548"/>
        <item h="1" x="673"/>
        <item h="1" x="266"/>
        <item h="1" x="498"/>
        <item h="1" x="804"/>
        <item h="1" x="262"/>
        <item h="1" x="910"/>
        <item t="default"/>
      </items>
    </pivotField>
    <pivotField numFmtId="14" showAll="0">
      <items count="347">
        <item x="68"/>
        <item h="1" x="61"/>
        <item h="1" x="299"/>
        <item h="1" x="183"/>
        <item h="1" x="71"/>
        <item h="1" x="282"/>
        <item h="1" x="23"/>
        <item h="1" x="135"/>
        <item h="1" x="104"/>
        <item h="1" x="1"/>
        <item h="1" x="171"/>
        <item h="1" x="302"/>
        <item h="1" x="150"/>
        <item h="1" x="45"/>
        <item h="1" x="311"/>
        <item h="1" x="214"/>
        <item h="1" x="266"/>
        <item h="1" x="148"/>
        <item h="1" x="113"/>
        <item h="1" x="154"/>
        <item h="1" x="6"/>
        <item h="1" x="158"/>
        <item h="1" x="78"/>
        <item h="1" x="227"/>
        <item h="1" x="232"/>
        <item h="1" x="215"/>
        <item h="1" x="137"/>
        <item h="1" x="292"/>
        <item h="1" x="314"/>
        <item h="1" x="138"/>
        <item h="1" x="169"/>
        <item h="1" x="25"/>
        <item h="1" x="340"/>
        <item h="1" x="333"/>
        <item h="1" x="210"/>
        <item h="1" x="208"/>
        <item h="1" x="21"/>
        <item h="1" x="336"/>
        <item h="1" x="56"/>
        <item h="1" x="118"/>
        <item h="1" x="241"/>
        <item h="1" x="200"/>
        <item h="1" x="325"/>
        <item h="1" x="90"/>
        <item h="1" x="112"/>
        <item h="1" x="185"/>
        <item h="1" x="188"/>
        <item h="1" x="14"/>
        <item h="1" x="99"/>
        <item h="1" x="259"/>
        <item h="1" x="236"/>
        <item h="1" x="156"/>
        <item h="1" x="65"/>
        <item h="1" x="275"/>
        <item h="1" x="342"/>
        <item h="1" x="22"/>
        <item h="1" x="77"/>
        <item h="1" x="256"/>
        <item h="1" x="229"/>
        <item h="1" x="181"/>
        <item h="1" x="16"/>
        <item h="1" x="211"/>
        <item h="1" x="86"/>
        <item h="1" x="245"/>
        <item h="1" x="328"/>
        <item h="1" x="324"/>
        <item h="1" x="195"/>
        <item h="1" x="0"/>
        <item h="1" x="101"/>
        <item h="1" x="305"/>
        <item h="1" x="277"/>
        <item h="1" x="15"/>
        <item h="1" x="323"/>
        <item h="1" x="337"/>
        <item h="1" x="136"/>
        <item h="1" x="216"/>
        <item h="1" x="290"/>
        <item h="1" x="253"/>
        <item h="1" x="233"/>
        <item h="1" x="223"/>
        <item h="1" x="120"/>
        <item h="1" x="166"/>
        <item h="1" x="335"/>
        <item h="1" x="3"/>
        <item h="1" x="341"/>
        <item h="1" x="186"/>
        <item h="1" x="228"/>
        <item h="1" x="116"/>
        <item h="1" x="18"/>
        <item h="1" x="182"/>
        <item h="1" x="264"/>
        <item h="1" x="192"/>
        <item h="1" x="30"/>
        <item h="1" x="174"/>
        <item h="1" x="226"/>
        <item h="1" x="97"/>
        <item h="1" x="9"/>
        <item h="1" x="242"/>
        <item h="1" x="149"/>
        <item h="1" x="59"/>
        <item h="1" x="237"/>
        <item h="1" x="244"/>
        <item h="1" x="212"/>
        <item h="1" x="60"/>
        <item h="1" x="310"/>
        <item h="1" x="178"/>
        <item h="1" x="247"/>
        <item h="1" x="67"/>
        <item h="1" x="298"/>
        <item h="1" x="268"/>
        <item h="1" x="88"/>
        <item h="1" x="308"/>
        <item h="1" x="224"/>
        <item h="1" x="162"/>
        <item h="1" x="234"/>
        <item h="1" x="218"/>
        <item h="1" x="29"/>
        <item h="1" x="197"/>
        <item h="1" x="271"/>
        <item h="1" x="12"/>
        <item h="1" x="75"/>
        <item h="1" x="147"/>
        <item h="1" x="54"/>
        <item h="1" x="17"/>
        <item h="1" x="173"/>
        <item h="1" x="50"/>
        <item h="1" x="345"/>
        <item h="1" x="24"/>
        <item h="1" x="128"/>
        <item h="1" x="47"/>
        <item h="1" x="252"/>
        <item h="1" x="131"/>
        <item h="1" x="7"/>
        <item h="1" x="238"/>
        <item h="1" x="87"/>
        <item h="1" x="198"/>
        <item h="1" x="194"/>
        <item h="1" x="193"/>
        <item h="1" x="108"/>
        <item h="1" x="79"/>
        <item h="1" x="146"/>
        <item h="1" x="286"/>
        <item h="1" x="165"/>
        <item h="1" x="327"/>
        <item h="1" x="81"/>
        <item h="1" x="187"/>
        <item h="1" x="258"/>
        <item h="1" x="52"/>
        <item h="1" x="105"/>
        <item h="1" x="100"/>
        <item h="1" x="72"/>
        <item h="1" x="144"/>
        <item h="1" x="121"/>
        <item h="1" x="37"/>
        <item h="1" x="124"/>
        <item h="1" x="91"/>
        <item h="1" x="199"/>
        <item h="1" x="157"/>
        <item h="1" x="111"/>
        <item h="1" x="140"/>
        <item h="1" x="44"/>
        <item h="1" x="273"/>
        <item h="1" x="145"/>
        <item h="1" x="27"/>
        <item h="1" x="203"/>
        <item h="1" x="254"/>
        <item h="1" x="205"/>
        <item h="1" x="320"/>
        <item h="1" x="161"/>
        <item h="1" x="139"/>
        <item h="1" x="201"/>
        <item h="1" x="288"/>
        <item h="1" x="225"/>
        <item h="1" x="230"/>
        <item h="1" x="239"/>
        <item h="1" x="133"/>
        <item h="1" x="82"/>
        <item h="1" x="151"/>
        <item h="1" x="344"/>
        <item h="1" x="84"/>
        <item h="1" x="39"/>
        <item h="1" x="35"/>
        <item h="1" x="206"/>
        <item h="1" x="250"/>
        <item h="1" x="294"/>
        <item h="1" x="102"/>
        <item h="1" x="326"/>
        <item h="1" x="306"/>
        <item h="1" x="153"/>
        <item h="1" x="123"/>
        <item h="1" x="222"/>
        <item h="1" x="89"/>
        <item h="1" x="329"/>
        <item h="1" x="339"/>
        <item h="1" x="180"/>
        <item h="1" x="263"/>
        <item h="1" x="38"/>
        <item h="1" x="95"/>
        <item h="1" x="283"/>
        <item h="1" x="63"/>
        <item h="1" x="309"/>
        <item h="1" x="94"/>
        <item h="1" x="26"/>
        <item h="1" x="246"/>
        <item h="1" x="184"/>
        <item h="1" x="278"/>
        <item h="1" x="28"/>
        <item h="1" x="13"/>
        <item h="1" x="167"/>
        <item h="1" x="96"/>
        <item h="1" x="19"/>
        <item h="1" x="122"/>
        <item h="1" x="334"/>
        <item h="1" x="93"/>
        <item h="1" x="83"/>
        <item h="1" x="318"/>
        <item h="1" x="92"/>
        <item h="1" x="272"/>
        <item h="1" x="172"/>
        <item h="1" x="43"/>
        <item h="1" x="70"/>
        <item h="1" x="276"/>
        <item h="1" x="270"/>
        <item h="1" x="331"/>
        <item h="1" x="125"/>
        <item h="1" x="40"/>
        <item h="1" x="168"/>
        <item h="1" x="221"/>
        <item h="1" x="179"/>
        <item h="1" x="66"/>
        <item h="1" x="190"/>
        <item h="1" x="248"/>
        <item h="1" x="107"/>
        <item h="1" x="240"/>
        <item h="1" x="260"/>
        <item h="1" x="255"/>
        <item h="1" x="11"/>
        <item h="1" x="64"/>
        <item h="1" x="209"/>
        <item h="1" x="48"/>
        <item h="1" x="119"/>
        <item h="1" x="110"/>
        <item h="1" x="287"/>
        <item h="1" x="274"/>
        <item h="1" x="343"/>
        <item h="1" x="31"/>
        <item h="1" x="130"/>
        <item h="1" x="170"/>
        <item h="1" x="261"/>
        <item h="1" x="202"/>
        <item h="1" x="114"/>
        <item h="1" x="155"/>
        <item h="1" x="289"/>
        <item h="1" x="213"/>
        <item h="1" x="76"/>
        <item h="1" x="285"/>
        <item h="1" x="33"/>
        <item h="1" x="58"/>
        <item h="1" x="2"/>
        <item h="1" x="5"/>
        <item h="1" x="249"/>
        <item h="1" x="160"/>
        <item h="1" x="322"/>
        <item h="1" x="296"/>
        <item h="1" x="217"/>
        <item h="1" x="53"/>
        <item h="1" x="280"/>
        <item h="1" x="8"/>
        <item h="1" x="141"/>
        <item h="1" x="279"/>
        <item h="1" x="251"/>
        <item h="1" x="321"/>
        <item h="1" x="55"/>
        <item h="1" x="317"/>
        <item h="1" x="69"/>
        <item h="1" x="80"/>
        <item h="1" x="332"/>
        <item h="1" x="34"/>
        <item h="1" x="220"/>
        <item h="1" x="62"/>
        <item h="1" x="103"/>
        <item h="1" x="281"/>
        <item h="1" x="312"/>
        <item h="1" x="74"/>
        <item h="1" x="46"/>
        <item h="1" x="300"/>
        <item h="1" x="330"/>
        <item h="1" x="109"/>
        <item h="1" x="106"/>
        <item h="1" x="196"/>
        <item h="1" x="32"/>
        <item h="1" x="307"/>
        <item h="1" x="235"/>
        <item h="1" x="315"/>
        <item h="1" x="132"/>
        <item h="1" x="163"/>
        <item h="1" x="164"/>
        <item h="1" x="189"/>
        <item h="1" x="207"/>
        <item h="1" x="269"/>
        <item h="1" x="49"/>
        <item h="1" x="10"/>
        <item h="1" x="295"/>
        <item h="1" x="57"/>
        <item h="1" x="219"/>
        <item h="1" x="301"/>
        <item h="1" x="304"/>
        <item h="1" x="303"/>
        <item h="1" x="293"/>
        <item h="1" x="117"/>
        <item h="1" x="20"/>
        <item h="1" x="265"/>
        <item h="1" x="316"/>
        <item h="1" x="262"/>
        <item h="1" x="98"/>
        <item h="1" x="51"/>
        <item h="1" x="204"/>
        <item h="1" x="175"/>
        <item h="1" x="73"/>
        <item h="1" x="134"/>
        <item h="1" x="4"/>
        <item h="1" x="319"/>
        <item h="1" x="142"/>
        <item h="1" x="338"/>
        <item h="1" x="42"/>
        <item h="1" x="152"/>
        <item h="1" x="127"/>
        <item h="1" x="143"/>
        <item h="1" x="115"/>
        <item h="1" x="159"/>
        <item h="1" x="191"/>
        <item h="1" x="243"/>
        <item h="1" x="129"/>
        <item h="1" x="297"/>
        <item h="1" x="177"/>
        <item h="1" x="284"/>
        <item h="1" x="36"/>
        <item h="1" x="126"/>
        <item h="1" x="267"/>
        <item h="1" x="41"/>
        <item h="1" x="231"/>
        <item h="1" x="291"/>
        <item h="1" x="176"/>
        <item h="1" x="85"/>
        <item h="1" x="313"/>
        <item h="1" x="257"/>
        <item t="default"/>
      </items>
    </pivotField>
    <pivotField axis="axisRow" showAll="0">
      <items count="7">
        <item x="0"/>
        <item x="3"/>
        <item x="5"/>
        <item x="2"/>
        <item x="1"/>
        <item x="4"/>
        <item t="default"/>
      </items>
    </pivotField>
    <pivotField dataField="1" showAll="0">
      <items count="42">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8"/>
  </rowFields>
  <rowItems count="7">
    <i>
      <x/>
    </i>
    <i>
      <x v="1"/>
    </i>
    <i>
      <x v="2"/>
    </i>
    <i>
      <x v="3"/>
    </i>
    <i>
      <x v="4"/>
    </i>
    <i>
      <x v="5"/>
    </i>
    <i t="grand">
      <x/>
    </i>
  </rowItems>
  <colItems count="1">
    <i/>
  </colItems>
  <dataFields count="1">
    <dataField name="Average of Customer Rating" fld="9" subtotal="average" baseField="8" baseItem="0"/>
  </dataFields>
  <chartFormats count="2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5"/>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 chart="1" format="4">
      <pivotArea type="data" outline="0" fieldPosition="0">
        <references count="2">
          <reference field="4294967294" count="1" selected="0">
            <x v="0"/>
          </reference>
          <reference field="8" count="1" selected="0">
            <x v="2"/>
          </reference>
        </references>
      </pivotArea>
    </chartFormat>
    <chartFormat chart="1" format="5">
      <pivotArea type="data" outline="0" fieldPosition="0">
        <references count="2">
          <reference field="4294967294" count="1" selected="0">
            <x v="0"/>
          </reference>
          <reference field="8" count="1" selected="0">
            <x v="3"/>
          </reference>
        </references>
      </pivotArea>
    </chartFormat>
    <chartFormat chart="1" format="6">
      <pivotArea type="data" outline="0" fieldPosition="0">
        <references count="2">
          <reference field="4294967294" count="1" selected="0">
            <x v="0"/>
          </reference>
          <reference field="8"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8" count="1" selected="0">
            <x v="0"/>
          </reference>
        </references>
      </pivotArea>
    </chartFormat>
    <chartFormat chart="5" format="9">
      <pivotArea type="data" outline="0" fieldPosition="0">
        <references count="2">
          <reference field="4294967294" count="1" selected="0">
            <x v="0"/>
          </reference>
          <reference field="8" count="1" selected="0">
            <x v="1"/>
          </reference>
        </references>
      </pivotArea>
    </chartFormat>
    <chartFormat chart="5" format="10">
      <pivotArea type="data" outline="0" fieldPosition="0">
        <references count="2">
          <reference field="4294967294" count="1" selected="0">
            <x v="0"/>
          </reference>
          <reference field="8" count="1" selected="0">
            <x v="2"/>
          </reference>
        </references>
      </pivotArea>
    </chartFormat>
    <chartFormat chart="5" format="11">
      <pivotArea type="data" outline="0" fieldPosition="0">
        <references count="2">
          <reference field="4294967294" count="1" selected="0">
            <x v="0"/>
          </reference>
          <reference field="8" count="1" selected="0">
            <x v="3"/>
          </reference>
        </references>
      </pivotArea>
    </chartFormat>
    <chartFormat chart="5" format="12">
      <pivotArea type="data" outline="0" fieldPosition="0">
        <references count="2">
          <reference field="4294967294" count="1" selected="0">
            <x v="0"/>
          </reference>
          <reference field="8" count="1" selected="0">
            <x v="4"/>
          </reference>
        </references>
      </pivotArea>
    </chartFormat>
    <chartFormat chart="5" format="13">
      <pivotArea type="data" outline="0" fieldPosition="0">
        <references count="2">
          <reference field="4294967294" count="1" selected="0">
            <x v="0"/>
          </reference>
          <reference field="8"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8" count="1" selected="0">
            <x v="0"/>
          </reference>
        </references>
      </pivotArea>
    </chartFormat>
    <chartFormat chart="6" format="16">
      <pivotArea type="data" outline="0" fieldPosition="0">
        <references count="2">
          <reference field="4294967294" count="1" selected="0">
            <x v="0"/>
          </reference>
          <reference field="8" count="1" selected="0">
            <x v="1"/>
          </reference>
        </references>
      </pivotArea>
    </chartFormat>
    <chartFormat chart="6" format="17">
      <pivotArea type="data" outline="0" fieldPosition="0">
        <references count="2">
          <reference field="4294967294" count="1" selected="0">
            <x v="0"/>
          </reference>
          <reference field="8" count="1" selected="0">
            <x v="2"/>
          </reference>
        </references>
      </pivotArea>
    </chartFormat>
    <chartFormat chart="6" format="18">
      <pivotArea type="data" outline="0" fieldPosition="0">
        <references count="2">
          <reference field="4294967294" count="1" selected="0">
            <x v="0"/>
          </reference>
          <reference field="8" count="1" selected="0">
            <x v="3"/>
          </reference>
        </references>
      </pivotArea>
    </chartFormat>
    <chartFormat chart="6" format="19">
      <pivotArea type="data" outline="0" fieldPosition="0">
        <references count="2">
          <reference field="4294967294" count="1" selected="0">
            <x v="0"/>
          </reference>
          <reference field="8" count="1" selected="0">
            <x v="4"/>
          </reference>
        </references>
      </pivotArea>
    </chartFormat>
    <chartFormat chart="6" format="20">
      <pivotArea type="data" outline="0" fieldPosition="0">
        <references count="2">
          <reference field="4294967294" count="1" selected="0">
            <x v="0"/>
          </reference>
          <reference field="8" count="1" selected="0">
            <x v="5"/>
          </reference>
        </references>
      </pivotArea>
    </chartFormat>
  </chart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73195A-7D62-42BC-943C-DF649CE98EE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2:I15" firstHeaderRow="1" firstDataRow="1" firstDataCol="1"/>
  <pivotFields count="15">
    <pivotField showAll="0"/>
    <pivotField showAll="0">
      <items count="26">
        <item x="1"/>
        <item x="2"/>
        <item x="11"/>
        <item x="13"/>
        <item x="24"/>
        <item x="9"/>
        <item x="16"/>
        <item x="7"/>
        <item x="6"/>
        <item x="10"/>
        <item x="21"/>
        <item x="17"/>
        <item x="18"/>
        <item x="3"/>
        <item x="20"/>
        <item x="8"/>
        <item x="19"/>
        <item x="0"/>
        <item x="4"/>
        <item x="14"/>
        <item x="23"/>
        <item x="5"/>
        <item x="12"/>
        <item x="22"/>
        <item x="15"/>
        <item t="default"/>
      </items>
    </pivotField>
    <pivotField showAll="0">
      <items count="6">
        <item x="0"/>
        <item x="2"/>
        <item x="4"/>
        <item x="3"/>
        <item x="1"/>
        <item t="default"/>
      </items>
    </pivotField>
    <pivotField showAll="0"/>
    <pivotField showAll="0"/>
    <pivotField showAll="0"/>
    <pivotField dataField="1" showAll="0"/>
    <pivotField axis="axisRow" numFmtId="14" showAll="0">
      <items count="347">
        <item x="68"/>
        <item x="61"/>
        <item x="299"/>
        <item x="183"/>
        <item x="71"/>
        <item x="282"/>
        <item x="23"/>
        <item x="135"/>
        <item x="104"/>
        <item x="1"/>
        <item x="171"/>
        <item x="302"/>
        <item x="150"/>
        <item x="45"/>
        <item x="311"/>
        <item x="214"/>
        <item x="266"/>
        <item x="148"/>
        <item x="113"/>
        <item x="154"/>
        <item x="6"/>
        <item x="158"/>
        <item x="78"/>
        <item x="227"/>
        <item x="232"/>
        <item x="215"/>
        <item x="137"/>
        <item x="292"/>
        <item x="314"/>
        <item x="138"/>
        <item x="169"/>
        <item x="25"/>
        <item x="340"/>
        <item x="333"/>
        <item x="210"/>
        <item x="208"/>
        <item x="21"/>
        <item x="336"/>
        <item x="56"/>
        <item x="118"/>
        <item x="241"/>
        <item x="200"/>
        <item x="325"/>
        <item x="90"/>
        <item x="112"/>
        <item x="185"/>
        <item x="188"/>
        <item x="14"/>
        <item x="99"/>
        <item x="259"/>
        <item x="236"/>
        <item x="156"/>
        <item x="65"/>
        <item x="275"/>
        <item x="342"/>
        <item x="22"/>
        <item x="77"/>
        <item x="256"/>
        <item x="229"/>
        <item x="181"/>
        <item x="16"/>
        <item x="211"/>
        <item x="86"/>
        <item x="245"/>
        <item x="328"/>
        <item x="324"/>
        <item x="195"/>
        <item x="0"/>
        <item x="101"/>
        <item x="305"/>
        <item x="277"/>
        <item x="15"/>
        <item x="323"/>
        <item x="337"/>
        <item x="136"/>
        <item x="216"/>
        <item x="290"/>
        <item x="253"/>
        <item x="233"/>
        <item x="223"/>
        <item x="120"/>
        <item x="166"/>
        <item x="335"/>
        <item x="3"/>
        <item x="341"/>
        <item x="186"/>
        <item x="228"/>
        <item x="116"/>
        <item x="18"/>
        <item x="182"/>
        <item x="264"/>
        <item x="192"/>
        <item x="30"/>
        <item x="174"/>
        <item x="226"/>
        <item x="97"/>
        <item x="9"/>
        <item x="242"/>
        <item x="149"/>
        <item x="59"/>
        <item x="237"/>
        <item x="244"/>
        <item x="212"/>
        <item x="60"/>
        <item x="310"/>
        <item x="178"/>
        <item x="247"/>
        <item x="67"/>
        <item x="298"/>
        <item x="268"/>
        <item x="88"/>
        <item x="308"/>
        <item x="224"/>
        <item x="162"/>
        <item x="234"/>
        <item x="218"/>
        <item x="29"/>
        <item x="197"/>
        <item x="271"/>
        <item x="12"/>
        <item x="75"/>
        <item x="147"/>
        <item x="54"/>
        <item x="17"/>
        <item x="173"/>
        <item x="50"/>
        <item x="345"/>
        <item x="24"/>
        <item x="128"/>
        <item x="47"/>
        <item x="252"/>
        <item x="131"/>
        <item x="7"/>
        <item x="238"/>
        <item x="87"/>
        <item x="198"/>
        <item x="194"/>
        <item x="193"/>
        <item x="108"/>
        <item x="79"/>
        <item x="146"/>
        <item x="286"/>
        <item x="165"/>
        <item x="327"/>
        <item x="81"/>
        <item x="187"/>
        <item x="258"/>
        <item x="52"/>
        <item x="105"/>
        <item x="100"/>
        <item x="72"/>
        <item x="144"/>
        <item x="121"/>
        <item x="37"/>
        <item x="124"/>
        <item x="91"/>
        <item x="199"/>
        <item x="157"/>
        <item x="111"/>
        <item x="140"/>
        <item x="44"/>
        <item x="273"/>
        <item x="145"/>
        <item x="27"/>
        <item x="203"/>
        <item x="254"/>
        <item x="205"/>
        <item x="320"/>
        <item x="161"/>
        <item x="139"/>
        <item x="201"/>
        <item x="288"/>
        <item x="225"/>
        <item x="230"/>
        <item x="239"/>
        <item x="133"/>
        <item x="82"/>
        <item x="151"/>
        <item x="344"/>
        <item x="84"/>
        <item x="39"/>
        <item x="35"/>
        <item x="206"/>
        <item x="250"/>
        <item x="294"/>
        <item x="102"/>
        <item x="326"/>
        <item x="306"/>
        <item x="153"/>
        <item x="123"/>
        <item x="222"/>
        <item x="89"/>
        <item x="329"/>
        <item x="339"/>
        <item x="180"/>
        <item x="263"/>
        <item x="38"/>
        <item x="95"/>
        <item x="283"/>
        <item x="63"/>
        <item x="309"/>
        <item x="94"/>
        <item x="26"/>
        <item x="246"/>
        <item x="184"/>
        <item x="278"/>
        <item x="28"/>
        <item x="13"/>
        <item x="167"/>
        <item x="96"/>
        <item x="19"/>
        <item x="122"/>
        <item x="334"/>
        <item x="93"/>
        <item x="83"/>
        <item x="318"/>
        <item x="92"/>
        <item x="272"/>
        <item x="172"/>
        <item x="43"/>
        <item x="70"/>
        <item x="276"/>
        <item x="270"/>
        <item x="331"/>
        <item x="125"/>
        <item x="40"/>
        <item x="168"/>
        <item x="221"/>
        <item x="179"/>
        <item x="66"/>
        <item x="190"/>
        <item x="248"/>
        <item x="107"/>
        <item x="240"/>
        <item x="260"/>
        <item x="255"/>
        <item x="11"/>
        <item x="64"/>
        <item x="209"/>
        <item x="48"/>
        <item x="119"/>
        <item x="110"/>
        <item x="287"/>
        <item x="274"/>
        <item x="343"/>
        <item x="31"/>
        <item x="130"/>
        <item x="170"/>
        <item x="261"/>
        <item x="202"/>
        <item x="114"/>
        <item x="155"/>
        <item x="289"/>
        <item x="213"/>
        <item x="76"/>
        <item x="285"/>
        <item x="33"/>
        <item x="58"/>
        <item x="2"/>
        <item x="5"/>
        <item x="249"/>
        <item x="160"/>
        <item x="322"/>
        <item x="296"/>
        <item x="217"/>
        <item x="53"/>
        <item x="280"/>
        <item x="8"/>
        <item x="141"/>
        <item x="279"/>
        <item x="251"/>
        <item x="321"/>
        <item x="55"/>
        <item x="317"/>
        <item x="69"/>
        <item x="80"/>
        <item x="332"/>
        <item x="34"/>
        <item x="220"/>
        <item x="62"/>
        <item x="103"/>
        <item x="281"/>
        <item x="312"/>
        <item x="74"/>
        <item x="46"/>
        <item x="300"/>
        <item x="330"/>
        <item x="109"/>
        <item x="106"/>
        <item x="196"/>
        <item x="32"/>
        <item x="307"/>
        <item x="235"/>
        <item x="315"/>
        <item x="132"/>
        <item x="163"/>
        <item x="164"/>
        <item x="189"/>
        <item x="207"/>
        <item x="269"/>
        <item x="49"/>
        <item x="10"/>
        <item x="295"/>
        <item x="57"/>
        <item x="219"/>
        <item x="301"/>
        <item x="304"/>
        <item x="303"/>
        <item x="293"/>
        <item x="117"/>
        <item x="20"/>
        <item x="265"/>
        <item x="316"/>
        <item x="262"/>
        <item x="98"/>
        <item x="51"/>
        <item x="204"/>
        <item x="175"/>
        <item x="73"/>
        <item x="134"/>
        <item x="4"/>
        <item x="319"/>
        <item x="142"/>
        <item x="338"/>
        <item x="42"/>
        <item x="152"/>
        <item x="127"/>
        <item x="143"/>
        <item x="115"/>
        <item x="159"/>
        <item x="191"/>
        <item x="243"/>
        <item x="129"/>
        <item x="297"/>
        <item x="177"/>
        <item x="284"/>
        <item x="36"/>
        <item x="126"/>
        <item x="267"/>
        <item x="41"/>
        <item x="231"/>
        <item x="291"/>
        <item x="176"/>
        <item x="85"/>
        <item x="313"/>
        <item x="257"/>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12"/>
    <field x="7"/>
  </rowFields>
  <rowItems count="13">
    <i>
      <x v="1"/>
    </i>
    <i>
      <x v="2"/>
    </i>
    <i>
      <x v="3"/>
    </i>
    <i>
      <x v="4"/>
    </i>
    <i>
      <x v="5"/>
    </i>
    <i>
      <x v="6"/>
    </i>
    <i>
      <x v="7"/>
    </i>
    <i>
      <x v="8"/>
    </i>
    <i>
      <x v="9"/>
    </i>
    <i>
      <x v="10"/>
    </i>
    <i>
      <x v="11"/>
    </i>
    <i>
      <x v="12"/>
    </i>
    <i t="grand">
      <x/>
    </i>
  </rowItems>
  <colItems count="1">
    <i/>
  </colItems>
  <dataFields count="1">
    <dataField name="Sum of Total Sales (INR)"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7AB53D-F464-4459-988C-1BF156C0437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y">
  <location ref="R18:S24" firstHeaderRow="1" firstDataRow="1" firstDataCol="1"/>
  <pivotFields count="15">
    <pivotField showAll="0"/>
    <pivotField showAll="0"/>
    <pivotField axis="axisRow" showAll="0">
      <items count="6">
        <item x="0"/>
        <item x="2"/>
        <item x="4"/>
        <item x="3"/>
        <item x="1"/>
        <item t="default"/>
      </items>
    </pivotField>
    <pivotField showAll="0"/>
    <pivotField showAll="0"/>
    <pivotField showAll="0"/>
    <pivotField dataField="1" showAll="0">
      <items count="1001">
        <item x="755"/>
        <item x="139"/>
        <item x="859"/>
        <item x="908"/>
        <item x="38"/>
        <item x="220"/>
        <item x="514"/>
        <item x="406"/>
        <item x="392"/>
        <item x="423"/>
        <item x="453"/>
        <item x="705"/>
        <item x="284"/>
        <item x="34"/>
        <item x="108"/>
        <item x="727"/>
        <item x="686"/>
        <item x="670"/>
        <item x="409"/>
        <item x="928"/>
        <item x="79"/>
        <item x="744"/>
        <item x="410"/>
        <item x="469"/>
        <item x="946"/>
        <item x="26"/>
        <item x="250"/>
        <item x="69"/>
        <item x="378"/>
        <item x="192"/>
        <item x="759"/>
        <item x="606"/>
        <item x="68"/>
        <item x="319"/>
        <item x="575"/>
        <item x="264"/>
        <item x="813"/>
        <item x="632"/>
        <item x="152"/>
        <item x="866"/>
        <item x="546"/>
        <item x="154"/>
        <item x="772"/>
        <item x="136"/>
        <item x="64"/>
        <item x="324"/>
        <item x="463"/>
        <item x="418"/>
        <item x="281"/>
        <item x="297"/>
        <item x="94"/>
        <item x="752"/>
        <item x="532"/>
        <item x="736"/>
        <item x="768"/>
        <item x="309"/>
        <item x="739"/>
        <item x="882"/>
        <item x="986"/>
        <item x="141"/>
        <item x="412"/>
        <item x="721"/>
        <item x="32"/>
        <item x="757"/>
        <item x="835"/>
        <item x="359"/>
        <item x="534"/>
        <item x="747"/>
        <item x="157"/>
        <item x="975"/>
        <item x="46"/>
        <item x="435"/>
        <item x="340"/>
        <item x="565"/>
        <item x="411"/>
        <item x="316"/>
        <item x="952"/>
        <item x="955"/>
        <item x="358"/>
        <item x="641"/>
        <item x="164"/>
        <item x="175"/>
        <item x="776"/>
        <item x="741"/>
        <item x="972"/>
        <item x="402"/>
        <item x="500"/>
        <item x="983"/>
        <item x="580"/>
        <item x="525"/>
        <item x="321"/>
        <item x="323"/>
        <item x="372"/>
        <item x="959"/>
        <item x="180"/>
        <item x="8"/>
        <item x="366"/>
        <item x="127"/>
        <item x="371"/>
        <item x="699"/>
        <item x="694"/>
        <item x="491"/>
        <item x="356"/>
        <item x="471"/>
        <item x="730"/>
        <item x="22"/>
        <item x="806"/>
        <item x="881"/>
        <item x="576"/>
        <item x="756"/>
        <item x="996"/>
        <item x="661"/>
        <item x="608"/>
        <item x="845"/>
        <item x="647"/>
        <item x="441"/>
        <item x="78"/>
        <item x="183"/>
        <item x="507"/>
        <item x="961"/>
        <item x="20"/>
        <item x="962"/>
        <item x="924"/>
        <item x="72"/>
        <item x="76"/>
        <item x="303"/>
        <item x="246"/>
        <item x="87"/>
        <item x="98"/>
        <item x="207"/>
        <item x="855"/>
        <item x="974"/>
        <item x="253"/>
        <item x="397"/>
        <item x="363"/>
        <item x="186"/>
        <item x="926"/>
        <item x="510"/>
        <item x="789"/>
        <item x="685"/>
        <item x="188"/>
        <item x="480"/>
        <item x="305"/>
        <item x="627"/>
        <item x="564"/>
        <item x="716"/>
        <item x="482"/>
        <item x="375"/>
        <item x="416"/>
        <item x="404"/>
        <item x="709"/>
        <item x="609"/>
        <item x="432"/>
        <item x="291"/>
        <item x="104"/>
        <item x="42"/>
        <item x="878"/>
        <item x="399"/>
        <item x="318"/>
        <item x="725"/>
        <item x="792"/>
        <item x="171"/>
        <item x="421"/>
        <item x="896"/>
        <item x="310"/>
        <item x="445"/>
        <item x="287"/>
        <item x="991"/>
        <item x="703"/>
        <item x="140"/>
        <item x="111"/>
        <item x="213"/>
        <item x="56"/>
        <item x="276"/>
        <item x="444"/>
        <item x="12"/>
        <item x="766"/>
        <item x="542"/>
        <item x="173"/>
        <item x="338"/>
        <item x="843"/>
        <item x="62"/>
        <item x="818"/>
        <item x="573"/>
        <item x="825"/>
        <item x="217"/>
        <item x="817"/>
        <item x="970"/>
        <item x="398"/>
        <item x="1"/>
        <item x="239"/>
        <item x="758"/>
        <item x="956"/>
        <item x="623"/>
        <item x="969"/>
        <item x="112"/>
        <item x="464"/>
        <item x="989"/>
        <item x="988"/>
        <item x="513"/>
        <item x="84"/>
        <item x="40"/>
        <item x="710"/>
        <item x="864"/>
        <item x="306"/>
        <item x="51"/>
        <item x="865"/>
        <item x="265"/>
        <item x="645"/>
        <item x="662"/>
        <item x="702"/>
        <item x="35"/>
        <item x="298"/>
        <item x="45"/>
        <item x="484"/>
        <item x="557"/>
        <item x="593"/>
        <item x="339"/>
        <item x="103"/>
        <item x="425"/>
        <item x="113"/>
        <item x="256"/>
        <item x="814"/>
        <item x="700"/>
        <item x="454"/>
        <item x="168"/>
        <item x="783"/>
        <item x="587"/>
        <item x="7"/>
        <item x="748"/>
        <item x="174"/>
        <item x="633"/>
        <item x="447"/>
        <item x="193"/>
        <item x="828"/>
        <item x="978"/>
        <item x="729"/>
        <item x="563"/>
        <item x="21"/>
        <item x="355"/>
        <item x="308"/>
        <item x="99"/>
        <item x="598"/>
        <item x="555"/>
        <item x="684"/>
        <item x="849"/>
        <item x="198"/>
        <item x="307"/>
        <item x="994"/>
        <item x="584"/>
        <item x="769"/>
        <item x="143"/>
        <item x="915"/>
        <item x="638"/>
        <item x="943"/>
        <item x="420"/>
        <item x="770"/>
        <item x="850"/>
        <item x="349"/>
        <item x="833"/>
        <item x="400"/>
        <item x="964"/>
        <item x="468"/>
        <item x="870"/>
        <item x="851"/>
        <item x="981"/>
        <item x="44"/>
        <item x="275"/>
        <item x="590"/>
        <item x="24"/>
        <item x="516"/>
        <item x="133"/>
        <item x="528"/>
        <item x="129"/>
        <item x="832"/>
        <item x="873"/>
        <item x="487"/>
        <item x="650"/>
        <item x="236"/>
        <item x="333"/>
        <item x="214"/>
        <item x="204"/>
        <item x="596"/>
        <item x="995"/>
        <item x="624"/>
        <item x="560"/>
        <item x="451"/>
        <item x="301"/>
        <item x="202"/>
        <item x="619"/>
        <item x="869"/>
        <item x="927"/>
        <item x="429"/>
        <item x="109"/>
        <item x="379"/>
        <item x="302"/>
        <item x="176"/>
        <item x="610"/>
        <item x="602"/>
        <item x="679"/>
        <item x="526"/>
        <item x="656"/>
        <item x="293"/>
        <item x="901"/>
        <item x="652"/>
        <item x="801"/>
        <item x="867"/>
        <item x="364"/>
        <item x="556"/>
        <item x="743"/>
        <item x="698"/>
        <item x="751"/>
        <item x="205"/>
        <item x="467"/>
        <item x="75"/>
        <item x="519"/>
        <item x="459"/>
        <item x="505"/>
        <item x="61"/>
        <item x="777"/>
        <item x="169"/>
        <item x="958"/>
        <item x="840"/>
        <item x="764"/>
        <item x="877"/>
        <item x="648"/>
        <item x="138"/>
        <item x="615"/>
        <item x="934"/>
        <item x="248"/>
        <item x="147"/>
        <item x="889"/>
        <item x="874"/>
        <item x="665"/>
        <item x="267"/>
        <item x="503"/>
        <item x="77"/>
        <item x="107"/>
        <item x="925"/>
        <item x="884"/>
        <item x="251"/>
        <item x="290"/>
        <item x="746"/>
        <item x="254"/>
        <item x="711"/>
        <item x="697"/>
        <item x="888"/>
        <item x="354"/>
        <item x="351"/>
        <item x="562"/>
        <item x="492"/>
        <item x="754"/>
        <item x="531"/>
        <item x="216"/>
        <item x="497"/>
        <item x="381"/>
        <item x="344"/>
        <item x="802"/>
        <item x="876"/>
        <item x="642"/>
        <item x="585"/>
        <item x="929"/>
        <item x="317"/>
        <item x="182"/>
        <item x="490"/>
        <item x="750"/>
        <item x="9"/>
        <item x="370"/>
        <item x="199"/>
        <item x="550"/>
        <item x="73"/>
        <item x="501"/>
        <item x="812"/>
        <item x="249"/>
        <item x="473"/>
        <item x="816"/>
        <item x="18"/>
        <item x="676"/>
        <item x="279"/>
        <item x="872"/>
        <item x="149"/>
        <item x="16"/>
        <item x="419"/>
        <item x="19"/>
        <item x="863"/>
        <item x="735"/>
        <item x="121"/>
        <item x="428"/>
        <item x="903"/>
        <item x="693"/>
        <item x="778"/>
        <item x="160"/>
        <item x="762"/>
        <item x="247"/>
        <item x="184"/>
        <item x="273"/>
        <item x="367"/>
        <item x="485"/>
        <item x="118"/>
        <item x="629"/>
        <item x="666"/>
        <item x="304"/>
        <item x="678"/>
        <item x="914"/>
        <item x="102"/>
        <item x="151"/>
        <item x="91"/>
        <item x="3"/>
        <item x="263"/>
        <item x="999"/>
        <item x="578"/>
        <item x="283"/>
        <item x="27"/>
        <item x="898"/>
        <item x="486"/>
        <item x="128"/>
        <item x="726"/>
        <item x="221"/>
        <item x="465"/>
        <item x="17"/>
        <item x="383"/>
        <item x="644"/>
        <item x="529"/>
        <item x="10"/>
        <item x="740"/>
        <item x="489"/>
        <item x="93"/>
        <item x="201"/>
        <item x="348"/>
        <item x="690"/>
        <item x="194"/>
        <item x="689"/>
        <item x="844"/>
        <item x="658"/>
        <item x="862"/>
        <item x="607"/>
        <item x="206"/>
        <item x="517"/>
        <item x="195"/>
        <item x="824"/>
        <item x="980"/>
        <item x="521"/>
        <item x="894"/>
        <item x="592"/>
        <item x="987"/>
        <item x="841"/>
        <item x="212"/>
        <item x="568"/>
        <item x="235"/>
        <item x="100"/>
        <item x="361"/>
        <item x="646"/>
        <item x="153"/>
        <item x="875"/>
        <item x="715"/>
        <item x="347"/>
        <item x="272"/>
        <item x="2"/>
        <item x="385"/>
        <item x="579"/>
        <item x="58"/>
        <item x="788"/>
        <item x="571"/>
        <item x="831"/>
        <item x="781"/>
        <item x="92"/>
        <item x="395"/>
        <item x="734"/>
        <item x="683"/>
        <item x="767"/>
        <item x="552"/>
        <item x="853"/>
        <item x="947"/>
        <item x="63"/>
        <item x="238"/>
        <item x="224"/>
        <item x="846"/>
        <item x="294"/>
        <item x="225"/>
        <item x="450"/>
        <item x="458"/>
        <item x="879"/>
        <item x="146"/>
        <item x="472"/>
        <item x="446"/>
        <item x="622"/>
        <item x="805"/>
        <item x="577"/>
        <item x="479"/>
        <item x="753"/>
        <item x="165"/>
        <item x="541"/>
        <item x="680"/>
        <item x="170"/>
        <item x="520"/>
        <item x="97"/>
        <item x="326"/>
        <item x="162"/>
        <item x="523"/>
        <item x="854"/>
        <item x="886"/>
        <item x="274"/>
        <item x="722"/>
        <item x="589"/>
        <item x="328"/>
        <item x="443"/>
        <item x="838"/>
        <item x="911"/>
        <item x="566"/>
        <item x="407"/>
        <item x="268"/>
        <item x="374"/>
        <item x="549"/>
        <item x="515"/>
        <item x="895"/>
        <item x="243"/>
        <item x="200"/>
        <item x="938"/>
        <item x="493"/>
        <item x="396"/>
        <item x="714"/>
        <item x="720"/>
        <item x="538"/>
        <item x="839"/>
        <item x="993"/>
        <item x="0"/>
        <item x="231"/>
        <item x="603"/>
        <item x="784"/>
        <item x="774"/>
        <item x="723"/>
        <item x="259"/>
        <item x="779"/>
        <item x="786"/>
        <item x="167"/>
        <item x="561"/>
        <item x="439"/>
        <item x="572"/>
        <item x="342"/>
        <item x="992"/>
        <item x="478"/>
        <item x="601"/>
        <item x="660"/>
        <item x="380"/>
        <item x="55"/>
        <item x="787"/>
        <item x="649"/>
        <item x="208"/>
        <item x="674"/>
        <item x="71"/>
        <item x="95"/>
        <item x="179"/>
        <item x="880"/>
        <item x="394"/>
        <item x="860"/>
        <item x="919"/>
        <item x="331"/>
        <item x="973"/>
        <item x="257"/>
        <item x="847"/>
        <item x="922"/>
        <item x="920"/>
        <item x="337"/>
        <item x="96"/>
        <item x="811"/>
        <item x="533"/>
        <item x="530"/>
        <item x="365"/>
        <item x="90"/>
        <item x="796"/>
        <item x="401"/>
        <item x="704"/>
        <item x="433"/>
        <item x="222"/>
        <item x="229"/>
        <item x="81"/>
        <item x="737"/>
        <item x="692"/>
        <item x="809"/>
        <item x="728"/>
        <item x="386"/>
        <item x="687"/>
        <item x="940"/>
        <item x="932"/>
        <item x="122"/>
        <item x="848"/>
        <item x="54"/>
        <item x="785"/>
        <item x="403"/>
        <item x="511"/>
        <item x="595"/>
        <item x="653"/>
        <item x="47"/>
        <item x="460"/>
        <item x="189"/>
        <item x="960"/>
        <item x="126"/>
        <item x="953"/>
        <item x="350"/>
        <item x="315"/>
        <item x="196"/>
        <item x="373"/>
        <item x="476"/>
        <item x="252"/>
        <item x="535"/>
        <item x="971"/>
        <item x="30"/>
        <item x="808"/>
        <item x="628"/>
        <item x="540"/>
        <item x="440"/>
        <item x="639"/>
        <item x="921"/>
        <item x="457"/>
        <item x="131"/>
        <item x="885"/>
        <item x="475"/>
        <item x="352"/>
        <item x="771"/>
        <item x="942"/>
        <item x="883"/>
        <item x="688"/>
        <item x="597"/>
        <item x="163"/>
        <item x="23"/>
        <item x="966"/>
        <item x="871"/>
        <item x="618"/>
        <item x="899"/>
        <item x="547"/>
        <item x="312"/>
        <item x="245"/>
        <item x="907"/>
        <item x="33"/>
        <item x="415"/>
        <item x="74"/>
        <item x="86"/>
        <item x="713"/>
        <item x="664"/>
        <item x="691"/>
        <item x="15"/>
        <item x="161"/>
        <item x="965"/>
        <item x="368"/>
        <item x="158"/>
        <item x="724"/>
        <item x="574"/>
        <item x="470"/>
        <item x="745"/>
        <item x="66"/>
        <item x="637"/>
        <item x="815"/>
        <item x="110"/>
        <item x="659"/>
        <item x="65"/>
        <item x="790"/>
        <item x="900"/>
        <item x="89"/>
        <item x="4"/>
        <item x="583"/>
        <item x="5"/>
        <item x="187"/>
        <item x="226"/>
        <item x="933"/>
        <item x="916"/>
        <item x="939"/>
        <item x="314"/>
        <item x="559"/>
        <item x="285"/>
        <item x="544"/>
        <item x="230"/>
        <item x="384"/>
        <item x="902"/>
        <item x="616"/>
        <item x="819"/>
        <item x="191"/>
        <item x="393"/>
        <item x="836"/>
        <item x="827"/>
        <item x="923"/>
        <item x="496"/>
        <item x="260"/>
        <item x="320"/>
        <item x="604"/>
        <item x="218"/>
        <item x="313"/>
        <item x="270"/>
        <item x="13"/>
        <item x="436"/>
        <item x="172"/>
        <item x="655"/>
        <item x="742"/>
        <item x="31"/>
        <item x="834"/>
        <item x="821"/>
        <item x="509"/>
        <item x="733"/>
        <item x="887"/>
        <item x="269"/>
        <item x="106"/>
        <item x="967"/>
        <item x="799"/>
        <item x="123"/>
        <item x="495"/>
        <item x="829"/>
        <item x="376"/>
        <item x="997"/>
        <item x="782"/>
        <item x="353"/>
        <item x="377"/>
        <item x="682"/>
        <item x="630"/>
        <item x="931"/>
        <item x="810"/>
        <item x="594"/>
        <item x="918"/>
        <item x="223"/>
        <item x="362"/>
        <item x="43"/>
        <item x="388"/>
        <item x="85"/>
        <item x="67"/>
        <item x="311"/>
        <item x="897"/>
        <item x="668"/>
        <item x="669"/>
        <item x="892"/>
        <item x="390"/>
        <item x="144"/>
        <item x="49"/>
        <item x="631"/>
        <item x="330"/>
        <item x="712"/>
        <item x="442"/>
        <item x="502"/>
        <item x="945"/>
        <item x="949"/>
        <item x="334"/>
        <item x="449"/>
        <item x="696"/>
        <item x="242"/>
        <item x="930"/>
        <item x="537"/>
        <item x="408"/>
        <item x="935"/>
        <item x="634"/>
        <item x="289"/>
        <item x="117"/>
        <item x="706"/>
        <item x="795"/>
        <item x="452"/>
        <item x="635"/>
        <item x="60"/>
        <item x="150"/>
        <item x="830"/>
        <item x="277"/>
        <item x="233"/>
        <item x="909"/>
        <item x="203"/>
        <item x="341"/>
        <item x="912"/>
        <item x="345"/>
        <item x="677"/>
        <item x="731"/>
        <item x="773"/>
        <item x="413"/>
        <item x="701"/>
        <item x="134"/>
        <item x="937"/>
        <item x="343"/>
        <item x="278"/>
        <item x="83"/>
        <item x="430"/>
        <item x="657"/>
        <item x="299"/>
        <item x="286"/>
        <item x="282"/>
        <item x="569"/>
        <item x="228"/>
        <item x="861"/>
        <item x="558"/>
        <item x="422"/>
        <item x="405"/>
        <item x="979"/>
        <item x="905"/>
        <item x="820"/>
        <item x="255"/>
        <item x="671"/>
        <item x="904"/>
        <item x="426"/>
        <item x="738"/>
        <item x="36"/>
        <item x="166"/>
        <item x="800"/>
        <item x="570"/>
        <item x="125"/>
        <item x="295"/>
        <item x="990"/>
        <item x="181"/>
        <item x="336"/>
        <item x="332"/>
        <item x="857"/>
        <item x="504"/>
        <item x="553"/>
        <item x="25"/>
        <item x="197"/>
        <item x="963"/>
        <item x="124"/>
        <item x="613"/>
        <item x="890"/>
        <item x="387"/>
        <item x="434"/>
        <item x="11"/>
        <item x="59"/>
        <item x="280"/>
        <item x="28"/>
        <item x="120"/>
        <item x="842"/>
        <item x="749"/>
        <item x="586"/>
        <item x="210"/>
        <item x="672"/>
        <item x="474"/>
        <item x="551"/>
        <item x="605"/>
        <item x="695"/>
        <item x="954"/>
        <item x="241"/>
        <item x="52"/>
        <item x="554"/>
        <item x="588"/>
        <item x="582"/>
        <item x="215"/>
        <item x="536"/>
        <item x="142"/>
        <item x="448"/>
        <item x="868"/>
        <item x="391"/>
        <item x="37"/>
        <item x="346"/>
        <item x="936"/>
        <item x="763"/>
        <item x="718"/>
        <item x="148"/>
        <item x="227"/>
        <item x="499"/>
        <item x="325"/>
        <item x="823"/>
        <item x="891"/>
        <item x="82"/>
        <item x="760"/>
        <item x="717"/>
        <item x="178"/>
        <item x="105"/>
        <item x="917"/>
        <item x="998"/>
        <item x="466"/>
        <item x="522"/>
        <item x="50"/>
        <item x="240"/>
        <item x="389"/>
        <item x="382"/>
        <item x="543"/>
        <item x="53"/>
        <item x="116"/>
        <item x="640"/>
        <item x="913"/>
        <item x="944"/>
        <item x="494"/>
        <item x="488"/>
        <item x="803"/>
        <item x="856"/>
        <item x="798"/>
        <item x="39"/>
        <item x="455"/>
        <item x="135"/>
        <item x="793"/>
        <item x="858"/>
        <item x="41"/>
        <item x="732"/>
        <item x="984"/>
        <item x="941"/>
        <item x="643"/>
        <item x="506"/>
        <item x="621"/>
        <item x="626"/>
        <item x="985"/>
        <item x="424"/>
        <item x="292"/>
        <item x="88"/>
        <item x="477"/>
        <item x="258"/>
        <item x="663"/>
        <item x="155"/>
        <item x="775"/>
        <item x="417"/>
        <item x="119"/>
        <item x="581"/>
        <item x="244"/>
        <item x="114"/>
        <item x="708"/>
        <item x="508"/>
        <item x="617"/>
        <item x="156"/>
        <item x="654"/>
        <item x="185"/>
        <item x="614"/>
        <item x="70"/>
        <item x="822"/>
        <item x="80"/>
        <item x="461"/>
        <item x="132"/>
        <item x="438"/>
        <item x="982"/>
        <item x="599"/>
        <item x="369"/>
        <item x="101"/>
        <item x="271"/>
        <item x="625"/>
        <item x="893"/>
        <item x="950"/>
        <item x="115"/>
        <item x="651"/>
        <item x="807"/>
        <item x="190"/>
        <item x="567"/>
        <item x="512"/>
        <item x="636"/>
        <item x="761"/>
        <item x="852"/>
        <item x="431"/>
        <item x="437"/>
        <item x="335"/>
        <item x="794"/>
        <item x="826"/>
        <item x="719"/>
        <item x="968"/>
        <item x="237"/>
        <item x="462"/>
        <item x="539"/>
        <item x="456"/>
        <item x="837"/>
        <item x="976"/>
        <item x="14"/>
        <item x="780"/>
        <item x="288"/>
        <item x="211"/>
        <item x="296"/>
        <item x="681"/>
        <item x="322"/>
        <item x="6"/>
        <item x="591"/>
        <item x="232"/>
        <item x="951"/>
        <item x="159"/>
        <item x="48"/>
        <item x="765"/>
        <item x="357"/>
        <item x="791"/>
        <item x="600"/>
        <item x="612"/>
        <item x="234"/>
        <item x="524"/>
        <item x="177"/>
        <item x="797"/>
        <item x="327"/>
        <item x="219"/>
        <item x="261"/>
        <item x="483"/>
        <item x="620"/>
        <item x="611"/>
        <item x="137"/>
        <item x="29"/>
        <item x="427"/>
        <item x="527"/>
        <item x="957"/>
        <item x="145"/>
        <item x="977"/>
        <item x="57"/>
        <item x="300"/>
        <item x="481"/>
        <item x="360"/>
        <item x="906"/>
        <item x="667"/>
        <item x="130"/>
        <item x="209"/>
        <item x="329"/>
        <item x="414"/>
        <item x="675"/>
        <item x="707"/>
        <item x="948"/>
        <item x="545"/>
        <item x="518"/>
        <item x="548"/>
        <item x="673"/>
        <item x="266"/>
        <item x="498"/>
        <item x="804"/>
        <item x="262"/>
        <item x="910"/>
        <item t="default"/>
      </items>
    </pivotField>
    <pivotField numFmtId="14" showAll="0">
      <items count="347">
        <item x="68"/>
        <item x="61"/>
        <item x="299"/>
        <item x="183"/>
        <item x="71"/>
        <item x="282"/>
        <item x="23"/>
        <item x="135"/>
        <item x="104"/>
        <item x="1"/>
        <item x="171"/>
        <item x="302"/>
        <item x="150"/>
        <item x="45"/>
        <item x="311"/>
        <item x="214"/>
        <item x="266"/>
        <item x="148"/>
        <item x="113"/>
        <item x="154"/>
        <item x="6"/>
        <item x="158"/>
        <item x="78"/>
        <item x="227"/>
        <item x="232"/>
        <item x="215"/>
        <item x="137"/>
        <item x="292"/>
        <item x="314"/>
        <item x="138"/>
        <item x="169"/>
        <item x="25"/>
        <item x="340"/>
        <item x="333"/>
        <item x="210"/>
        <item x="208"/>
        <item x="21"/>
        <item x="336"/>
        <item x="56"/>
        <item x="118"/>
        <item x="241"/>
        <item x="200"/>
        <item x="325"/>
        <item x="90"/>
        <item x="112"/>
        <item x="185"/>
        <item x="188"/>
        <item x="14"/>
        <item x="99"/>
        <item x="259"/>
        <item x="236"/>
        <item x="156"/>
        <item x="65"/>
        <item x="275"/>
        <item x="342"/>
        <item x="22"/>
        <item x="77"/>
        <item x="256"/>
        <item x="229"/>
        <item x="181"/>
        <item x="16"/>
        <item x="211"/>
        <item x="86"/>
        <item x="245"/>
        <item x="328"/>
        <item x="324"/>
        <item x="195"/>
        <item x="0"/>
        <item x="101"/>
        <item x="305"/>
        <item x="277"/>
        <item x="15"/>
        <item x="323"/>
        <item x="337"/>
        <item x="136"/>
        <item x="216"/>
        <item x="290"/>
        <item x="253"/>
        <item x="233"/>
        <item x="223"/>
        <item x="120"/>
        <item x="166"/>
        <item x="335"/>
        <item x="3"/>
        <item x="341"/>
        <item x="186"/>
        <item x="228"/>
        <item x="116"/>
        <item x="18"/>
        <item x="182"/>
        <item x="264"/>
        <item x="192"/>
        <item x="30"/>
        <item x="174"/>
        <item x="226"/>
        <item x="97"/>
        <item x="9"/>
        <item x="242"/>
        <item x="149"/>
        <item x="59"/>
        <item x="237"/>
        <item x="244"/>
        <item x="212"/>
        <item x="60"/>
        <item x="310"/>
        <item x="178"/>
        <item x="247"/>
        <item x="67"/>
        <item x="298"/>
        <item x="268"/>
        <item x="88"/>
        <item x="308"/>
        <item x="224"/>
        <item x="162"/>
        <item x="234"/>
        <item x="218"/>
        <item x="29"/>
        <item x="197"/>
        <item x="271"/>
        <item x="12"/>
        <item x="75"/>
        <item x="147"/>
        <item x="54"/>
        <item x="17"/>
        <item x="173"/>
        <item x="50"/>
        <item x="345"/>
        <item x="24"/>
        <item x="128"/>
        <item x="47"/>
        <item x="252"/>
        <item x="131"/>
        <item x="7"/>
        <item x="238"/>
        <item x="87"/>
        <item x="198"/>
        <item x="194"/>
        <item x="193"/>
        <item x="108"/>
        <item x="79"/>
        <item x="146"/>
        <item x="286"/>
        <item x="165"/>
        <item x="327"/>
        <item x="81"/>
        <item x="187"/>
        <item x="258"/>
        <item x="52"/>
        <item x="105"/>
        <item x="100"/>
        <item x="72"/>
        <item x="144"/>
        <item x="121"/>
        <item x="37"/>
        <item x="124"/>
        <item x="91"/>
        <item x="199"/>
        <item x="157"/>
        <item x="111"/>
        <item x="140"/>
        <item x="44"/>
        <item x="273"/>
        <item x="145"/>
        <item x="27"/>
        <item x="203"/>
        <item x="254"/>
        <item x="205"/>
        <item x="320"/>
        <item x="161"/>
        <item x="139"/>
        <item x="201"/>
        <item x="288"/>
        <item x="225"/>
        <item x="230"/>
        <item x="239"/>
        <item x="133"/>
        <item x="82"/>
        <item x="151"/>
        <item x="344"/>
        <item x="84"/>
        <item x="39"/>
        <item x="35"/>
        <item x="206"/>
        <item x="250"/>
        <item x="294"/>
        <item x="102"/>
        <item x="326"/>
        <item x="306"/>
        <item x="153"/>
        <item x="123"/>
        <item x="222"/>
        <item x="89"/>
        <item x="329"/>
        <item x="339"/>
        <item x="180"/>
        <item x="263"/>
        <item x="38"/>
        <item x="95"/>
        <item x="283"/>
        <item x="63"/>
        <item x="309"/>
        <item x="94"/>
        <item x="26"/>
        <item x="246"/>
        <item x="184"/>
        <item x="278"/>
        <item x="28"/>
        <item x="13"/>
        <item x="167"/>
        <item x="96"/>
        <item x="19"/>
        <item x="122"/>
        <item x="334"/>
        <item x="93"/>
        <item x="83"/>
        <item x="318"/>
        <item x="92"/>
        <item x="272"/>
        <item x="172"/>
        <item x="43"/>
        <item x="70"/>
        <item x="276"/>
        <item x="270"/>
        <item x="331"/>
        <item x="125"/>
        <item x="40"/>
        <item x="168"/>
        <item x="221"/>
        <item x="179"/>
        <item x="66"/>
        <item x="190"/>
        <item x="248"/>
        <item x="107"/>
        <item x="240"/>
        <item x="260"/>
        <item x="255"/>
        <item x="11"/>
        <item x="64"/>
        <item x="209"/>
        <item x="48"/>
        <item x="119"/>
        <item x="110"/>
        <item x="287"/>
        <item x="274"/>
        <item x="343"/>
        <item x="31"/>
        <item x="130"/>
        <item x="170"/>
        <item x="261"/>
        <item x="202"/>
        <item x="114"/>
        <item x="155"/>
        <item x="289"/>
        <item x="213"/>
        <item x="76"/>
        <item x="285"/>
        <item x="33"/>
        <item x="58"/>
        <item x="2"/>
        <item x="5"/>
        <item x="249"/>
        <item x="160"/>
        <item x="322"/>
        <item x="296"/>
        <item x="217"/>
        <item x="53"/>
        <item x="280"/>
        <item x="8"/>
        <item x="141"/>
        <item x="279"/>
        <item x="251"/>
        <item x="321"/>
        <item x="55"/>
        <item x="317"/>
        <item x="69"/>
        <item x="80"/>
        <item x="332"/>
        <item x="34"/>
        <item x="220"/>
        <item x="62"/>
        <item x="103"/>
        <item x="281"/>
        <item x="312"/>
        <item x="74"/>
        <item x="46"/>
        <item x="300"/>
        <item x="330"/>
        <item x="109"/>
        <item x="106"/>
        <item x="196"/>
        <item x="32"/>
        <item x="307"/>
        <item x="235"/>
        <item x="315"/>
        <item x="132"/>
        <item x="163"/>
        <item x="164"/>
        <item x="189"/>
        <item x="207"/>
        <item x="269"/>
        <item x="49"/>
        <item x="10"/>
        <item x="295"/>
        <item x="57"/>
        <item x="219"/>
        <item x="301"/>
        <item x="304"/>
        <item x="303"/>
        <item x="293"/>
        <item x="117"/>
        <item x="20"/>
        <item x="265"/>
        <item x="316"/>
        <item x="262"/>
        <item x="98"/>
        <item x="51"/>
        <item x="204"/>
        <item x="175"/>
        <item x="73"/>
        <item x="134"/>
        <item x="4"/>
        <item x="319"/>
        <item x="142"/>
        <item x="338"/>
        <item x="42"/>
        <item x="152"/>
        <item x="127"/>
        <item x="143"/>
        <item x="115"/>
        <item x="159"/>
        <item x="191"/>
        <item x="243"/>
        <item x="129"/>
        <item x="297"/>
        <item x="177"/>
        <item x="284"/>
        <item x="36"/>
        <item x="126"/>
        <item x="267"/>
        <item x="41"/>
        <item x="231"/>
        <item x="291"/>
        <item x="176"/>
        <item x="85"/>
        <item x="313"/>
        <item x="257"/>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Items count="1">
    <i/>
  </colItems>
  <dataFields count="1">
    <dataField name="Sum of Total Sales (INR)" fld="6" baseField="0" baseItem="0"/>
  </dataFields>
  <formats count="5">
    <format dxfId="16">
      <pivotArea field="2" type="button" dataOnly="0" labelOnly="1" outline="0" axis="axisRow" fieldPosition="0"/>
    </format>
    <format dxfId="15">
      <pivotArea dataOnly="0" labelOnly="1" outline="0" axis="axisValues" fieldPosition="0"/>
    </format>
    <format dxfId="14">
      <pivotArea dataOnly="0" labelOnly="1" fieldPosition="0">
        <references count="1">
          <reference field="2" count="0"/>
        </references>
      </pivotArea>
    </format>
    <format dxfId="13">
      <pivotArea collapsedLevelsAreSubtotals="1" fieldPosition="0">
        <references count="1">
          <reference field="2" count="0"/>
        </references>
      </pivotArea>
    </format>
    <format dxfId="12">
      <pivotArea dataOnly="0" grandRow="1" axis="axisRow" fieldPosition="0"/>
    </format>
  </format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4"/>
          </reference>
        </references>
      </pivotArea>
    </chartFormat>
    <chartFormat chart="2" format="2">
      <pivotArea type="data" outline="0" fieldPosition="0">
        <references count="2">
          <reference field="4294967294" count="1" selected="0">
            <x v="0"/>
          </reference>
          <reference field="2" count="1" selected="0">
            <x v="3"/>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D837EBE-3011-43A9-BEC2-B66D6FA04C7D}"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location ref="V38:W41" firstHeaderRow="1" firstDataRow="1" firstDataCol="1"/>
  <pivotFields count="15">
    <pivotField showAll="0"/>
    <pivotField showAll="0">
      <items count="26">
        <item x="1"/>
        <item x="2"/>
        <item x="11"/>
        <item x="13"/>
        <item x="24"/>
        <item x="9"/>
        <item x="16"/>
        <item x="7"/>
        <item x="6"/>
        <item x="10"/>
        <item x="21"/>
        <item x="17"/>
        <item x="18"/>
        <item x="3"/>
        <item x="20"/>
        <item x="8"/>
        <item x="19"/>
        <item x="0"/>
        <item x="4"/>
        <item x="14"/>
        <item x="23"/>
        <item x="5"/>
        <item x="12"/>
        <item x="22"/>
        <item x="15"/>
        <item t="default"/>
      </items>
    </pivotField>
    <pivotField showAll="0">
      <items count="6">
        <item x="0"/>
        <item x="2"/>
        <item x="4"/>
        <item x="3"/>
        <item x="1"/>
        <item t="default"/>
      </items>
    </pivotField>
    <pivotField showAll="0">
      <items count="1001">
        <item x="755"/>
        <item x="38"/>
        <item x="423"/>
        <item x="220"/>
        <item x="139"/>
        <item x="406"/>
        <item x="108"/>
        <item x="409"/>
        <item x="250"/>
        <item x="744"/>
        <item x="34"/>
        <item x="192"/>
        <item x="727"/>
        <item x="946"/>
        <item x="264"/>
        <item x="26"/>
        <item x="392"/>
        <item x="79"/>
        <item x="859"/>
        <item x="378"/>
        <item x="469"/>
        <item x="908"/>
        <item x="64"/>
        <item x="319"/>
        <item x="297"/>
        <item x="284"/>
        <item x="759"/>
        <item x="94"/>
        <item x="813"/>
        <item x="410"/>
        <item x="752"/>
        <item x="157"/>
        <item x="632"/>
        <item x="739"/>
        <item x="986"/>
        <item x="514"/>
        <item x="546"/>
        <item x="565"/>
        <item x="532"/>
        <item x="606"/>
        <item x="435"/>
        <item x="309"/>
        <item x="411"/>
        <item x="453"/>
        <item x="705"/>
        <item x="412"/>
        <item x="32"/>
        <item x="757"/>
        <item x="152"/>
        <item x="866"/>
        <item x="491"/>
        <item x="471"/>
        <item x="686"/>
        <item x="741"/>
        <item x="670"/>
        <item x="806"/>
        <item x="324"/>
        <item x="928"/>
        <item x="608"/>
        <item x="961"/>
        <item x="694"/>
        <item x="175"/>
        <item x="776"/>
        <item x="141"/>
        <item x="402"/>
        <item x="416"/>
        <item x="983"/>
        <item x="725"/>
        <item x="323"/>
        <item x="924"/>
        <item x="180"/>
        <item x="69"/>
        <item x="56"/>
        <item x="68"/>
        <item x="253"/>
        <item x="340"/>
        <item x="22"/>
        <item x="173"/>
        <item x="316"/>
        <item x="952"/>
        <item x="627"/>
        <item x="575"/>
        <item x="217"/>
        <item x="716"/>
        <item x="358"/>
        <item x="432"/>
        <item x="239"/>
        <item x="576"/>
        <item x="661"/>
        <item x="421"/>
        <item x="310"/>
        <item x="265"/>
        <item x="702"/>
        <item x="154"/>
        <item x="183"/>
        <item x="772"/>
        <item x="72"/>
        <item x="136"/>
        <item x="76"/>
        <item x="98"/>
        <item x="855"/>
        <item x="633"/>
        <item x="580"/>
        <item x="573"/>
        <item x="525"/>
        <item x="463"/>
        <item x="729"/>
        <item x="418"/>
        <item x="281"/>
        <item x="685"/>
        <item x="188"/>
        <item x="372"/>
        <item x="375"/>
        <item x="84"/>
        <item x="699"/>
        <item x="710"/>
        <item x="915"/>
        <item x="736"/>
        <item x="42"/>
        <item x="399"/>
        <item x="768"/>
        <item x="400"/>
        <item x="356"/>
        <item x="730"/>
        <item x="339"/>
        <item x="882"/>
        <item x="870"/>
        <item x="256"/>
        <item x="140"/>
        <item x="881"/>
        <item x="624"/>
        <item x="619"/>
        <item x="927"/>
        <item x="756"/>
        <item x="109"/>
        <item x="721"/>
        <item x="835"/>
        <item x="359"/>
        <item x="843"/>
        <item x="901"/>
        <item x="867"/>
        <item x="534"/>
        <item x="441"/>
        <item x="684"/>
        <item x="769"/>
        <item x="747"/>
        <item x="777"/>
        <item x="1"/>
        <item x="962"/>
        <item x="758"/>
        <item x="147"/>
        <item x="874"/>
        <item x="513"/>
        <item x="303"/>
        <item x="851"/>
        <item x="981"/>
        <item x="87"/>
        <item x="44"/>
        <item x="975"/>
        <item x="290"/>
        <item x="697"/>
        <item x="46"/>
        <item x="354"/>
        <item x="974"/>
        <item x="873"/>
        <item x="497"/>
        <item x="876"/>
        <item x="642"/>
        <item x="557"/>
        <item x="363"/>
        <item x="750"/>
        <item x="186"/>
        <item x="926"/>
        <item x="510"/>
        <item x="789"/>
        <item x="480"/>
        <item x="16"/>
        <item x="305"/>
        <item x="814"/>
        <item x="482"/>
        <item x="293"/>
        <item x="903"/>
        <item x="955"/>
        <item x="160"/>
        <item x="641"/>
        <item x="104"/>
        <item x="164"/>
        <item x="629"/>
        <item x="666"/>
        <item x="978"/>
        <item x="91"/>
        <item x="792"/>
        <item x="27"/>
        <item x="648"/>
        <item x="287"/>
        <item x="198"/>
        <item x="194"/>
        <item x="884"/>
        <item x="638"/>
        <item x="492"/>
        <item x="972"/>
        <item x="153"/>
        <item x="766"/>
        <item x="715"/>
        <item x="338"/>
        <item x="571"/>
        <item x="62"/>
        <item x="395"/>
        <item x="500"/>
        <item x="818"/>
        <item x="863"/>
        <item x="333"/>
        <item x="204"/>
        <item x="846"/>
        <item x="817"/>
        <item x="321"/>
        <item x="869"/>
        <item x="118"/>
        <item x="959"/>
        <item x="956"/>
        <item x="472"/>
        <item x="446"/>
        <item x="8"/>
        <item x="969"/>
        <item x="678"/>
        <item x="577"/>
        <item x="610"/>
        <item x="679"/>
        <item x="989"/>
        <item x="366"/>
        <item x="523"/>
        <item x="652"/>
        <item x="898"/>
        <item x="127"/>
        <item x="801"/>
        <item x="371"/>
        <item x="838"/>
        <item x="911"/>
        <item x="566"/>
        <item x="662"/>
        <item x="459"/>
        <item x="505"/>
        <item x="607"/>
        <item x="200"/>
        <item x="61"/>
        <item x="958"/>
        <item x="396"/>
        <item x="714"/>
        <item x="103"/>
        <item x="538"/>
        <item x="425"/>
        <item x="774"/>
        <item x="889"/>
        <item x="272"/>
        <item x="439"/>
        <item x="454"/>
        <item x="572"/>
        <item x="2"/>
        <item x="781"/>
        <item x="783"/>
        <item x="888"/>
        <item x="587"/>
        <item x="7"/>
        <item x="562"/>
        <item x="787"/>
        <item x="193"/>
        <item x="853"/>
        <item x="947"/>
        <item x="828"/>
        <item x="63"/>
        <item x="920"/>
        <item x="996"/>
        <item x="370"/>
        <item x="550"/>
        <item x="73"/>
        <item x="450"/>
        <item x="365"/>
        <item x="845"/>
        <item x="647"/>
        <item x="401"/>
        <item x="279"/>
        <item x="872"/>
        <item x="598"/>
        <item x="78"/>
        <item x="479"/>
        <item x="555"/>
        <item x="19"/>
        <item x="541"/>
        <item x="849"/>
        <item x="307"/>
        <item x="326"/>
        <item x="692"/>
        <item x="886"/>
        <item x="693"/>
        <item x="143"/>
        <item x="589"/>
        <item x="273"/>
        <item x="386"/>
        <item x="507"/>
        <item x="20"/>
        <item x="367"/>
        <item x="943"/>
        <item x="420"/>
        <item x="770"/>
        <item x="850"/>
        <item x="102"/>
        <item x="953"/>
        <item x="895"/>
        <item x="578"/>
        <item x="373"/>
        <item x="720"/>
        <item x="246"/>
        <item x="839"/>
        <item x="207"/>
        <item x="993"/>
        <item x="540"/>
        <item x="726"/>
        <item x="0"/>
        <item x="603"/>
        <item x="133"/>
        <item x="259"/>
        <item x="921"/>
        <item x="129"/>
        <item x="167"/>
        <item x="885"/>
        <item x="236"/>
        <item x="844"/>
        <item x="397"/>
        <item x="688"/>
        <item x="992"/>
        <item x="206"/>
        <item x="23"/>
        <item x="596"/>
        <item x="894"/>
        <item x="618"/>
        <item x="841"/>
        <item x="202"/>
        <item x="71"/>
        <item x="95"/>
        <item x="568"/>
        <item x="86"/>
        <item x="713"/>
        <item x="860"/>
        <item x="158"/>
        <item x="257"/>
        <item x="875"/>
        <item x="470"/>
        <item x="745"/>
        <item x="337"/>
        <item x="564"/>
        <item x="579"/>
        <item x="58"/>
        <item x="788"/>
        <item x="404"/>
        <item x="831"/>
        <item x="92"/>
        <item x="709"/>
        <item x="609"/>
        <item x="291"/>
        <item x="205"/>
        <item x="552"/>
        <item x="809"/>
        <item x="878"/>
        <item x="819"/>
        <item x="225"/>
        <item x="191"/>
        <item x="318"/>
        <item x="687"/>
        <item x="171"/>
        <item x="836"/>
        <item x="840"/>
        <item x="764"/>
        <item x="260"/>
        <item x="932"/>
        <item x="313"/>
        <item x="896"/>
        <item x="54"/>
        <item x="13"/>
        <item x="146"/>
        <item x="615"/>
        <item x="445"/>
        <item x="172"/>
        <item x="655"/>
        <item x="834"/>
        <item x="991"/>
        <item x="703"/>
        <item x="189"/>
        <item x="960"/>
        <item x="753"/>
        <item x="165"/>
        <item x="350"/>
        <item x="520"/>
        <item x="97"/>
        <item x="196"/>
        <item x="887"/>
        <item x="162"/>
        <item x="854"/>
        <item x="77"/>
        <item x="274"/>
        <item x="107"/>
        <item x="808"/>
        <item x="711"/>
        <item x="111"/>
        <item x="440"/>
        <item x="213"/>
        <item x="351"/>
        <item x="829"/>
        <item x="639"/>
        <item x="754"/>
        <item x="782"/>
        <item x="276"/>
        <item x="268"/>
        <item x="444"/>
        <item x="457"/>
        <item x="931"/>
        <item x="344"/>
        <item x="549"/>
        <item x="810"/>
        <item x="12"/>
        <item x="585"/>
        <item x="597"/>
        <item x="490"/>
        <item x="362"/>
        <item x="938"/>
        <item x="542"/>
        <item x="311"/>
        <item x="415"/>
        <item x="231"/>
        <item x="784"/>
        <item x="664"/>
        <item x="816"/>
        <item x="676"/>
        <item x="15"/>
        <item x="779"/>
        <item x="786"/>
        <item x="825"/>
        <item x="696"/>
        <item x="242"/>
        <item x="110"/>
        <item x="428"/>
        <item x="89"/>
        <item x="762"/>
        <item x="970"/>
        <item x="380"/>
        <item x="398"/>
        <item x="179"/>
        <item x="289"/>
        <item x="60"/>
        <item x="314"/>
        <item x="623"/>
        <item x="304"/>
        <item x="919"/>
        <item x="112"/>
        <item x="847"/>
        <item x="384"/>
        <item x="902"/>
        <item x="151"/>
        <item x="464"/>
        <item x="3"/>
        <item x="263"/>
        <item x="277"/>
        <item x="96"/>
        <item x="233"/>
        <item x="988"/>
        <item x="923"/>
        <item x="909"/>
        <item x="530"/>
        <item x="604"/>
        <item x="218"/>
        <item x="40"/>
        <item x="486"/>
        <item x="345"/>
        <item x="704"/>
        <item x="742"/>
        <item x="221"/>
        <item x="465"/>
        <item x="864"/>
        <item x="306"/>
        <item x="937"/>
        <item x="10"/>
        <item x="229"/>
        <item x="51"/>
        <item x="740"/>
        <item x="865"/>
        <item x="733"/>
        <item x="645"/>
        <item x="430"/>
        <item x="728"/>
        <item x="35"/>
        <item x="298"/>
        <item x="967"/>
        <item x="45"/>
        <item x="484"/>
        <item x="593"/>
        <item x="495"/>
        <item x="521"/>
        <item x="940"/>
        <item x="122"/>
        <item x="848"/>
        <item x="212"/>
        <item x="403"/>
        <item x="653"/>
        <item x="682"/>
        <item x="460"/>
        <item x="100"/>
        <item x="671"/>
        <item x="361"/>
        <item x="646"/>
        <item x="918"/>
        <item x="426"/>
        <item x="315"/>
        <item x="223"/>
        <item x="113"/>
        <item x="43"/>
        <item x="388"/>
        <item x="85"/>
        <item x="166"/>
        <item x="347"/>
        <item x="700"/>
        <item x="385"/>
        <item x="535"/>
        <item x="168"/>
        <item x="30"/>
        <item x="628"/>
        <item x="990"/>
        <item x="336"/>
        <item x="748"/>
        <item x="390"/>
        <item x="330"/>
        <item x="712"/>
        <item x="442"/>
        <item x="174"/>
        <item x="502"/>
        <item x="447"/>
        <item x="945"/>
        <item x="334"/>
        <item x="449"/>
        <item x="734"/>
        <item x="475"/>
        <item x="683"/>
        <item x="352"/>
        <item x="767"/>
        <item x="883"/>
        <item x="163"/>
        <item x="238"/>
        <item x="224"/>
        <item x="966"/>
        <item x="294"/>
        <item x="280"/>
        <item x="563"/>
        <item x="312"/>
        <item x="245"/>
        <item x="907"/>
        <item x="408"/>
        <item x="21"/>
        <item x="355"/>
        <item x="308"/>
        <item x="458"/>
        <item x="117"/>
        <item x="706"/>
        <item x="879"/>
        <item x="795"/>
        <item x="635"/>
        <item x="99"/>
        <item x="161"/>
        <item x="622"/>
        <item x="805"/>
        <item x="605"/>
        <item x="241"/>
        <item x="588"/>
        <item x="582"/>
        <item x="680"/>
        <item x="170"/>
        <item x="142"/>
        <item x="637"/>
        <item x="815"/>
        <item x="994"/>
        <item x="584"/>
        <item x="37"/>
        <item x="203"/>
        <item x="341"/>
        <item x="659"/>
        <item x="65"/>
        <item x="325"/>
        <item x="900"/>
        <item x="912"/>
        <item x="722"/>
        <item x="677"/>
        <item x="4"/>
        <item x="328"/>
        <item x="583"/>
        <item x="134"/>
        <item x="5"/>
        <item x="443"/>
        <item x="917"/>
        <item x="187"/>
        <item x="226"/>
        <item x="933"/>
        <item x="916"/>
        <item x="50"/>
        <item x="343"/>
        <item x="939"/>
        <item x="559"/>
        <item x="407"/>
        <item x="349"/>
        <item x="83"/>
        <item x="374"/>
        <item x="285"/>
        <item x="544"/>
        <item x="53"/>
        <item x="230"/>
        <item x="488"/>
        <item x="515"/>
        <item x="833"/>
        <item x="39"/>
        <item x="135"/>
        <item x="299"/>
        <item x="243"/>
        <item x="228"/>
        <item x="393"/>
        <item x="793"/>
        <item x="964"/>
        <item x="493"/>
        <item x="827"/>
        <item x="468"/>
        <item x="320"/>
        <item x="861"/>
        <item x="858"/>
        <item x="41"/>
        <item x="558"/>
        <item x="422"/>
        <item x="984"/>
        <item x="275"/>
        <item x="979"/>
        <item x="643"/>
        <item x="820"/>
        <item x="506"/>
        <item x="436"/>
        <item x="255"/>
        <item x="31"/>
        <item x="590"/>
        <item x="621"/>
        <item x="985"/>
        <item x="424"/>
        <item x="24"/>
        <item x="516"/>
        <item x="904"/>
        <item x="821"/>
        <item x="88"/>
        <item x="528"/>
        <item x="723"/>
        <item x="477"/>
        <item x="832"/>
        <item x="258"/>
        <item x="487"/>
        <item x="738"/>
        <item x="36"/>
        <item x="561"/>
        <item x="650"/>
        <item x="342"/>
        <item x="155"/>
        <item x="106"/>
        <item x="570"/>
        <item x="214"/>
        <item x="123"/>
        <item x="478"/>
        <item x="601"/>
        <item x="775"/>
        <item x="332"/>
        <item x="995"/>
        <item x="560"/>
        <item x="417"/>
        <item x="119"/>
        <item x="581"/>
        <item x="660"/>
        <item x="553"/>
        <item x="55"/>
        <item x="451"/>
        <item x="649"/>
        <item x="208"/>
        <item x="301"/>
        <item x="997"/>
        <item x="244"/>
        <item x="674"/>
        <item x="353"/>
        <item x="25"/>
        <item x="708"/>
        <item x="124"/>
        <item x="880"/>
        <item x="394"/>
        <item x="156"/>
        <item x="594"/>
        <item x="654"/>
        <item x="429"/>
        <item x="331"/>
        <item x="973"/>
        <item x="379"/>
        <item x="185"/>
        <item x="434"/>
        <item x="302"/>
        <item x="176"/>
        <item x="602"/>
        <item x="922"/>
        <item x="614"/>
        <item x="67"/>
        <item x="526"/>
        <item x="897"/>
        <item x="811"/>
        <item x="656"/>
        <item x="533"/>
        <item x="120"/>
        <item x="668"/>
        <item x="132"/>
        <item x="842"/>
        <item x="669"/>
        <item x="892"/>
        <item x="90"/>
        <item x="796"/>
        <item x="474"/>
        <item x="144"/>
        <item x="551"/>
        <item x="49"/>
        <item x="364"/>
        <item x="599"/>
        <item x="631"/>
        <item x="954"/>
        <item x="271"/>
        <item x="52"/>
        <item x="556"/>
        <item x="949"/>
        <item x="433"/>
        <item x="743"/>
        <item x="698"/>
        <item x="222"/>
        <item x="536"/>
        <item x="950"/>
        <item x="115"/>
        <item x="751"/>
        <item x="81"/>
        <item x="737"/>
        <item x="930"/>
        <item x="346"/>
        <item x="467"/>
        <item x="936"/>
        <item x="763"/>
        <item x="718"/>
        <item x="148"/>
        <item x="227"/>
        <item x="499"/>
        <item x="651"/>
        <item x="537"/>
        <item x="807"/>
        <item x="75"/>
        <item x="519"/>
        <item x="82"/>
        <item x="169"/>
        <item x="935"/>
        <item x="636"/>
        <item x="760"/>
        <item x="761"/>
        <item x="634"/>
        <item x="717"/>
        <item x="877"/>
        <item x="466"/>
        <item x="785"/>
        <item x="522"/>
        <item x="452"/>
        <item x="240"/>
        <item x="138"/>
        <item x="150"/>
        <item x="511"/>
        <item x="335"/>
        <item x="934"/>
        <item x="595"/>
        <item x="382"/>
        <item x="248"/>
        <item x="543"/>
        <item x="47"/>
        <item x="830"/>
        <item x="913"/>
        <item x="944"/>
        <item x="794"/>
        <item x="803"/>
        <item x="856"/>
        <item x="126"/>
        <item x="798"/>
        <item x="455"/>
        <item x="665"/>
        <item x="267"/>
        <item x="719"/>
        <item x="503"/>
        <item x="476"/>
        <item x="252"/>
        <item x="732"/>
        <item x="971"/>
        <item x="925"/>
        <item x="941"/>
        <item x="456"/>
        <item x="251"/>
        <item x="731"/>
        <item x="746"/>
        <item x="773"/>
        <item x="254"/>
        <item x="626"/>
        <item x="413"/>
        <item x="288"/>
        <item x="292"/>
        <item x="701"/>
        <item x="211"/>
        <item x="296"/>
        <item x="531"/>
        <item x="216"/>
        <item x="591"/>
        <item x="278"/>
        <item x="381"/>
        <item x="48"/>
        <item x="131"/>
        <item x="802"/>
        <item x="663"/>
        <item x="771"/>
        <item x="942"/>
        <item x="657"/>
        <item x="765"/>
        <item x="286"/>
        <item x="282"/>
        <item x="569"/>
        <item x="929"/>
        <item x="317"/>
        <item x="182"/>
        <item x="9"/>
        <item x="357"/>
        <item x="871"/>
        <item x="199"/>
        <item x="501"/>
        <item x="899"/>
        <item x="791"/>
        <item x="547"/>
        <item x="405"/>
        <item x="114"/>
        <item x="905"/>
        <item x="33"/>
        <item x="600"/>
        <item x="508"/>
        <item x="617"/>
        <item x="812"/>
        <item x="249"/>
        <item x="473"/>
        <item x="74"/>
        <item x="18"/>
        <item x="691"/>
        <item x="612"/>
        <item x="965"/>
        <item x="368"/>
        <item x="724"/>
        <item x="149"/>
        <item x="419"/>
        <item x="574"/>
        <item x="234"/>
        <item x="66"/>
        <item x="735"/>
        <item x="800"/>
        <item x="70"/>
        <item x="524"/>
        <item x="121"/>
        <item x="822"/>
        <item x="80"/>
        <item x="177"/>
        <item x="125"/>
        <item x="461"/>
        <item x="438"/>
        <item x="295"/>
        <item x="797"/>
        <item x="327"/>
        <item x="181"/>
        <item x="219"/>
        <item x="261"/>
        <item x="483"/>
        <item x="778"/>
        <item x="790"/>
        <item x="620"/>
        <item x="857"/>
        <item x="982"/>
        <item x="611"/>
        <item x="137"/>
        <item x="247"/>
        <item x="504"/>
        <item x="184"/>
        <item x="29"/>
        <item x="369"/>
        <item x="101"/>
        <item x="427"/>
        <item x="527"/>
        <item x="197"/>
        <item x="963"/>
        <item x="625"/>
        <item x="893"/>
        <item x="485"/>
        <item x="613"/>
        <item x="890"/>
        <item x="957"/>
        <item x="387"/>
        <item x="914"/>
        <item x="145"/>
        <item x="977"/>
        <item x="11"/>
        <item x="57"/>
        <item x="300"/>
        <item x="616"/>
        <item x="59"/>
        <item x="190"/>
        <item x="481"/>
        <item x="28"/>
        <item x="567"/>
        <item x="999"/>
        <item x="360"/>
        <item x="512"/>
        <item x="906"/>
        <item x="496"/>
        <item x="667"/>
        <item x="283"/>
        <item x="749"/>
        <item x="852"/>
        <item x="431"/>
        <item x="130"/>
        <item x="209"/>
        <item x="329"/>
        <item x="437"/>
        <item x="270"/>
        <item x="586"/>
        <item x="210"/>
        <item x="672"/>
        <item x="414"/>
        <item x="128"/>
        <item x="675"/>
        <item x="707"/>
        <item x="695"/>
        <item x="948"/>
        <item x="545"/>
        <item x="17"/>
        <item x="383"/>
        <item x="554"/>
        <item x="644"/>
        <item x="826"/>
        <item x="215"/>
        <item x="518"/>
        <item x="509"/>
        <item x="529"/>
        <item x="548"/>
        <item x="673"/>
        <item x="489"/>
        <item x="448"/>
        <item x="868"/>
        <item x="266"/>
        <item x="498"/>
        <item x="93"/>
        <item x="804"/>
        <item x="391"/>
        <item x="201"/>
        <item x="348"/>
        <item x="690"/>
        <item x="689"/>
        <item x="968"/>
        <item x="269"/>
        <item x="237"/>
        <item x="462"/>
        <item x="262"/>
        <item x="539"/>
        <item x="658"/>
        <item x="862"/>
        <item x="823"/>
        <item x="799"/>
        <item x="837"/>
        <item x="976"/>
        <item x="891"/>
        <item x="14"/>
        <item x="517"/>
        <item x="780"/>
        <item x="195"/>
        <item x="824"/>
        <item x="980"/>
        <item x="910"/>
        <item x="592"/>
        <item x="987"/>
        <item x="178"/>
        <item x="105"/>
        <item x="376"/>
        <item x="681"/>
        <item x="322"/>
        <item x="998"/>
        <item x="6"/>
        <item x="377"/>
        <item x="232"/>
        <item x="389"/>
        <item x="951"/>
        <item x="159"/>
        <item x="630"/>
        <item x="235"/>
        <item x="116"/>
        <item x="640"/>
        <item x="494"/>
        <item t="default"/>
      </items>
    </pivotField>
    <pivotField showAll="0">
      <items count="6">
        <item x="3"/>
        <item x="2"/>
        <item x="1"/>
        <item x="0"/>
        <item x="4"/>
        <item t="default"/>
      </items>
    </pivotField>
    <pivotField showAll="0"/>
    <pivotField dataField="1" showAll="0"/>
    <pivotField axis="axisRow" numFmtId="14" showAll="0">
      <items count="347">
        <item x="68"/>
        <item x="61"/>
        <item x="299"/>
        <item x="183"/>
        <item x="71"/>
        <item x="282"/>
        <item x="23"/>
        <item x="135"/>
        <item x="104"/>
        <item x="1"/>
        <item x="171"/>
        <item x="302"/>
        <item x="150"/>
        <item x="45"/>
        <item x="311"/>
        <item x="214"/>
        <item x="266"/>
        <item x="148"/>
        <item x="113"/>
        <item x="154"/>
        <item x="6"/>
        <item x="158"/>
        <item x="78"/>
        <item x="227"/>
        <item x="232"/>
        <item x="215"/>
        <item x="137"/>
        <item x="292"/>
        <item x="314"/>
        <item x="138"/>
        <item x="169"/>
        <item x="25"/>
        <item x="340"/>
        <item x="333"/>
        <item x="210"/>
        <item x="208"/>
        <item x="21"/>
        <item x="336"/>
        <item x="56"/>
        <item x="118"/>
        <item x="241"/>
        <item x="200"/>
        <item x="325"/>
        <item x="90"/>
        <item x="112"/>
        <item x="185"/>
        <item x="188"/>
        <item x="14"/>
        <item x="99"/>
        <item x="259"/>
        <item x="236"/>
        <item x="156"/>
        <item x="65"/>
        <item x="275"/>
        <item x="342"/>
        <item x="22"/>
        <item x="77"/>
        <item x="256"/>
        <item x="229"/>
        <item x="181"/>
        <item x="16"/>
        <item x="211"/>
        <item x="86"/>
        <item x="245"/>
        <item x="328"/>
        <item x="324"/>
        <item x="195"/>
        <item x="0"/>
        <item x="101"/>
        <item x="305"/>
        <item x="277"/>
        <item x="15"/>
        <item x="323"/>
        <item x="337"/>
        <item x="136"/>
        <item x="216"/>
        <item x="290"/>
        <item x="253"/>
        <item x="233"/>
        <item x="223"/>
        <item x="120"/>
        <item x="166"/>
        <item x="335"/>
        <item x="3"/>
        <item x="341"/>
        <item x="186"/>
        <item x="228"/>
        <item x="116"/>
        <item x="18"/>
        <item x="182"/>
        <item x="264"/>
        <item x="192"/>
        <item x="30"/>
        <item x="174"/>
        <item x="226"/>
        <item x="97"/>
        <item x="9"/>
        <item x="242"/>
        <item x="149"/>
        <item x="59"/>
        <item x="237"/>
        <item x="244"/>
        <item x="212"/>
        <item x="60"/>
        <item x="310"/>
        <item x="178"/>
        <item x="247"/>
        <item x="67"/>
        <item x="298"/>
        <item x="268"/>
        <item x="88"/>
        <item x="308"/>
        <item x="224"/>
        <item x="162"/>
        <item x="234"/>
        <item x="218"/>
        <item x="29"/>
        <item x="197"/>
        <item x="271"/>
        <item x="12"/>
        <item x="75"/>
        <item x="147"/>
        <item x="54"/>
        <item x="17"/>
        <item x="173"/>
        <item x="50"/>
        <item x="345"/>
        <item x="24"/>
        <item x="128"/>
        <item x="47"/>
        <item x="252"/>
        <item x="131"/>
        <item x="7"/>
        <item x="238"/>
        <item x="87"/>
        <item x="198"/>
        <item x="194"/>
        <item x="193"/>
        <item x="108"/>
        <item x="79"/>
        <item x="146"/>
        <item x="286"/>
        <item x="165"/>
        <item x="327"/>
        <item x="81"/>
        <item x="187"/>
        <item x="258"/>
        <item x="52"/>
        <item x="105"/>
        <item x="100"/>
        <item x="72"/>
        <item x="144"/>
        <item x="121"/>
        <item x="37"/>
        <item x="124"/>
        <item x="91"/>
        <item x="199"/>
        <item x="157"/>
        <item x="111"/>
        <item x="140"/>
        <item x="44"/>
        <item x="273"/>
        <item x="145"/>
        <item x="27"/>
        <item x="203"/>
        <item x="254"/>
        <item x="205"/>
        <item x="320"/>
        <item x="161"/>
        <item x="139"/>
        <item x="201"/>
        <item x="288"/>
        <item x="225"/>
        <item x="230"/>
        <item x="239"/>
        <item x="133"/>
        <item x="82"/>
        <item x="151"/>
        <item x="344"/>
        <item x="84"/>
        <item x="39"/>
        <item x="35"/>
        <item x="206"/>
        <item x="250"/>
        <item x="294"/>
        <item x="102"/>
        <item x="326"/>
        <item x="306"/>
        <item x="153"/>
        <item x="123"/>
        <item x="222"/>
        <item x="89"/>
        <item x="329"/>
        <item x="339"/>
        <item x="180"/>
        <item x="263"/>
        <item x="38"/>
        <item x="95"/>
        <item x="283"/>
        <item x="63"/>
        <item x="309"/>
        <item x="94"/>
        <item x="26"/>
        <item x="246"/>
        <item x="184"/>
        <item x="278"/>
        <item x="28"/>
        <item x="13"/>
        <item x="167"/>
        <item x="96"/>
        <item x="19"/>
        <item x="122"/>
        <item x="334"/>
        <item x="93"/>
        <item x="83"/>
        <item x="318"/>
        <item x="92"/>
        <item x="272"/>
        <item x="172"/>
        <item x="43"/>
        <item x="70"/>
        <item x="276"/>
        <item x="270"/>
        <item x="331"/>
        <item x="125"/>
        <item x="40"/>
        <item x="168"/>
        <item x="221"/>
        <item x="179"/>
        <item x="66"/>
        <item x="190"/>
        <item x="248"/>
        <item x="107"/>
        <item x="240"/>
        <item x="260"/>
        <item x="255"/>
        <item x="11"/>
        <item x="64"/>
        <item x="209"/>
        <item x="48"/>
        <item x="119"/>
        <item x="110"/>
        <item x="287"/>
        <item x="274"/>
        <item x="343"/>
        <item x="31"/>
        <item x="130"/>
        <item x="170"/>
        <item x="261"/>
        <item x="202"/>
        <item x="114"/>
        <item x="155"/>
        <item x="289"/>
        <item x="213"/>
        <item x="76"/>
        <item x="285"/>
        <item x="33"/>
        <item x="58"/>
        <item x="2"/>
        <item x="5"/>
        <item x="249"/>
        <item x="160"/>
        <item x="322"/>
        <item x="296"/>
        <item x="217"/>
        <item x="53"/>
        <item x="280"/>
        <item x="8"/>
        <item x="141"/>
        <item x="279"/>
        <item x="251"/>
        <item x="321"/>
        <item x="55"/>
        <item x="317"/>
        <item x="69"/>
        <item x="80"/>
        <item x="332"/>
        <item x="34"/>
        <item x="220"/>
        <item x="62"/>
        <item x="103"/>
        <item x="281"/>
        <item x="312"/>
        <item x="74"/>
        <item x="46"/>
        <item x="300"/>
        <item x="330"/>
        <item x="109"/>
        <item x="106"/>
        <item x="196"/>
        <item x="32"/>
        <item x="307"/>
        <item x="235"/>
        <item x="315"/>
        <item x="132"/>
        <item x="163"/>
        <item x="164"/>
        <item x="189"/>
        <item x="207"/>
        <item x="269"/>
        <item x="49"/>
        <item x="10"/>
        <item x="295"/>
        <item x="57"/>
        <item x="219"/>
        <item x="301"/>
        <item x="304"/>
        <item x="303"/>
        <item x="293"/>
        <item x="117"/>
        <item x="20"/>
        <item x="265"/>
        <item x="316"/>
        <item x="262"/>
        <item x="98"/>
        <item x="51"/>
        <item x="204"/>
        <item x="175"/>
        <item x="73"/>
        <item x="134"/>
        <item x="4"/>
        <item x="319"/>
        <item x="142"/>
        <item x="338"/>
        <item x="42"/>
        <item x="152"/>
        <item x="127"/>
        <item x="143"/>
        <item x="115"/>
        <item x="159"/>
        <item x="191"/>
        <item x="243"/>
        <item x="129"/>
        <item x="297"/>
        <item x="177"/>
        <item x="284"/>
        <item x="36"/>
        <item x="126"/>
        <item x="267"/>
        <item x="41"/>
        <item x="231"/>
        <item x="291"/>
        <item x="176"/>
        <item x="85"/>
        <item x="313"/>
        <item x="257"/>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2">
    <field x="14"/>
    <field x="7"/>
  </rowFields>
  <rowItems count="3">
    <i>
      <x v="1"/>
    </i>
    <i>
      <x v="2"/>
    </i>
    <i t="grand">
      <x/>
    </i>
  </rowItems>
  <colItems count="1">
    <i/>
  </colItems>
  <dataFields count="1">
    <dataField name="Sum of Total Sales (INR)" fld="6" baseField="0" baseItem="0"/>
  </dataFields>
  <formats count="4">
    <format dxfId="20">
      <pivotArea field="14" type="button" dataOnly="0" labelOnly="1" outline="0" axis="axisRow" fieldPosition="0"/>
    </format>
    <format dxfId="19">
      <pivotArea dataOnly="0" labelOnly="1" outline="0" axis="axisValues" fieldPosition="0"/>
    </format>
    <format dxfId="18">
      <pivotArea dataOnly="0" fieldPosition="0">
        <references count="1">
          <reference field="14" count="2">
            <x v="1"/>
            <x v="2"/>
          </reference>
        </references>
      </pivotArea>
    </format>
    <format dxfId="17">
      <pivotArea field="14" dataOnly="0" grandRow="1" axis="axisRow" fieldPosition="0">
        <references count="1">
          <reference field="14" count="1">
            <x v="2"/>
          </reference>
        </references>
      </pivotArea>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1"/>
          </reference>
        </references>
      </pivotArea>
    </chartFormat>
    <chartFormat chart="2" format="4">
      <pivotArea type="data" outline="0" fieldPosition="0">
        <references count="2">
          <reference field="4294967294" count="1" selected="0">
            <x v="0"/>
          </reference>
          <reference field="14" count="1" selected="0">
            <x v="2"/>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AC6935-4554-4A16-BBDE-2CE017717646}"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s">
  <location ref="R36:S49" firstHeaderRow="1" firstDataRow="1" firstDataCol="1"/>
  <pivotFields count="15">
    <pivotField showAll="0"/>
    <pivotField showAll="0"/>
    <pivotField showAll="0">
      <items count="6">
        <item x="0"/>
        <item x="2"/>
        <item x="4"/>
        <item x="3"/>
        <item x="1"/>
        <item t="default"/>
      </items>
    </pivotField>
    <pivotField showAll="0"/>
    <pivotField showAll="0"/>
    <pivotField showAll="0"/>
    <pivotField dataField="1" showAll="0"/>
    <pivotField axis="axisRow" numFmtId="14" showAll="0">
      <items count="347">
        <item x="68"/>
        <item x="61"/>
        <item x="299"/>
        <item x="183"/>
        <item x="71"/>
        <item x="282"/>
        <item x="23"/>
        <item x="135"/>
        <item x="104"/>
        <item x="1"/>
        <item x="171"/>
        <item x="302"/>
        <item x="150"/>
        <item x="45"/>
        <item x="311"/>
        <item x="214"/>
        <item x="266"/>
        <item x="148"/>
        <item x="113"/>
        <item x="154"/>
        <item x="6"/>
        <item x="158"/>
        <item x="78"/>
        <item x="227"/>
        <item x="232"/>
        <item x="215"/>
        <item x="137"/>
        <item x="292"/>
        <item x="314"/>
        <item x="138"/>
        <item x="169"/>
        <item x="25"/>
        <item x="340"/>
        <item x="333"/>
        <item x="210"/>
        <item x="208"/>
        <item x="21"/>
        <item x="336"/>
        <item x="56"/>
        <item x="118"/>
        <item x="241"/>
        <item x="200"/>
        <item x="325"/>
        <item x="90"/>
        <item x="112"/>
        <item x="185"/>
        <item x="188"/>
        <item x="14"/>
        <item x="99"/>
        <item x="259"/>
        <item x="236"/>
        <item x="156"/>
        <item x="65"/>
        <item x="275"/>
        <item x="342"/>
        <item x="22"/>
        <item x="77"/>
        <item x="256"/>
        <item x="229"/>
        <item x="181"/>
        <item x="16"/>
        <item x="211"/>
        <item x="86"/>
        <item x="245"/>
        <item x="328"/>
        <item x="324"/>
        <item x="195"/>
        <item x="0"/>
        <item x="101"/>
        <item x="305"/>
        <item x="277"/>
        <item x="15"/>
        <item x="323"/>
        <item x="337"/>
        <item x="136"/>
        <item x="216"/>
        <item x="290"/>
        <item x="253"/>
        <item x="233"/>
        <item x="223"/>
        <item x="120"/>
        <item x="166"/>
        <item x="335"/>
        <item x="3"/>
        <item x="341"/>
        <item x="186"/>
        <item x="228"/>
        <item x="116"/>
        <item x="18"/>
        <item x="182"/>
        <item x="264"/>
        <item x="192"/>
        <item x="30"/>
        <item x="174"/>
        <item x="226"/>
        <item x="97"/>
        <item x="9"/>
        <item x="242"/>
        <item x="149"/>
        <item x="59"/>
        <item x="237"/>
        <item x="244"/>
        <item x="212"/>
        <item x="60"/>
        <item x="310"/>
        <item x="178"/>
        <item x="247"/>
        <item x="67"/>
        <item x="298"/>
        <item x="268"/>
        <item x="88"/>
        <item x="308"/>
        <item x="224"/>
        <item x="162"/>
        <item x="234"/>
        <item x="218"/>
        <item x="29"/>
        <item x="197"/>
        <item x="271"/>
        <item x="12"/>
        <item x="75"/>
        <item x="147"/>
        <item x="54"/>
        <item x="17"/>
        <item x="173"/>
        <item x="50"/>
        <item x="345"/>
        <item x="24"/>
        <item x="128"/>
        <item x="47"/>
        <item x="252"/>
        <item x="131"/>
        <item x="7"/>
        <item x="238"/>
        <item x="87"/>
        <item x="198"/>
        <item x="194"/>
        <item x="193"/>
        <item x="108"/>
        <item x="79"/>
        <item x="146"/>
        <item x="286"/>
        <item x="165"/>
        <item x="327"/>
        <item x="81"/>
        <item x="187"/>
        <item x="258"/>
        <item x="52"/>
        <item x="105"/>
        <item x="100"/>
        <item x="72"/>
        <item x="144"/>
        <item x="121"/>
        <item x="37"/>
        <item x="124"/>
        <item x="91"/>
        <item x="199"/>
        <item x="157"/>
        <item x="111"/>
        <item x="140"/>
        <item x="44"/>
        <item x="273"/>
        <item x="145"/>
        <item x="27"/>
        <item x="203"/>
        <item x="254"/>
        <item x="205"/>
        <item x="320"/>
        <item x="161"/>
        <item x="139"/>
        <item x="201"/>
        <item x="288"/>
        <item x="225"/>
        <item x="230"/>
        <item x="239"/>
        <item x="133"/>
        <item x="82"/>
        <item x="151"/>
        <item x="344"/>
        <item x="84"/>
        <item x="39"/>
        <item x="35"/>
        <item x="206"/>
        <item x="250"/>
        <item x="294"/>
        <item x="102"/>
        <item x="326"/>
        <item x="306"/>
        <item x="153"/>
        <item x="123"/>
        <item x="222"/>
        <item x="89"/>
        <item x="329"/>
        <item x="339"/>
        <item x="180"/>
        <item x="263"/>
        <item x="38"/>
        <item x="95"/>
        <item x="283"/>
        <item x="63"/>
        <item x="309"/>
        <item x="94"/>
        <item x="26"/>
        <item x="246"/>
        <item x="184"/>
        <item x="278"/>
        <item x="28"/>
        <item x="13"/>
        <item x="167"/>
        <item x="96"/>
        <item x="19"/>
        <item x="122"/>
        <item x="334"/>
        <item x="93"/>
        <item x="83"/>
        <item x="318"/>
        <item x="92"/>
        <item x="272"/>
        <item x="172"/>
        <item x="43"/>
        <item x="70"/>
        <item x="276"/>
        <item x="270"/>
        <item x="331"/>
        <item x="125"/>
        <item x="40"/>
        <item x="168"/>
        <item x="221"/>
        <item x="179"/>
        <item x="66"/>
        <item x="190"/>
        <item x="248"/>
        <item x="107"/>
        <item x="240"/>
        <item x="260"/>
        <item x="255"/>
        <item x="11"/>
        <item x="64"/>
        <item x="209"/>
        <item x="48"/>
        <item x="119"/>
        <item x="110"/>
        <item x="287"/>
        <item x="274"/>
        <item x="343"/>
        <item x="31"/>
        <item x="130"/>
        <item x="170"/>
        <item x="261"/>
        <item x="202"/>
        <item x="114"/>
        <item x="155"/>
        <item x="289"/>
        <item x="213"/>
        <item x="76"/>
        <item x="285"/>
        <item x="33"/>
        <item x="58"/>
        <item x="2"/>
        <item x="5"/>
        <item x="249"/>
        <item x="160"/>
        <item x="322"/>
        <item x="296"/>
        <item x="217"/>
        <item x="53"/>
        <item x="280"/>
        <item x="8"/>
        <item x="141"/>
        <item x="279"/>
        <item x="251"/>
        <item x="321"/>
        <item x="55"/>
        <item x="317"/>
        <item x="69"/>
        <item x="80"/>
        <item x="332"/>
        <item x="34"/>
        <item x="220"/>
        <item x="62"/>
        <item x="103"/>
        <item x="281"/>
        <item x="312"/>
        <item x="74"/>
        <item x="46"/>
        <item x="300"/>
        <item x="330"/>
        <item x="109"/>
        <item x="106"/>
        <item x="196"/>
        <item x="32"/>
        <item x="307"/>
        <item x="235"/>
        <item x="315"/>
        <item x="132"/>
        <item x="163"/>
        <item x="164"/>
        <item x="189"/>
        <item x="207"/>
        <item x="269"/>
        <item x="49"/>
        <item x="10"/>
        <item x="295"/>
        <item x="57"/>
        <item x="219"/>
        <item x="301"/>
        <item x="304"/>
        <item x="303"/>
        <item x="293"/>
        <item x="117"/>
        <item x="20"/>
        <item x="265"/>
        <item x="316"/>
        <item x="262"/>
        <item x="98"/>
        <item x="51"/>
        <item x="204"/>
        <item x="175"/>
        <item x="73"/>
        <item x="134"/>
        <item x="4"/>
        <item x="319"/>
        <item x="142"/>
        <item x="338"/>
        <item x="42"/>
        <item x="152"/>
        <item x="127"/>
        <item x="143"/>
        <item x="115"/>
        <item x="159"/>
        <item x="191"/>
        <item x="243"/>
        <item x="129"/>
        <item x="297"/>
        <item x="177"/>
        <item x="284"/>
        <item x="36"/>
        <item x="126"/>
        <item x="267"/>
        <item x="41"/>
        <item x="231"/>
        <item x="291"/>
        <item x="176"/>
        <item x="85"/>
        <item x="313"/>
        <item x="257"/>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12"/>
    <field x="7"/>
  </rowFields>
  <rowItems count="13">
    <i>
      <x v="1"/>
    </i>
    <i>
      <x v="2"/>
    </i>
    <i>
      <x v="3"/>
    </i>
    <i>
      <x v="4"/>
    </i>
    <i>
      <x v="5"/>
    </i>
    <i>
      <x v="6"/>
    </i>
    <i>
      <x v="7"/>
    </i>
    <i>
      <x v="8"/>
    </i>
    <i>
      <x v="9"/>
    </i>
    <i>
      <x v="10"/>
    </i>
    <i>
      <x v="11"/>
    </i>
    <i>
      <x v="12"/>
    </i>
    <i t="grand">
      <x/>
    </i>
  </rowItems>
  <colItems count="1">
    <i/>
  </colItems>
  <dataFields count="1">
    <dataField name="Sum of Total Sales (INR)" fld="6" baseField="0" baseItem="0"/>
  </dataFields>
  <formats count="17">
    <format dxfId="37">
      <pivotArea field="12" type="button" dataOnly="0" labelOnly="1" outline="0" axis="axisRow" fieldPosition="0"/>
    </format>
    <format dxfId="36">
      <pivotArea dataOnly="0" labelOnly="1" outline="0" axis="axisValues" fieldPosition="0"/>
    </format>
    <format dxfId="35">
      <pivotArea collapsedLevelsAreSubtotals="1" fieldPosition="0">
        <references count="1">
          <reference field="12" count="1">
            <x v="1"/>
          </reference>
        </references>
      </pivotArea>
    </format>
    <format dxfId="34">
      <pivotArea collapsedLevelsAreSubtotals="1" fieldPosition="0">
        <references count="1">
          <reference field="12" count="1">
            <x v="2"/>
          </reference>
        </references>
      </pivotArea>
    </format>
    <format dxfId="33">
      <pivotArea collapsedLevelsAreSubtotals="1" fieldPosition="0">
        <references count="1">
          <reference field="12" count="1">
            <x v="3"/>
          </reference>
        </references>
      </pivotArea>
    </format>
    <format dxfId="32">
      <pivotArea collapsedLevelsAreSubtotals="1" fieldPosition="0">
        <references count="1">
          <reference field="12" count="1">
            <x v="4"/>
          </reference>
        </references>
      </pivotArea>
    </format>
    <format dxfId="31">
      <pivotArea collapsedLevelsAreSubtotals="1" fieldPosition="0">
        <references count="1">
          <reference field="12" count="1">
            <x v="5"/>
          </reference>
        </references>
      </pivotArea>
    </format>
    <format dxfId="30">
      <pivotArea collapsedLevelsAreSubtotals="1" fieldPosition="0">
        <references count="1">
          <reference field="12" count="1">
            <x v="6"/>
          </reference>
        </references>
      </pivotArea>
    </format>
    <format dxfId="29">
      <pivotArea collapsedLevelsAreSubtotals="1" fieldPosition="0">
        <references count="1">
          <reference field="12" count="1">
            <x v="7"/>
          </reference>
        </references>
      </pivotArea>
    </format>
    <format dxfId="28">
      <pivotArea collapsedLevelsAreSubtotals="1" fieldPosition="0">
        <references count="1">
          <reference field="12" count="1">
            <x v="8"/>
          </reference>
        </references>
      </pivotArea>
    </format>
    <format dxfId="27">
      <pivotArea collapsedLevelsAreSubtotals="1" fieldPosition="0">
        <references count="1">
          <reference field="12" count="1">
            <x v="9"/>
          </reference>
        </references>
      </pivotArea>
    </format>
    <format dxfId="26">
      <pivotArea collapsedLevelsAreSubtotals="1" fieldPosition="0">
        <references count="1">
          <reference field="12" count="1">
            <x v="10"/>
          </reference>
        </references>
      </pivotArea>
    </format>
    <format dxfId="25">
      <pivotArea collapsedLevelsAreSubtotals="1" fieldPosition="0">
        <references count="1">
          <reference field="12" count="1">
            <x v="11"/>
          </reference>
        </references>
      </pivotArea>
    </format>
    <format dxfId="24">
      <pivotArea collapsedLevelsAreSubtotals="1" fieldPosition="0">
        <references count="1">
          <reference field="12" count="1">
            <x v="12"/>
          </reference>
        </references>
      </pivotArea>
    </format>
    <format dxfId="23">
      <pivotArea dataOnly="0" labelOnly="1" fieldPosition="0">
        <references count="1">
          <reference field="12" count="12">
            <x v="1"/>
            <x v="2"/>
            <x v="3"/>
            <x v="4"/>
            <x v="5"/>
            <x v="6"/>
            <x v="7"/>
            <x v="8"/>
            <x v="9"/>
            <x v="10"/>
            <x v="11"/>
            <x v="12"/>
          </reference>
        </references>
      </pivotArea>
    </format>
    <format dxfId="22">
      <pivotArea grandRow="1" outline="0" collapsedLevelsAreSubtotals="1" fieldPosition="0"/>
    </format>
    <format dxfId="21">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D3A74C0-5410-429F-A7BC-65B411DE2438}"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location ref="L14:M40" firstHeaderRow="1" firstDataRow="1" firstDataCol="1"/>
  <pivotFields count="15">
    <pivotField showAll="0"/>
    <pivotField axis="axisRow" showAll="0" defaultSubtotal="0">
      <items count="25">
        <item x="1"/>
        <item x="2"/>
        <item x="11"/>
        <item x="13"/>
        <item x="24"/>
        <item x="9"/>
        <item x="16"/>
        <item x="7"/>
        <item x="6"/>
        <item x="10"/>
        <item x="21"/>
        <item x="17"/>
        <item x="18"/>
        <item x="3"/>
        <item x="20"/>
        <item x="8"/>
        <item x="19"/>
        <item x="0"/>
        <item x="4"/>
        <item x="14"/>
        <item x="23"/>
        <item x="5"/>
        <item x="12"/>
        <item x="22"/>
        <item x="15"/>
      </items>
    </pivotField>
    <pivotField showAll="0"/>
    <pivotField showAll="0"/>
    <pivotField showAll="0"/>
    <pivotField showAll="0"/>
    <pivotField dataField="1" showAll="0"/>
    <pivotField numFmtId="14" showAll="0">
      <items count="347">
        <item x="68"/>
        <item x="61"/>
        <item x="299"/>
        <item x="183"/>
        <item x="71"/>
        <item x="282"/>
        <item x="23"/>
        <item x="135"/>
        <item x="104"/>
        <item x="1"/>
        <item x="171"/>
        <item x="302"/>
        <item x="150"/>
        <item x="45"/>
        <item x="311"/>
        <item x="214"/>
        <item x="266"/>
        <item x="148"/>
        <item x="113"/>
        <item x="154"/>
        <item x="6"/>
        <item x="158"/>
        <item x="78"/>
        <item x="227"/>
        <item x="232"/>
        <item x="215"/>
        <item x="137"/>
        <item x="292"/>
        <item x="314"/>
        <item x="138"/>
        <item x="169"/>
        <item x="25"/>
        <item x="340"/>
        <item x="333"/>
        <item x="210"/>
        <item x="208"/>
        <item x="21"/>
        <item x="336"/>
        <item x="56"/>
        <item x="118"/>
        <item x="241"/>
        <item x="200"/>
        <item x="325"/>
        <item x="90"/>
        <item x="112"/>
        <item x="185"/>
        <item x="188"/>
        <item x="14"/>
        <item x="99"/>
        <item x="259"/>
        <item x="236"/>
        <item x="156"/>
        <item x="65"/>
        <item x="275"/>
        <item x="342"/>
        <item x="22"/>
        <item x="77"/>
        <item x="256"/>
        <item x="229"/>
        <item x="181"/>
        <item x="16"/>
        <item x="211"/>
        <item x="86"/>
        <item x="245"/>
        <item x="328"/>
        <item x="324"/>
        <item x="195"/>
        <item x="0"/>
        <item x="101"/>
        <item x="305"/>
        <item x="277"/>
        <item x="15"/>
        <item x="323"/>
        <item x="337"/>
        <item x="136"/>
        <item x="216"/>
        <item x="290"/>
        <item x="253"/>
        <item x="233"/>
        <item x="223"/>
        <item x="120"/>
        <item x="166"/>
        <item x="335"/>
        <item x="3"/>
        <item x="341"/>
        <item x="186"/>
        <item x="228"/>
        <item x="116"/>
        <item x="18"/>
        <item x="182"/>
        <item x="264"/>
        <item x="192"/>
        <item x="30"/>
        <item x="174"/>
        <item x="226"/>
        <item x="97"/>
        <item x="9"/>
        <item x="242"/>
        <item x="149"/>
        <item x="59"/>
        <item x="237"/>
        <item x="244"/>
        <item x="212"/>
        <item x="60"/>
        <item x="310"/>
        <item x="178"/>
        <item x="247"/>
        <item x="67"/>
        <item x="298"/>
        <item x="268"/>
        <item x="88"/>
        <item x="308"/>
        <item x="224"/>
        <item x="162"/>
        <item x="234"/>
        <item x="218"/>
        <item x="29"/>
        <item x="197"/>
        <item x="271"/>
        <item x="12"/>
        <item x="75"/>
        <item x="147"/>
        <item x="54"/>
        <item x="17"/>
        <item x="173"/>
        <item x="50"/>
        <item x="345"/>
        <item x="24"/>
        <item x="128"/>
        <item x="47"/>
        <item x="252"/>
        <item x="131"/>
        <item x="7"/>
        <item x="238"/>
        <item x="87"/>
        <item x="198"/>
        <item x="194"/>
        <item x="193"/>
        <item x="108"/>
        <item x="79"/>
        <item x="146"/>
        <item x="286"/>
        <item x="165"/>
        <item x="327"/>
        <item x="81"/>
        <item x="187"/>
        <item x="258"/>
        <item x="52"/>
        <item x="105"/>
        <item x="100"/>
        <item x="72"/>
        <item x="144"/>
        <item x="121"/>
        <item x="37"/>
        <item x="124"/>
        <item x="91"/>
        <item x="199"/>
        <item x="157"/>
        <item x="111"/>
        <item x="140"/>
        <item x="44"/>
        <item x="273"/>
        <item x="145"/>
        <item x="27"/>
        <item x="203"/>
        <item x="254"/>
        <item x="205"/>
        <item x="320"/>
        <item x="161"/>
        <item x="139"/>
        <item x="201"/>
        <item x="288"/>
        <item x="225"/>
        <item x="230"/>
        <item x="239"/>
        <item x="133"/>
        <item x="82"/>
        <item x="151"/>
        <item x="344"/>
        <item x="84"/>
        <item x="39"/>
        <item x="35"/>
        <item x="206"/>
        <item x="250"/>
        <item x="294"/>
        <item x="102"/>
        <item x="326"/>
        <item x="306"/>
        <item x="153"/>
        <item x="123"/>
        <item x="222"/>
        <item x="89"/>
        <item x="329"/>
        <item x="339"/>
        <item x="180"/>
        <item x="263"/>
        <item x="38"/>
        <item x="95"/>
        <item x="283"/>
        <item x="63"/>
        <item x="309"/>
        <item x="94"/>
        <item x="26"/>
        <item x="246"/>
        <item x="184"/>
        <item x="278"/>
        <item x="28"/>
        <item x="13"/>
        <item x="167"/>
        <item x="96"/>
        <item x="19"/>
        <item x="122"/>
        <item x="334"/>
        <item x="93"/>
        <item x="83"/>
        <item x="318"/>
        <item x="92"/>
        <item x="272"/>
        <item x="172"/>
        <item x="43"/>
        <item x="70"/>
        <item x="276"/>
        <item x="270"/>
        <item x="331"/>
        <item x="125"/>
        <item x="40"/>
        <item x="168"/>
        <item x="221"/>
        <item x="179"/>
        <item x="66"/>
        <item x="190"/>
        <item x="248"/>
        <item x="107"/>
        <item x="240"/>
        <item x="260"/>
        <item x="255"/>
        <item x="11"/>
        <item x="64"/>
        <item x="209"/>
        <item x="48"/>
        <item x="119"/>
        <item x="110"/>
        <item x="287"/>
        <item x="274"/>
        <item x="343"/>
        <item x="31"/>
        <item x="130"/>
        <item x="170"/>
        <item x="261"/>
        <item x="202"/>
        <item x="114"/>
        <item x="155"/>
        <item x="289"/>
        <item x="213"/>
        <item x="76"/>
        <item x="285"/>
        <item x="33"/>
        <item x="58"/>
        <item x="2"/>
        <item x="5"/>
        <item x="249"/>
        <item x="160"/>
        <item x="322"/>
        <item x="296"/>
        <item x="217"/>
        <item x="53"/>
        <item x="280"/>
        <item x="8"/>
        <item x="141"/>
        <item x="279"/>
        <item x="251"/>
        <item x="321"/>
        <item x="55"/>
        <item x="317"/>
        <item x="69"/>
        <item x="80"/>
        <item x="332"/>
        <item x="34"/>
        <item x="220"/>
        <item x="62"/>
        <item x="103"/>
        <item x="281"/>
        <item x="312"/>
        <item x="74"/>
        <item x="46"/>
        <item x="300"/>
        <item x="330"/>
        <item x="109"/>
        <item x="106"/>
        <item x="196"/>
        <item x="32"/>
        <item x="307"/>
        <item x="235"/>
        <item x="315"/>
        <item x="132"/>
        <item x="163"/>
        <item x="164"/>
        <item x="189"/>
        <item x="207"/>
        <item x="269"/>
        <item x="49"/>
        <item x="10"/>
        <item x="295"/>
        <item x="57"/>
        <item x="219"/>
        <item x="301"/>
        <item x="304"/>
        <item x="303"/>
        <item x="293"/>
        <item x="117"/>
        <item x="20"/>
        <item x="265"/>
        <item x="316"/>
        <item x="262"/>
        <item x="98"/>
        <item x="51"/>
        <item x="204"/>
        <item x="175"/>
        <item x="73"/>
        <item x="134"/>
        <item x="4"/>
        <item x="319"/>
        <item x="142"/>
        <item x="338"/>
        <item x="42"/>
        <item x="152"/>
        <item x="127"/>
        <item x="143"/>
        <item x="115"/>
        <item x="159"/>
        <item x="191"/>
        <item x="243"/>
        <item x="129"/>
        <item x="297"/>
        <item x="177"/>
        <item x="284"/>
        <item x="36"/>
        <item x="126"/>
        <item x="267"/>
        <item x="41"/>
        <item x="231"/>
        <item x="291"/>
        <item x="176"/>
        <item x="85"/>
        <item x="313"/>
        <item x="257"/>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otal Sales (INR)" fld="6" baseField="0" baseItem="0"/>
  </dataFields>
  <formats count="2">
    <format dxfId="2">
      <pivotArea field="1" type="button" dataOnly="0" labelOnly="1" outline="0" axis="axisRow" fieldPosition="0"/>
    </format>
    <format dxfId="1">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BD9987E-9B23-4D3E-A168-FC645C60EEF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ogory">
  <location ref="M42:N48" firstHeaderRow="1" firstDataRow="1" firstDataCol="1"/>
  <pivotFields count="15">
    <pivotField showAll="0"/>
    <pivotField showAll="0">
      <items count="26">
        <item x="1"/>
        <item x="2"/>
        <item x="11"/>
        <item x="13"/>
        <item x="24"/>
        <item x="9"/>
        <item x="16"/>
        <item x="7"/>
        <item x="6"/>
        <item x="10"/>
        <item x="21"/>
        <item x="17"/>
        <item x="18"/>
        <item x="3"/>
        <item x="20"/>
        <item x="8"/>
        <item x="19"/>
        <item x="0"/>
        <item x="4"/>
        <item x="14"/>
        <item x="23"/>
        <item x="5"/>
        <item x="12"/>
        <item x="22"/>
        <item x="15"/>
        <item t="default"/>
      </items>
    </pivotField>
    <pivotField axis="axisRow" showAll="0">
      <items count="6">
        <item x="0"/>
        <item x="2"/>
        <item x="4"/>
        <item x="3"/>
        <item x="1"/>
        <item t="default"/>
      </items>
    </pivotField>
    <pivotField showAll="0"/>
    <pivotField showAll="0">
      <items count="6">
        <item h="1" x="3"/>
        <item x="2"/>
        <item h="1" x="1"/>
        <item h="1" x="0"/>
        <item h="1" x="4"/>
        <item t="default"/>
      </items>
    </pivotField>
    <pivotField showAll="0"/>
    <pivotField showAll="0"/>
    <pivotField numFmtId="14" showAll="0">
      <items count="347">
        <item x="68"/>
        <item x="61"/>
        <item x="299"/>
        <item x="183"/>
        <item x="71"/>
        <item x="282"/>
        <item x="23"/>
        <item x="135"/>
        <item x="104"/>
        <item x="1"/>
        <item x="171"/>
        <item x="302"/>
        <item x="150"/>
        <item x="45"/>
        <item x="311"/>
        <item x="214"/>
        <item x="266"/>
        <item x="148"/>
        <item x="113"/>
        <item x="154"/>
        <item x="6"/>
        <item x="158"/>
        <item x="78"/>
        <item x="227"/>
        <item x="232"/>
        <item x="215"/>
        <item x="137"/>
        <item x="292"/>
        <item x="314"/>
        <item x="138"/>
        <item x="169"/>
        <item x="25"/>
        <item x="340"/>
        <item x="333"/>
        <item x="210"/>
        <item x="208"/>
        <item x="21"/>
        <item x="336"/>
        <item x="56"/>
        <item x="118"/>
        <item x="241"/>
        <item x="200"/>
        <item x="325"/>
        <item x="90"/>
        <item x="112"/>
        <item x="185"/>
        <item x="188"/>
        <item x="14"/>
        <item x="99"/>
        <item x="259"/>
        <item x="236"/>
        <item x="156"/>
        <item x="65"/>
        <item x="275"/>
        <item x="342"/>
        <item x="22"/>
        <item x="77"/>
        <item x="256"/>
        <item x="229"/>
        <item x="181"/>
        <item x="16"/>
        <item x="211"/>
        <item x="86"/>
        <item x="245"/>
        <item x="328"/>
        <item x="324"/>
        <item x="195"/>
        <item x="0"/>
        <item x="101"/>
        <item x="305"/>
        <item x="277"/>
        <item x="15"/>
        <item x="323"/>
        <item x="337"/>
        <item x="136"/>
        <item x="216"/>
        <item x="290"/>
        <item x="253"/>
        <item x="233"/>
        <item x="223"/>
        <item x="120"/>
        <item x="166"/>
        <item x="335"/>
        <item x="3"/>
        <item x="341"/>
        <item x="186"/>
        <item x="228"/>
        <item x="116"/>
        <item x="18"/>
        <item x="182"/>
        <item x="264"/>
        <item x="192"/>
        <item x="30"/>
        <item x="174"/>
        <item x="226"/>
        <item x="97"/>
        <item x="9"/>
        <item x="242"/>
        <item x="149"/>
        <item x="59"/>
        <item x="237"/>
        <item x="244"/>
        <item x="212"/>
        <item x="60"/>
        <item x="310"/>
        <item x="178"/>
        <item x="247"/>
        <item x="67"/>
        <item x="298"/>
        <item x="268"/>
        <item x="88"/>
        <item x="308"/>
        <item x="224"/>
        <item x="162"/>
        <item x="234"/>
        <item x="218"/>
        <item x="29"/>
        <item x="197"/>
        <item x="271"/>
        <item x="12"/>
        <item x="75"/>
        <item x="147"/>
        <item x="54"/>
        <item x="17"/>
        <item x="173"/>
        <item x="50"/>
        <item x="345"/>
        <item x="24"/>
        <item x="128"/>
        <item x="47"/>
        <item x="252"/>
        <item x="131"/>
        <item x="7"/>
        <item x="238"/>
        <item x="87"/>
        <item x="198"/>
        <item x="194"/>
        <item x="193"/>
        <item x="108"/>
        <item x="79"/>
        <item x="146"/>
        <item x="286"/>
        <item x="165"/>
        <item x="327"/>
        <item x="81"/>
        <item x="187"/>
        <item x="258"/>
        <item x="52"/>
        <item x="105"/>
        <item x="100"/>
        <item x="72"/>
        <item x="144"/>
        <item x="121"/>
        <item x="37"/>
        <item x="124"/>
        <item x="91"/>
        <item x="199"/>
        <item x="157"/>
        <item x="111"/>
        <item x="140"/>
        <item x="44"/>
        <item x="273"/>
        <item x="145"/>
        <item x="27"/>
        <item x="203"/>
        <item x="254"/>
        <item x="205"/>
        <item x="320"/>
        <item x="161"/>
        <item x="139"/>
        <item x="201"/>
        <item x="288"/>
        <item x="225"/>
        <item x="230"/>
        <item x="239"/>
        <item x="133"/>
        <item x="82"/>
        <item x="151"/>
        <item x="344"/>
        <item x="84"/>
        <item x="39"/>
        <item x="35"/>
        <item x="206"/>
        <item x="250"/>
        <item x="294"/>
        <item x="102"/>
        <item x="326"/>
        <item x="306"/>
        <item x="153"/>
        <item x="123"/>
        <item x="222"/>
        <item x="89"/>
        <item x="329"/>
        <item x="339"/>
        <item x="180"/>
        <item x="263"/>
        <item x="38"/>
        <item x="95"/>
        <item x="283"/>
        <item x="63"/>
        <item x="309"/>
        <item x="94"/>
        <item x="26"/>
        <item x="246"/>
        <item x="184"/>
        <item x="278"/>
        <item x="28"/>
        <item x="13"/>
        <item x="167"/>
        <item x="96"/>
        <item x="19"/>
        <item x="122"/>
        <item x="334"/>
        <item x="93"/>
        <item x="83"/>
        <item x="318"/>
        <item x="92"/>
        <item x="272"/>
        <item x="172"/>
        <item x="43"/>
        <item x="70"/>
        <item x="276"/>
        <item x="270"/>
        <item x="331"/>
        <item x="125"/>
        <item x="40"/>
        <item x="168"/>
        <item x="221"/>
        <item x="179"/>
        <item x="66"/>
        <item x="190"/>
        <item x="248"/>
        <item x="107"/>
        <item x="240"/>
        <item x="260"/>
        <item x="255"/>
        <item x="11"/>
        <item x="64"/>
        <item x="209"/>
        <item x="48"/>
        <item x="119"/>
        <item x="110"/>
        <item x="287"/>
        <item x="274"/>
        <item x="343"/>
        <item x="31"/>
        <item x="130"/>
        <item x="170"/>
        <item x="261"/>
        <item x="202"/>
        <item x="114"/>
        <item x="155"/>
        <item x="289"/>
        <item x="213"/>
        <item x="76"/>
        <item x="285"/>
        <item x="33"/>
        <item x="58"/>
        <item x="2"/>
        <item x="5"/>
        <item x="249"/>
        <item x="160"/>
        <item x="322"/>
        <item x="296"/>
        <item x="217"/>
        <item x="53"/>
        <item x="280"/>
        <item x="8"/>
        <item x="141"/>
        <item x="279"/>
        <item x="251"/>
        <item x="321"/>
        <item x="55"/>
        <item x="317"/>
        <item x="69"/>
        <item x="80"/>
        <item x="332"/>
        <item x="34"/>
        <item x="220"/>
        <item x="62"/>
        <item x="103"/>
        <item x="281"/>
        <item x="312"/>
        <item x="74"/>
        <item x="46"/>
        <item x="300"/>
        <item x="330"/>
        <item x="109"/>
        <item x="106"/>
        <item x="196"/>
        <item x="32"/>
        <item x="307"/>
        <item x="235"/>
        <item x="315"/>
        <item x="132"/>
        <item x="163"/>
        <item x="164"/>
        <item x="189"/>
        <item x="207"/>
        <item x="269"/>
        <item x="49"/>
        <item x="10"/>
        <item x="295"/>
        <item x="57"/>
        <item x="219"/>
        <item x="301"/>
        <item x="304"/>
        <item x="303"/>
        <item x="293"/>
        <item x="117"/>
        <item x="20"/>
        <item x="265"/>
        <item x="316"/>
        <item x="262"/>
        <item x="98"/>
        <item x="51"/>
        <item x="204"/>
        <item x="175"/>
        <item x="73"/>
        <item x="134"/>
        <item x="4"/>
        <item x="319"/>
        <item x="142"/>
        <item x="338"/>
        <item x="42"/>
        <item x="152"/>
        <item x="127"/>
        <item x="143"/>
        <item x="115"/>
        <item x="159"/>
        <item x="191"/>
        <item x="243"/>
        <item x="129"/>
        <item x="297"/>
        <item x="177"/>
        <item x="284"/>
        <item x="36"/>
        <item x="126"/>
        <item x="267"/>
        <item x="41"/>
        <item x="231"/>
        <item x="291"/>
        <item x="176"/>
        <item x="85"/>
        <item x="313"/>
        <item x="257"/>
        <item t="default"/>
      </items>
    </pivotField>
    <pivotField showAll="0"/>
    <pivotField dataField="1"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Items count="1">
    <i/>
  </colItems>
  <dataFields count="1">
    <dataField name="Average of Customer Rating" fld="9" subtotal="average"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F0BEBE4-9ECB-439E-8906-6B20C2B4436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J42:K48" firstHeaderRow="1" firstDataRow="1" firstDataCol="1"/>
  <pivotFields count="15">
    <pivotField showAll="0"/>
    <pivotField showAll="0"/>
    <pivotField axis="axisRow" showAll="0">
      <items count="6">
        <item x="0"/>
        <item x="2"/>
        <item x="4"/>
        <item x="3"/>
        <item x="1"/>
        <item t="default"/>
      </items>
    </pivotField>
    <pivotField showAll="0"/>
    <pivotField dataField="1" showAll="0"/>
    <pivotField showAll="0"/>
    <pivotField showAll="0"/>
    <pivotField numFmtId="14" showAll="0">
      <items count="347">
        <item x="68"/>
        <item x="61"/>
        <item x="299"/>
        <item x="183"/>
        <item x="71"/>
        <item x="282"/>
        <item x="23"/>
        <item x="135"/>
        <item x="104"/>
        <item x="1"/>
        <item x="171"/>
        <item x="302"/>
        <item x="150"/>
        <item x="45"/>
        <item x="311"/>
        <item x="214"/>
        <item x="266"/>
        <item x="148"/>
        <item x="113"/>
        <item x="154"/>
        <item x="6"/>
        <item x="158"/>
        <item x="78"/>
        <item x="227"/>
        <item x="232"/>
        <item x="215"/>
        <item x="137"/>
        <item x="292"/>
        <item x="314"/>
        <item x="138"/>
        <item x="169"/>
        <item x="25"/>
        <item x="340"/>
        <item x="333"/>
        <item x="210"/>
        <item x="208"/>
        <item x="21"/>
        <item x="336"/>
        <item x="56"/>
        <item x="118"/>
        <item x="241"/>
        <item x="200"/>
        <item x="325"/>
        <item x="90"/>
        <item x="112"/>
        <item x="185"/>
        <item x="188"/>
        <item x="14"/>
        <item x="99"/>
        <item x="259"/>
        <item x="236"/>
        <item x="156"/>
        <item x="65"/>
        <item x="275"/>
        <item x="342"/>
        <item x="22"/>
        <item x="77"/>
        <item x="256"/>
        <item x="229"/>
        <item x="181"/>
        <item x="16"/>
        <item x="211"/>
        <item x="86"/>
        <item x="245"/>
        <item x="328"/>
        <item x="324"/>
        <item x="195"/>
        <item x="0"/>
        <item x="101"/>
        <item x="305"/>
        <item x="277"/>
        <item x="15"/>
        <item x="323"/>
        <item x="337"/>
        <item x="136"/>
        <item x="216"/>
        <item x="290"/>
        <item x="253"/>
        <item x="233"/>
        <item x="223"/>
        <item x="120"/>
        <item x="166"/>
        <item x="335"/>
        <item x="3"/>
        <item x="341"/>
        <item x="186"/>
        <item x="228"/>
        <item x="116"/>
        <item x="18"/>
        <item x="182"/>
        <item x="264"/>
        <item x="192"/>
        <item x="30"/>
        <item x="174"/>
        <item x="226"/>
        <item x="97"/>
        <item x="9"/>
        <item x="242"/>
        <item x="149"/>
        <item x="59"/>
        <item x="237"/>
        <item x="244"/>
        <item x="212"/>
        <item x="60"/>
        <item x="310"/>
        <item x="178"/>
        <item x="247"/>
        <item x="67"/>
        <item x="298"/>
        <item x="268"/>
        <item x="88"/>
        <item x="308"/>
        <item x="224"/>
        <item x="162"/>
        <item x="234"/>
        <item x="218"/>
        <item x="29"/>
        <item x="197"/>
        <item x="271"/>
        <item x="12"/>
        <item x="75"/>
        <item x="147"/>
        <item x="54"/>
        <item x="17"/>
        <item x="173"/>
        <item x="50"/>
        <item x="345"/>
        <item x="24"/>
        <item x="128"/>
        <item x="47"/>
        <item x="252"/>
        <item x="131"/>
        <item x="7"/>
        <item x="238"/>
        <item x="87"/>
        <item x="198"/>
        <item x="194"/>
        <item x="193"/>
        <item x="108"/>
        <item x="79"/>
        <item x="146"/>
        <item x="286"/>
        <item x="165"/>
        <item x="327"/>
        <item x="81"/>
        <item x="187"/>
        <item x="258"/>
        <item x="52"/>
        <item x="105"/>
        <item x="100"/>
        <item x="72"/>
        <item x="144"/>
        <item x="121"/>
        <item x="37"/>
        <item x="124"/>
        <item x="91"/>
        <item x="199"/>
        <item x="157"/>
        <item x="111"/>
        <item x="140"/>
        <item x="44"/>
        <item x="273"/>
        <item x="145"/>
        <item x="27"/>
        <item x="203"/>
        <item x="254"/>
        <item x="205"/>
        <item x="320"/>
        <item x="161"/>
        <item x="139"/>
        <item x="201"/>
        <item x="288"/>
        <item x="225"/>
        <item x="230"/>
        <item x="239"/>
        <item x="133"/>
        <item x="82"/>
        <item x="151"/>
        <item x="344"/>
        <item x="84"/>
        <item x="39"/>
        <item x="35"/>
        <item x="206"/>
        <item x="250"/>
        <item x="294"/>
        <item x="102"/>
        <item x="326"/>
        <item x="306"/>
        <item x="153"/>
        <item x="123"/>
        <item x="222"/>
        <item x="89"/>
        <item x="329"/>
        <item x="339"/>
        <item x="180"/>
        <item x="263"/>
        <item x="38"/>
        <item x="95"/>
        <item x="283"/>
        <item x="63"/>
        <item x="309"/>
        <item x="94"/>
        <item x="26"/>
        <item x="246"/>
        <item x="184"/>
        <item x="278"/>
        <item x="28"/>
        <item x="13"/>
        <item x="167"/>
        <item x="96"/>
        <item x="19"/>
        <item x="122"/>
        <item x="334"/>
        <item x="93"/>
        <item x="83"/>
        <item x="318"/>
        <item x="92"/>
        <item x="272"/>
        <item x="172"/>
        <item x="43"/>
        <item x="70"/>
        <item x="276"/>
        <item x="270"/>
        <item x="331"/>
        <item x="125"/>
        <item x="40"/>
        <item x="168"/>
        <item x="221"/>
        <item x="179"/>
        <item x="66"/>
        <item x="190"/>
        <item x="248"/>
        <item x="107"/>
        <item x="240"/>
        <item x="260"/>
        <item x="255"/>
        <item x="11"/>
        <item x="64"/>
        <item x="209"/>
        <item x="48"/>
        <item x="119"/>
        <item x="110"/>
        <item x="287"/>
        <item x="274"/>
        <item x="343"/>
        <item x="31"/>
        <item x="130"/>
        <item x="170"/>
        <item x="261"/>
        <item x="202"/>
        <item x="114"/>
        <item x="155"/>
        <item x="289"/>
        <item x="213"/>
        <item x="76"/>
        <item x="285"/>
        <item x="33"/>
        <item x="58"/>
        <item x="2"/>
        <item x="5"/>
        <item x="249"/>
        <item x="160"/>
        <item x="322"/>
        <item x="296"/>
        <item x="217"/>
        <item x="53"/>
        <item x="280"/>
        <item x="8"/>
        <item x="141"/>
        <item x="279"/>
        <item x="251"/>
        <item x="321"/>
        <item x="55"/>
        <item x="317"/>
        <item x="69"/>
        <item x="80"/>
        <item x="332"/>
        <item x="34"/>
        <item x="220"/>
        <item x="62"/>
        <item x="103"/>
        <item x="281"/>
        <item x="312"/>
        <item x="74"/>
        <item x="46"/>
        <item x="300"/>
        <item x="330"/>
        <item x="109"/>
        <item x="106"/>
        <item x="196"/>
        <item x="32"/>
        <item x="307"/>
        <item x="235"/>
        <item x="315"/>
        <item x="132"/>
        <item x="163"/>
        <item x="164"/>
        <item x="189"/>
        <item x="207"/>
        <item x="269"/>
        <item x="49"/>
        <item x="10"/>
        <item x="295"/>
        <item x="57"/>
        <item x="219"/>
        <item x="301"/>
        <item x="304"/>
        <item x="303"/>
        <item x="293"/>
        <item x="117"/>
        <item x="20"/>
        <item x="265"/>
        <item x="316"/>
        <item x="262"/>
        <item x="98"/>
        <item x="51"/>
        <item x="204"/>
        <item x="175"/>
        <item x="73"/>
        <item x="134"/>
        <item x="4"/>
        <item x="319"/>
        <item x="142"/>
        <item x="338"/>
        <item x="42"/>
        <item x="152"/>
        <item x="127"/>
        <item x="143"/>
        <item x="115"/>
        <item x="159"/>
        <item x="191"/>
        <item x="243"/>
        <item x="129"/>
        <item x="297"/>
        <item x="177"/>
        <item x="284"/>
        <item x="36"/>
        <item x="126"/>
        <item x="267"/>
        <item x="41"/>
        <item x="231"/>
        <item x="291"/>
        <item x="176"/>
        <item x="85"/>
        <item x="313"/>
        <item x="257"/>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Items count="1">
    <i/>
  </colItems>
  <dataFields count="1">
    <dataField name="Sum of Quantity Sold" fld="4"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4"/>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2" count="1" selected="0">
            <x v="0"/>
          </reference>
        </references>
      </pivotArea>
    </chartFormat>
    <chartFormat chart="4" format="13">
      <pivotArea type="data" outline="0" fieldPosition="0">
        <references count="2">
          <reference field="4294967294" count="1" selected="0">
            <x v="0"/>
          </reference>
          <reference field="2" count="1" selected="0">
            <x v="1"/>
          </reference>
        </references>
      </pivotArea>
    </chartFormat>
    <chartFormat chart="4" format="14">
      <pivotArea type="data" outline="0" fieldPosition="0">
        <references count="2">
          <reference field="4294967294" count="1" selected="0">
            <x v="0"/>
          </reference>
          <reference field="2" count="1" selected="0">
            <x v="2"/>
          </reference>
        </references>
      </pivotArea>
    </chartFormat>
    <chartFormat chart="4" format="15">
      <pivotArea type="data" outline="0" fieldPosition="0">
        <references count="2">
          <reference field="4294967294" count="1" selected="0">
            <x v="0"/>
          </reference>
          <reference field="2" count="1" selected="0">
            <x v="3"/>
          </reference>
        </references>
      </pivotArea>
    </chartFormat>
    <chartFormat chart="4" format="16">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6C3DECC-960F-4CD4-8668-FD00B02B67E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ayment method">
  <location ref="T29:U36" firstHeaderRow="1" firstDataRow="1" firstDataCol="1"/>
  <pivotFields count="15">
    <pivotField showAll="0">
      <items count="1001">
        <item x="376"/>
        <item x="272"/>
        <item x="118"/>
        <item x="451"/>
        <item x="475"/>
        <item x="818"/>
        <item x="731"/>
        <item x="653"/>
        <item x="606"/>
        <item x="238"/>
        <item x="675"/>
        <item x="910"/>
        <item x="927"/>
        <item x="321"/>
        <item x="835"/>
        <item x="836"/>
        <item x="676"/>
        <item x="625"/>
        <item x="239"/>
        <item x="119"/>
        <item x="93"/>
        <item x="150"/>
        <item x="837"/>
        <item x="560"/>
        <item x="952"/>
        <item x="411"/>
        <item x="626"/>
        <item x="677"/>
        <item x="696"/>
        <item x="322"/>
        <item x="348"/>
        <item x="953"/>
        <item x="452"/>
        <item x="476"/>
        <item x="377"/>
        <item x="888"/>
        <item x="954"/>
        <item x="323"/>
        <item x="240"/>
        <item x="241"/>
        <item x="324"/>
        <item x="378"/>
        <item x="175"/>
        <item x="955"/>
        <item x="561"/>
        <item x="654"/>
        <item x="50"/>
        <item x="678"/>
        <item x="430"/>
        <item x="94"/>
        <item x="655"/>
        <item x="210"/>
        <item x="911"/>
        <item x="697"/>
        <item x="349"/>
        <item x="211"/>
        <item x="819"/>
        <item x="350"/>
        <item x="732"/>
        <item x="294"/>
        <item x="477"/>
        <item x="273"/>
        <item x="578"/>
        <item x="412"/>
        <item x="956"/>
        <item x="762"/>
        <item x="627"/>
        <item x="51"/>
        <item x="413"/>
        <item x="928"/>
        <item x="733"/>
        <item x="792"/>
        <item x="502"/>
        <item x="67"/>
        <item x="986"/>
        <item x="295"/>
        <item x="414"/>
        <item x="656"/>
        <item x="242"/>
        <item x="431"/>
        <item x="453"/>
        <item x="579"/>
        <item x="5"/>
        <item x="912"/>
        <item x="52"/>
        <item x="657"/>
        <item x="415"/>
        <item x="416"/>
        <item x="628"/>
        <item x="243"/>
        <item x="120"/>
        <item x="351"/>
        <item x="531"/>
        <item x="734"/>
        <item x="889"/>
        <item x="274"/>
        <item x="629"/>
        <item x="478"/>
        <item x="711"/>
        <item x="658"/>
        <item x="432"/>
        <item x="503"/>
        <item x="244"/>
        <item x="121"/>
        <item x="325"/>
        <item x="151"/>
        <item x="379"/>
        <item x="957"/>
        <item x="838"/>
        <item x="275"/>
        <item x="763"/>
        <item x="28"/>
        <item x="296"/>
        <item x="276"/>
        <item x="712"/>
        <item x="326"/>
        <item x="562"/>
        <item x="504"/>
        <item x="820"/>
        <item x="913"/>
        <item x="861"/>
        <item x="659"/>
        <item x="958"/>
        <item x="122"/>
        <item x="890"/>
        <item x="352"/>
        <item x="68"/>
        <item x="630"/>
        <item x="679"/>
        <item x="245"/>
        <item x="793"/>
        <item x="0"/>
        <item x="176"/>
        <item x="327"/>
        <item x="297"/>
        <item x="479"/>
        <item x="298"/>
        <item x="123"/>
        <item x="69"/>
        <item x="862"/>
        <item x="152"/>
        <item x="891"/>
        <item x="480"/>
        <item x="246"/>
        <item x="6"/>
        <item x="481"/>
        <item x="764"/>
        <item x="124"/>
        <item x="177"/>
        <item x="580"/>
        <item x="713"/>
        <item x="987"/>
        <item x="153"/>
        <item x="154"/>
        <item x="607"/>
        <item x="29"/>
        <item x="735"/>
        <item x="53"/>
        <item x="765"/>
        <item x="839"/>
        <item x="863"/>
        <item x="70"/>
        <item x="54"/>
        <item x="864"/>
        <item x="608"/>
        <item x="178"/>
        <item x="660"/>
        <item x="433"/>
        <item x="125"/>
        <item x="680"/>
        <item x="212"/>
        <item x="505"/>
        <item x="714"/>
        <item x="213"/>
        <item x="631"/>
        <item x="155"/>
        <item x="214"/>
        <item x="299"/>
        <item x="277"/>
        <item x="563"/>
        <item x="609"/>
        <item x="914"/>
        <item x="215"/>
        <item x="434"/>
        <item x="7"/>
        <item x="179"/>
        <item x="532"/>
        <item x="380"/>
        <item x="865"/>
        <item x="216"/>
        <item x="681"/>
        <item x="661"/>
        <item x="632"/>
        <item x="278"/>
        <item x="794"/>
        <item x="915"/>
        <item x="71"/>
        <item x="959"/>
        <item x="533"/>
        <item x="840"/>
        <item x="454"/>
        <item x="866"/>
        <item x="95"/>
        <item x="72"/>
        <item x="633"/>
        <item x="581"/>
        <item x="929"/>
        <item x="610"/>
        <item x="417"/>
        <item x="534"/>
        <item x="353"/>
        <item x="892"/>
        <item x="73"/>
        <item x="55"/>
        <item x="682"/>
        <item x="634"/>
        <item x="30"/>
        <item x="893"/>
        <item x="381"/>
        <item x="126"/>
        <item x="382"/>
        <item x="988"/>
        <item x="795"/>
        <item x="821"/>
        <item x="506"/>
        <item x="127"/>
        <item x="611"/>
        <item x="180"/>
        <item x="796"/>
        <item x="612"/>
        <item x="383"/>
        <item x="418"/>
        <item x="736"/>
        <item x="930"/>
        <item x="797"/>
        <item x="535"/>
        <item x="384"/>
        <item x="156"/>
        <item x="300"/>
        <item x="56"/>
        <item x="582"/>
        <item x="822"/>
        <item x="385"/>
        <item x="354"/>
        <item x="31"/>
        <item x="386"/>
        <item x="894"/>
        <item x="583"/>
        <item x="157"/>
        <item x="737"/>
        <item x="435"/>
        <item x="798"/>
        <item x="738"/>
        <item x="960"/>
        <item x="564"/>
        <item x="895"/>
        <item x="613"/>
        <item x="8"/>
        <item x="961"/>
        <item x="962"/>
        <item x="74"/>
        <item x="75"/>
        <item x="931"/>
        <item x="932"/>
        <item x="482"/>
        <item x="9"/>
        <item x="867"/>
        <item x="507"/>
        <item x="217"/>
        <item x="483"/>
        <item x="766"/>
        <item x="536"/>
        <item x="181"/>
        <item x="128"/>
        <item x="868"/>
        <item x="129"/>
        <item x="614"/>
        <item x="355"/>
        <item x="455"/>
        <item x="218"/>
        <item x="247"/>
        <item x="537"/>
        <item x="219"/>
        <item x="739"/>
        <item x="565"/>
        <item x="182"/>
        <item x="248"/>
        <item x="279"/>
        <item x="740"/>
        <item x="220"/>
        <item x="767"/>
        <item x="328"/>
        <item x="387"/>
        <item x="301"/>
        <item x="76"/>
        <item x="869"/>
        <item x="130"/>
        <item x="963"/>
        <item x="356"/>
        <item x="96"/>
        <item x="683"/>
        <item x="799"/>
        <item x="484"/>
        <item x="841"/>
        <item x="933"/>
        <item x="800"/>
        <item x="280"/>
        <item x="388"/>
        <item x="916"/>
        <item x="10"/>
        <item x="77"/>
        <item x="715"/>
        <item x="823"/>
        <item x="870"/>
        <item x="768"/>
        <item x="508"/>
        <item x="801"/>
        <item x="635"/>
        <item x="78"/>
        <item x="221"/>
        <item x="456"/>
        <item x="802"/>
        <item x="131"/>
        <item x="964"/>
        <item x="636"/>
        <item x="485"/>
        <item x="896"/>
        <item x="302"/>
        <item x="389"/>
        <item x="615"/>
        <item x="538"/>
        <item x="698"/>
        <item x="158"/>
        <item x="390"/>
        <item x="132"/>
        <item x="329"/>
        <item x="509"/>
        <item x="97"/>
        <item x="436"/>
        <item x="965"/>
        <item x="716"/>
        <item x="133"/>
        <item x="966"/>
        <item x="159"/>
        <item x="934"/>
        <item x="437"/>
        <item x="539"/>
        <item x="510"/>
        <item x="871"/>
        <item x="11"/>
        <item x="98"/>
        <item x="872"/>
        <item x="330"/>
        <item x="616"/>
        <item x="331"/>
        <item x="897"/>
        <item x="540"/>
        <item x="457"/>
        <item x="662"/>
        <item x="873"/>
        <item x="303"/>
        <item x="741"/>
        <item x="79"/>
        <item x="541"/>
        <item x="742"/>
        <item x="249"/>
        <item x="743"/>
        <item x="304"/>
        <item x="357"/>
        <item x="542"/>
        <item x="32"/>
        <item x="250"/>
        <item x="251"/>
        <item x="543"/>
        <item x="898"/>
        <item x="824"/>
        <item x="12"/>
        <item x="305"/>
        <item x="134"/>
        <item x="744"/>
        <item x="967"/>
        <item x="99"/>
        <item x="899"/>
        <item x="989"/>
        <item x="281"/>
        <item x="160"/>
        <item x="458"/>
        <item x="968"/>
        <item x="769"/>
        <item x="544"/>
        <item x="969"/>
        <item x="935"/>
        <item x="459"/>
        <item x="684"/>
        <item x="842"/>
        <item x="183"/>
        <item x="770"/>
        <item x="282"/>
        <item x="511"/>
        <item x="990"/>
        <item x="391"/>
        <item x="685"/>
        <item x="392"/>
        <item x="100"/>
        <item x="135"/>
        <item x="419"/>
        <item x="33"/>
        <item x="970"/>
        <item x="637"/>
        <item x="771"/>
        <item x="617"/>
        <item x="222"/>
        <item x="283"/>
        <item x="438"/>
        <item x="874"/>
        <item x="663"/>
        <item x="664"/>
        <item x="917"/>
        <item x="34"/>
        <item x="101"/>
        <item x="284"/>
        <item x="843"/>
        <item x="900"/>
        <item x="223"/>
        <item x="584"/>
        <item x="1"/>
        <item x="918"/>
        <item x="618"/>
        <item x="460"/>
        <item x="699"/>
        <item x="184"/>
        <item x="545"/>
        <item x="252"/>
        <item x="420"/>
        <item x="745"/>
        <item x="585"/>
        <item x="512"/>
        <item x="136"/>
        <item x="665"/>
        <item x="224"/>
        <item x="875"/>
        <item x="393"/>
        <item x="185"/>
        <item x="161"/>
        <item x="162"/>
        <item x="35"/>
        <item x="186"/>
        <item x="936"/>
        <item x="306"/>
        <item x="461"/>
        <item x="253"/>
        <item x="254"/>
        <item x="586"/>
        <item x="513"/>
        <item x="421"/>
        <item x="638"/>
        <item x="546"/>
        <item x="666"/>
        <item x="514"/>
        <item x="937"/>
        <item x="991"/>
        <item x="225"/>
        <item x="285"/>
        <item x="587"/>
        <item x="137"/>
        <item x="255"/>
        <item x="844"/>
        <item x="13"/>
        <item x="36"/>
        <item x="717"/>
        <item x="746"/>
        <item x="187"/>
        <item x="515"/>
        <item x="486"/>
        <item x="332"/>
        <item x="226"/>
        <item x="188"/>
        <item x="566"/>
        <item x="307"/>
        <item x="163"/>
        <item x="189"/>
        <item x="639"/>
        <item x="308"/>
        <item x="256"/>
        <item x="358"/>
        <item x="567"/>
        <item x="102"/>
        <item x="103"/>
        <item x="14"/>
        <item x="439"/>
        <item x="394"/>
        <item x="772"/>
        <item x="190"/>
        <item x="164"/>
        <item x="487"/>
        <item x="547"/>
        <item x="15"/>
        <item x="901"/>
        <item x="286"/>
        <item x="395"/>
        <item x="845"/>
        <item x="227"/>
        <item x="568"/>
        <item x="619"/>
        <item x="165"/>
        <item x="16"/>
        <item x="440"/>
        <item x="938"/>
        <item x="37"/>
        <item x="257"/>
        <item x="191"/>
        <item x="258"/>
        <item x="640"/>
        <item x="825"/>
        <item x="192"/>
        <item x="700"/>
        <item x="846"/>
        <item x="667"/>
        <item x="441"/>
        <item x="138"/>
        <item x="359"/>
        <item x="747"/>
        <item x="38"/>
        <item x="773"/>
        <item x="104"/>
        <item x="774"/>
        <item x="641"/>
        <item x="775"/>
        <item x="360"/>
        <item x="902"/>
        <item x="748"/>
        <item x="193"/>
        <item x="17"/>
        <item x="259"/>
        <item x="57"/>
        <item x="80"/>
        <item x="139"/>
        <item x="422"/>
        <item x="58"/>
        <item x="749"/>
        <item x="105"/>
        <item x="686"/>
        <item x="462"/>
        <item x="548"/>
        <item x="750"/>
        <item x="620"/>
        <item x="81"/>
        <item x="194"/>
        <item x="826"/>
        <item x="621"/>
        <item x="718"/>
        <item x="588"/>
        <item x="287"/>
        <item x="361"/>
        <item x="549"/>
        <item x="971"/>
        <item x="362"/>
        <item x="701"/>
        <item x="972"/>
        <item x="876"/>
        <item x="140"/>
        <item x="803"/>
        <item x="877"/>
        <item x="719"/>
        <item x="878"/>
        <item x="166"/>
        <item x="442"/>
        <item x="195"/>
        <item x="396"/>
        <item x="589"/>
        <item x="973"/>
        <item x="702"/>
        <item x="82"/>
        <item x="83"/>
        <item x="333"/>
        <item x="642"/>
        <item x="106"/>
        <item x="516"/>
        <item x="590"/>
        <item x="167"/>
        <item x="992"/>
        <item x="591"/>
        <item x="939"/>
        <item x="974"/>
        <item x="59"/>
        <item x="334"/>
        <item x="335"/>
        <item x="804"/>
        <item x="228"/>
        <item x="776"/>
        <item x="569"/>
        <item x="423"/>
        <item x="847"/>
        <item x="107"/>
        <item x="424"/>
        <item x="397"/>
        <item x="196"/>
        <item x="919"/>
        <item x="39"/>
        <item x="777"/>
        <item x="570"/>
        <item x="197"/>
        <item x="40"/>
        <item x="517"/>
        <item x="571"/>
        <item x="778"/>
        <item x="108"/>
        <item x="109"/>
        <item x="488"/>
        <item x="84"/>
        <item x="110"/>
        <item x="85"/>
        <item x="879"/>
        <item x="229"/>
        <item x="940"/>
        <item x="363"/>
        <item x="622"/>
        <item x="827"/>
        <item x="975"/>
        <item x="364"/>
        <item x="463"/>
        <item x="260"/>
        <item x="976"/>
        <item x="687"/>
        <item x="779"/>
        <item x="903"/>
        <item x="805"/>
        <item x="141"/>
        <item x="168"/>
        <item x="198"/>
        <item x="464"/>
        <item x="489"/>
        <item x="848"/>
        <item x="60"/>
        <item x="849"/>
        <item x="111"/>
        <item x="18"/>
        <item x="19"/>
        <item x="336"/>
        <item x="41"/>
        <item x="550"/>
        <item x="142"/>
        <item x="425"/>
        <item x="703"/>
        <item x="751"/>
        <item x="169"/>
        <item x="704"/>
        <item x="592"/>
        <item x="398"/>
        <item x="288"/>
        <item x="752"/>
        <item x="806"/>
        <item x="289"/>
        <item x="490"/>
        <item x="753"/>
        <item x="880"/>
        <item x="977"/>
        <item x="518"/>
        <item x="668"/>
        <item x="572"/>
        <item x="643"/>
        <item x="593"/>
        <item x="720"/>
        <item x="644"/>
        <item x="20"/>
        <item x="551"/>
        <item x="261"/>
        <item x="230"/>
        <item x="290"/>
        <item x="807"/>
        <item x="808"/>
        <item x="993"/>
        <item x="645"/>
        <item x="994"/>
        <item x="199"/>
        <item x="941"/>
        <item x="426"/>
        <item x="61"/>
        <item x="309"/>
        <item x="399"/>
        <item x="904"/>
        <item x="291"/>
        <item x="850"/>
        <item x="262"/>
        <item x="978"/>
        <item x="143"/>
        <item x="337"/>
        <item x="62"/>
        <item x="170"/>
        <item x="465"/>
        <item x="688"/>
        <item x="427"/>
        <item x="754"/>
        <item x="21"/>
        <item x="365"/>
        <item x="881"/>
        <item x="310"/>
        <item x="400"/>
        <item x="292"/>
        <item x="311"/>
        <item x="646"/>
        <item x="519"/>
        <item x="828"/>
        <item x="995"/>
        <item x="200"/>
        <item x="669"/>
        <item x="63"/>
        <item x="231"/>
        <item x="443"/>
        <item x="882"/>
        <item x="594"/>
        <item x="942"/>
        <item x="263"/>
        <item x="623"/>
        <item x="201"/>
        <item x="444"/>
        <item x="42"/>
        <item x="232"/>
        <item x="401"/>
        <item x="22"/>
        <item x="312"/>
        <item x="86"/>
        <item x="2"/>
        <item x="445"/>
        <item x="979"/>
        <item x="780"/>
        <item x="202"/>
        <item x="520"/>
        <item x="366"/>
        <item x="521"/>
        <item x="171"/>
        <item x="112"/>
        <item x="338"/>
        <item x="552"/>
        <item x="23"/>
        <item x="491"/>
        <item x="755"/>
        <item x="670"/>
        <item x="553"/>
        <item x="367"/>
        <item x="829"/>
        <item x="595"/>
        <item x="144"/>
        <item x="203"/>
        <item x="671"/>
        <item x="689"/>
        <item x="466"/>
        <item x="402"/>
        <item x="446"/>
        <item x="172"/>
        <item x="920"/>
        <item x="996"/>
        <item x="368"/>
        <item x="781"/>
        <item x="830"/>
        <item x="313"/>
        <item x="573"/>
        <item x="851"/>
        <item x="522"/>
        <item x="705"/>
        <item x="782"/>
        <item x="596"/>
        <item x="852"/>
        <item x="756"/>
        <item x="757"/>
        <item x="113"/>
        <item x="523"/>
        <item x="809"/>
        <item x="3"/>
        <item x="574"/>
        <item x="758"/>
        <item x="647"/>
        <item x="524"/>
        <item x="24"/>
        <item x="810"/>
        <item x="403"/>
        <item x="314"/>
        <item x="575"/>
        <item x="672"/>
        <item x="759"/>
        <item x="492"/>
        <item x="690"/>
        <item x="87"/>
        <item x="691"/>
        <item x="921"/>
        <item x="721"/>
        <item x="64"/>
        <item x="853"/>
        <item x="722"/>
        <item x="404"/>
        <item x="980"/>
        <item x="854"/>
        <item x="264"/>
        <item x="943"/>
        <item x="855"/>
        <item x="88"/>
        <item x="706"/>
        <item x="905"/>
        <item x="783"/>
        <item x="265"/>
        <item x="723"/>
        <item x="554"/>
        <item x="811"/>
        <item x="114"/>
        <item x="981"/>
        <item x="315"/>
        <item x="812"/>
        <item x="493"/>
        <item x="906"/>
        <item x="883"/>
        <item x="907"/>
        <item x="831"/>
        <item x="173"/>
        <item x="648"/>
        <item x="339"/>
        <item x="89"/>
        <item x="856"/>
        <item x="707"/>
        <item x="340"/>
        <item x="467"/>
        <item x="316"/>
        <item x="784"/>
        <item x="90"/>
        <item x="233"/>
        <item x="525"/>
        <item x="724"/>
        <item x="369"/>
        <item x="692"/>
        <item x="997"/>
        <item x="447"/>
        <item x="526"/>
        <item x="673"/>
        <item x="341"/>
        <item x="145"/>
        <item x="832"/>
        <item x="204"/>
        <item x="43"/>
        <item x="115"/>
        <item x="44"/>
        <item x="649"/>
        <item x="693"/>
        <item x="725"/>
        <item x="468"/>
        <item x="469"/>
        <item x="726"/>
        <item x="922"/>
        <item x="370"/>
        <item x="146"/>
        <item x="923"/>
        <item x="205"/>
        <item x="597"/>
        <item x="598"/>
        <item x="727"/>
        <item x="448"/>
        <item x="884"/>
        <item x="45"/>
        <item x="924"/>
        <item x="527"/>
        <item x="624"/>
        <item x="46"/>
        <item x="982"/>
        <item x="760"/>
        <item x="857"/>
        <item x="266"/>
        <item x="708"/>
        <item x="555"/>
        <item x="494"/>
        <item x="405"/>
        <item x="25"/>
        <item x="944"/>
        <item x="785"/>
        <item x="317"/>
        <item x="470"/>
        <item x="471"/>
        <item x="998"/>
        <item x="813"/>
        <item x="786"/>
        <item x="787"/>
        <item x="147"/>
        <item x="267"/>
        <item x="234"/>
        <item x="65"/>
        <item x="814"/>
        <item x="788"/>
        <item x="449"/>
        <item x="495"/>
        <item x="709"/>
        <item x="318"/>
        <item x="496"/>
        <item x="148"/>
        <item x="206"/>
        <item x="207"/>
        <item x="472"/>
        <item x="116"/>
        <item x="908"/>
        <item x="945"/>
        <item x="858"/>
        <item x="342"/>
        <item x="999"/>
        <item x="650"/>
        <item x="983"/>
        <item x="117"/>
        <item x="599"/>
        <item x="371"/>
        <item x="694"/>
        <item x="47"/>
        <item x="833"/>
        <item x="576"/>
        <item x="834"/>
        <item x="473"/>
        <item x="235"/>
        <item x="208"/>
        <item x="174"/>
        <item x="984"/>
        <item x="91"/>
        <item x="236"/>
        <item x="556"/>
        <item x="450"/>
        <item x="372"/>
        <item x="319"/>
        <item x="600"/>
        <item x="428"/>
        <item x="497"/>
        <item x="728"/>
        <item x="498"/>
        <item x="557"/>
        <item x="601"/>
        <item x="343"/>
        <item x="344"/>
        <item x="149"/>
        <item x="885"/>
        <item x="946"/>
        <item x="815"/>
        <item x="947"/>
        <item x="237"/>
        <item x="373"/>
        <item x="577"/>
        <item x="406"/>
        <item x="268"/>
        <item x="528"/>
        <item x="269"/>
        <item x="48"/>
        <item x="270"/>
        <item x="948"/>
        <item x="499"/>
        <item x="602"/>
        <item x="909"/>
        <item x="407"/>
        <item x="603"/>
        <item x="789"/>
        <item x="859"/>
        <item x="271"/>
        <item x="695"/>
        <item x="429"/>
        <item x="374"/>
        <item x="320"/>
        <item x="66"/>
        <item x="500"/>
        <item x="949"/>
        <item x="49"/>
        <item x="985"/>
        <item x="408"/>
        <item x="529"/>
        <item x="558"/>
        <item x="409"/>
        <item x="886"/>
        <item x="604"/>
        <item x="816"/>
        <item x="761"/>
        <item x="26"/>
        <item x="293"/>
        <item x="345"/>
        <item x="375"/>
        <item x="410"/>
        <item x="790"/>
        <item x="925"/>
        <item x="926"/>
        <item x="346"/>
        <item x="817"/>
        <item x="950"/>
        <item x="887"/>
        <item x="559"/>
        <item x="729"/>
        <item x="530"/>
        <item x="791"/>
        <item x="92"/>
        <item x="605"/>
        <item x="209"/>
        <item x="951"/>
        <item x="651"/>
        <item x="27"/>
        <item x="730"/>
        <item x="347"/>
        <item x="710"/>
        <item x="652"/>
        <item x="4"/>
        <item x="674"/>
        <item x="501"/>
        <item x="474"/>
        <item x="860"/>
        <item t="default"/>
      </items>
    </pivotField>
    <pivotField showAll="0"/>
    <pivotField showAll="0">
      <items count="6">
        <item x="0"/>
        <item x="2"/>
        <item x="4"/>
        <item x="3"/>
        <item x="1"/>
        <item t="default"/>
      </items>
    </pivotField>
    <pivotField showAll="0"/>
    <pivotField showAll="0"/>
    <pivotField showAll="0"/>
    <pivotField showAll="0">
      <items count="1001">
        <item h="1" x="755"/>
        <item h="1" x="139"/>
        <item h="1" x="859"/>
        <item h="1" x="908"/>
        <item h="1" x="38"/>
        <item h="1" x="220"/>
        <item h="1" x="514"/>
        <item h="1" x="406"/>
        <item h="1" x="392"/>
        <item h="1" x="423"/>
        <item h="1" x="453"/>
        <item h="1" x="705"/>
        <item h="1" x="284"/>
        <item h="1" x="34"/>
        <item h="1" x="108"/>
        <item h="1" x="727"/>
        <item x="686"/>
        <item h="1" x="670"/>
        <item h="1" x="409"/>
        <item h="1" x="928"/>
        <item h="1" x="79"/>
        <item h="1" x="744"/>
        <item h="1" x="410"/>
        <item h="1" x="469"/>
        <item h="1" x="946"/>
        <item h="1" x="26"/>
        <item h="1" x="250"/>
        <item h="1" x="69"/>
        <item h="1" x="378"/>
        <item h="1" x="192"/>
        <item h="1" x="759"/>
        <item h="1" x="606"/>
        <item h="1" x="68"/>
        <item h="1" x="319"/>
        <item h="1" x="575"/>
        <item h="1" x="264"/>
        <item h="1" x="813"/>
        <item h="1" x="632"/>
        <item h="1" x="152"/>
        <item h="1" x="866"/>
        <item h="1" x="546"/>
        <item h="1" x="154"/>
        <item h="1" x="772"/>
        <item h="1" x="136"/>
        <item h="1" x="64"/>
        <item h="1" x="324"/>
        <item h="1" x="463"/>
        <item h="1" x="418"/>
        <item h="1" x="281"/>
        <item h="1" x="297"/>
        <item h="1" x="94"/>
        <item h="1" x="752"/>
        <item h="1" x="532"/>
        <item h="1" x="736"/>
        <item h="1" x="768"/>
        <item h="1" x="309"/>
        <item h="1" x="739"/>
        <item h="1" x="882"/>
        <item h="1" x="986"/>
        <item h="1" x="141"/>
        <item h="1" x="412"/>
        <item h="1" x="721"/>
        <item h="1" x="32"/>
        <item h="1" x="757"/>
        <item h="1" x="835"/>
        <item h="1" x="359"/>
        <item h="1" x="534"/>
        <item h="1" x="747"/>
        <item h="1" x="157"/>
        <item h="1" x="975"/>
        <item h="1" x="46"/>
        <item h="1" x="435"/>
        <item h="1" x="340"/>
        <item h="1" x="565"/>
        <item h="1" x="411"/>
        <item h="1" x="316"/>
        <item h="1" x="952"/>
        <item h="1" x="955"/>
        <item h="1" x="358"/>
        <item h="1" x="641"/>
        <item h="1" x="164"/>
        <item h="1" x="175"/>
        <item h="1" x="776"/>
        <item h="1" x="741"/>
        <item h="1" x="972"/>
        <item h="1" x="402"/>
        <item h="1" x="500"/>
        <item h="1" x="983"/>
        <item h="1" x="580"/>
        <item h="1" x="525"/>
        <item h="1" x="321"/>
        <item h="1" x="323"/>
        <item h="1" x="372"/>
        <item h="1" x="959"/>
        <item h="1" x="180"/>
        <item h="1" x="8"/>
        <item h="1" x="366"/>
        <item h="1" x="127"/>
        <item h="1" x="371"/>
        <item h="1" x="699"/>
        <item h="1" x="694"/>
        <item h="1" x="491"/>
        <item h="1" x="356"/>
        <item h="1" x="471"/>
        <item h="1" x="730"/>
        <item h="1" x="22"/>
        <item h="1" x="806"/>
        <item h="1" x="881"/>
        <item h="1" x="576"/>
        <item h="1" x="756"/>
        <item h="1" x="996"/>
        <item h="1" x="661"/>
        <item h="1" x="608"/>
        <item h="1" x="845"/>
        <item h="1" x="647"/>
        <item h="1" x="441"/>
        <item h="1" x="78"/>
        <item h="1" x="183"/>
        <item h="1" x="507"/>
        <item h="1" x="961"/>
        <item h="1" x="20"/>
        <item h="1" x="962"/>
        <item h="1" x="924"/>
        <item h="1" x="72"/>
        <item h="1" x="76"/>
        <item h="1" x="303"/>
        <item h="1" x="246"/>
        <item h="1" x="87"/>
        <item h="1" x="98"/>
        <item h="1" x="207"/>
        <item h="1" x="855"/>
        <item h="1" x="974"/>
        <item h="1" x="253"/>
        <item h="1" x="397"/>
        <item h="1" x="363"/>
        <item h="1" x="186"/>
        <item h="1" x="926"/>
        <item h="1" x="510"/>
        <item h="1" x="789"/>
        <item h="1" x="685"/>
        <item h="1" x="188"/>
        <item h="1" x="480"/>
        <item h="1" x="305"/>
        <item h="1" x="627"/>
        <item h="1" x="564"/>
        <item h="1" x="716"/>
        <item h="1" x="482"/>
        <item h="1" x="375"/>
        <item h="1" x="416"/>
        <item h="1" x="404"/>
        <item h="1" x="709"/>
        <item h="1" x="609"/>
        <item h="1" x="432"/>
        <item h="1" x="291"/>
        <item h="1" x="104"/>
        <item h="1" x="42"/>
        <item h="1" x="878"/>
        <item h="1" x="399"/>
        <item h="1" x="318"/>
        <item h="1" x="725"/>
        <item h="1" x="792"/>
        <item h="1" x="171"/>
        <item h="1" x="421"/>
        <item h="1" x="896"/>
        <item h="1" x="310"/>
        <item h="1" x="445"/>
        <item h="1" x="287"/>
        <item h="1" x="991"/>
        <item h="1" x="703"/>
        <item h="1" x="140"/>
        <item h="1" x="111"/>
        <item h="1" x="213"/>
        <item h="1" x="56"/>
        <item h="1" x="276"/>
        <item h="1" x="444"/>
        <item h="1" x="12"/>
        <item h="1" x="766"/>
        <item h="1" x="542"/>
        <item h="1" x="173"/>
        <item h="1" x="338"/>
        <item h="1" x="843"/>
        <item h="1" x="62"/>
        <item h="1" x="818"/>
        <item h="1" x="573"/>
        <item h="1" x="825"/>
        <item h="1" x="217"/>
        <item h="1" x="817"/>
        <item h="1" x="970"/>
        <item h="1" x="398"/>
        <item h="1" x="1"/>
        <item h="1" x="239"/>
        <item h="1" x="758"/>
        <item h="1" x="956"/>
        <item h="1" x="623"/>
        <item h="1" x="969"/>
        <item h="1" x="112"/>
        <item h="1" x="464"/>
        <item h="1" x="989"/>
        <item h="1" x="988"/>
        <item h="1" x="513"/>
        <item h="1" x="84"/>
        <item h="1" x="40"/>
        <item h="1" x="710"/>
        <item h="1" x="864"/>
        <item h="1" x="306"/>
        <item h="1" x="51"/>
        <item h="1" x="865"/>
        <item h="1" x="265"/>
        <item h="1" x="645"/>
        <item h="1" x="662"/>
        <item h="1" x="702"/>
        <item h="1" x="35"/>
        <item h="1" x="298"/>
        <item h="1" x="45"/>
        <item h="1" x="484"/>
        <item h="1" x="557"/>
        <item h="1" x="593"/>
        <item h="1" x="339"/>
        <item h="1" x="103"/>
        <item h="1" x="425"/>
        <item h="1" x="113"/>
        <item h="1" x="256"/>
        <item h="1" x="814"/>
        <item h="1" x="700"/>
        <item h="1" x="454"/>
        <item h="1" x="168"/>
        <item h="1" x="783"/>
        <item h="1" x="587"/>
        <item h="1" x="7"/>
        <item h="1" x="748"/>
        <item h="1" x="174"/>
        <item h="1" x="633"/>
        <item h="1" x="447"/>
        <item h="1" x="193"/>
        <item h="1" x="828"/>
        <item h="1" x="978"/>
        <item h="1" x="729"/>
        <item h="1" x="563"/>
        <item h="1" x="21"/>
        <item h="1" x="355"/>
        <item h="1" x="308"/>
        <item h="1" x="99"/>
        <item h="1" x="598"/>
        <item h="1" x="555"/>
        <item h="1" x="684"/>
        <item h="1" x="849"/>
        <item h="1" x="198"/>
        <item h="1" x="307"/>
        <item h="1" x="994"/>
        <item h="1" x="584"/>
        <item h="1" x="769"/>
        <item h="1" x="143"/>
        <item h="1" x="915"/>
        <item h="1" x="638"/>
        <item h="1" x="943"/>
        <item h="1" x="420"/>
        <item h="1" x="770"/>
        <item h="1" x="850"/>
        <item h="1" x="349"/>
        <item h="1" x="833"/>
        <item h="1" x="400"/>
        <item h="1" x="964"/>
        <item h="1" x="468"/>
        <item h="1" x="870"/>
        <item h="1" x="851"/>
        <item h="1" x="981"/>
        <item h="1" x="44"/>
        <item h="1" x="275"/>
        <item h="1" x="590"/>
        <item h="1" x="24"/>
        <item h="1" x="516"/>
        <item h="1" x="133"/>
        <item h="1" x="528"/>
        <item h="1" x="129"/>
        <item h="1" x="832"/>
        <item h="1" x="873"/>
        <item h="1" x="487"/>
        <item h="1" x="650"/>
        <item h="1" x="236"/>
        <item h="1" x="333"/>
        <item h="1" x="214"/>
        <item h="1" x="204"/>
        <item h="1" x="596"/>
        <item h="1" x="995"/>
        <item h="1" x="624"/>
        <item h="1" x="560"/>
        <item h="1" x="451"/>
        <item h="1" x="301"/>
        <item h="1" x="202"/>
        <item h="1" x="619"/>
        <item h="1" x="869"/>
        <item h="1" x="927"/>
        <item h="1" x="429"/>
        <item h="1" x="109"/>
        <item h="1" x="379"/>
        <item h="1" x="302"/>
        <item h="1" x="176"/>
        <item h="1" x="610"/>
        <item h="1" x="602"/>
        <item h="1" x="679"/>
        <item h="1" x="526"/>
        <item h="1" x="656"/>
        <item h="1" x="293"/>
        <item h="1" x="901"/>
        <item h="1" x="652"/>
        <item h="1" x="801"/>
        <item h="1" x="867"/>
        <item h="1" x="364"/>
        <item h="1" x="556"/>
        <item h="1" x="743"/>
        <item h="1" x="698"/>
        <item h="1" x="751"/>
        <item h="1" x="205"/>
        <item h="1" x="467"/>
        <item h="1" x="75"/>
        <item h="1" x="519"/>
        <item h="1" x="459"/>
        <item h="1" x="505"/>
        <item h="1" x="61"/>
        <item h="1" x="777"/>
        <item h="1" x="169"/>
        <item h="1" x="958"/>
        <item h="1" x="840"/>
        <item h="1" x="764"/>
        <item h="1" x="877"/>
        <item h="1" x="648"/>
        <item h="1" x="138"/>
        <item h="1" x="615"/>
        <item h="1" x="934"/>
        <item h="1" x="248"/>
        <item h="1" x="147"/>
        <item h="1" x="889"/>
        <item h="1" x="874"/>
        <item h="1" x="665"/>
        <item h="1" x="267"/>
        <item h="1" x="503"/>
        <item h="1" x="77"/>
        <item h="1" x="107"/>
        <item h="1" x="925"/>
        <item h="1" x="884"/>
        <item h="1" x="251"/>
        <item h="1" x="290"/>
        <item h="1" x="746"/>
        <item h="1" x="254"/>
        <item h="1" x="711"/>
        <item h="1" x="697"/>
        <item h="1" x="888"/>
        <item h="1" x="354"/>
        <item h="1" x="351"/>
        <item h="1" x="562"/>
        <item h="1" x="492"/>
        <item h="1" x="754"/>
        <item h="1" x="531"/>
        <item h="1" x="216"/>
        <item h="1" x="497"/>
        <item h="1" x="381"/>
        <item h="1" x="344"/>
        <item h="1" x="802"/>
        <item h="1" x="876"/>
        <item h="1" x="642"/>
        <item h="1" x="585"/>
        <item h="1" x="929"/>
        <item h="1" x="317"/>
        <item h="1" x="182"/>
        <item h="1" x="490"/>
        <item h="1" x="750"/>
        <item h="1" x="9"/>
        <item h="1" x="370"/>
        <item h="1" x="199"/>
        <item h="1" x="550"/>
        <item h="1" x="73"/>
        <item h="1" x="501"/>
        <item h="1" x="812"/>
        <item h="1" x="249"/>
        <item h="1" x="473"/>
        <item h="1" x="816"/>
        <item h="1" x="18"/>
        <item h="1" x="676"/>
        <item h="1" x="279"/>
        <item h="1" x="872"/>
        <item h="1" x="149"/>
        <item h="1" x="16"/>
        <item h="1" x="419"/>
        <item h="1" x="19"/>
        <item h="1" x="863"/>
        <item h="1" x="735"/>
        <item h="1" x="121"/>
        <item h="1" x="428"/>
        <item h="1" x="903"/>
        <item h="1" x="693"/>
        <item h="1" x="778"/>
        <item h="1" x="160"/>
        <item h="1" x="762"/>
        <item h="1" x="247"/>
        <item h="1" x="184"/>
        <item h="1" x="273"/>
        <item h="1" x="367"/>
        <item h="1" x="485"/>
        <item h="1" x="118"/>
        <item h="1" x="629"/>
        <item h="1" x="666"/>
        <item h="1" x="304"/>
        <item h="1" x="678"/>
        <item h="1" x="914"/>
        <item h="1" x="102"/>
        <item h="1" x="151"/>
        <item h="1" x="91"/>
        <item h="1" x="3"/>
        <item h="1" x="263"/>
        <item h="1" x="999"/>
        <item h="1" x="578"/>
        <item h="1" x="283"/>
        <item h="1" x="27"/>
        <item h="1" x="898"/>
        <item h="1" x="486"/>
        <item h="1" x="128"/>
        <item h="1" x="726"/>
        <item h="1" x="221"/>
        <item h="1" x="465"/>
        <item h="1" x="17"/>
        <item h="1" x="383"/>
        <item h="1" x="644"/>
        <item h="1" x="529"/>
        <item h="1" x="10"/>
        <item h="1" x="740"/>
        <item h="1" x="489"/>
        <item h="1" x="93"/>
        <item h="1" x="201"/>
        <item h="1" x="348"/>
        <item h="1" x="690"/>
        <item h="1" x="194"/>
        <item h="1" x="689"/>
        <item h="1" x="844"/>
        <item h="1" x="658"/>
        <item h="1" x="862"/>
        <item h="1" x="607"/>
        <item h="1" x="206"/>
        <item h="1" x="517"/>
        <item h="1" x="195"/>
        <item h="1" x="824"/>
        <item h="1" x="980"/>
        <item h="1" x="521"/>
        <item h="1" x="894"/>
        <item h="1" x="592"/>
        <item h="1" x="987"/>
        <item h="1" x="841"/>
        <item h="1" x="212"/>
        <item h="1" x="568"/>
        <item h="1" x="235"/>
        <item h="1" x="100"/>
        <item h="1" x="361"/>
        <item h="1" x="646"/>
        <item h="1" x="153"/>
        <item h="1" x="875"/>
        <item h="1" x="715"/>
        <item h="1" x="347"/>
        <item h="1" x="272"/>
        <item h="1" x="2"/>
        <item h="1" x="385"/>
        <item h="1" x="579"/>
        <item h="1" x="58"/>
        <item h="1" x="788"/>
        <item h="1" x="571"/>
        <item h="1" x="831"/>
        <item h="1" x="781"/>
        <item h="1" x="92"/>
        <item h="1" x="395"/>
        <item h="1" x="734"/>
        <item h="1" x="683"/>
        <item h="1" x="767"/>
        <item h="1" x="552"/>
        <item h="1" x="853"/>
        <item h="1" x="947"/>
        <item h="1" x="63"/>
        <item h="1" x="238"/>
        <item h="1" x="224"/>
        <item h="1" x="846"/>
        <item h="1" x="294"/>
        <item h="1" x="225"/>
        <item h="1" x="450"/>
        <item h="1" x="458"/>
        <item h="1" x="879"/>
        <item h="1" x="146"/>
        <item h="1" x="472"/>
        <item h="1" x="446"/>
        <item h="1" x="622"/>
        <item h="1" x="805"/>
        <item h="1" x="577"/>
        <item h="1" x="479"/>
        <item h="1" x="753"/>
        <item h="1" x="165"/>
        <item h="1" x="541"/>
        <item h="1" x="680"/>
        <item h="1" x="170"/>
        <item h="1" x="520"/>
        <item h="1" x="97"/>
        <item h="1" x="326"/>
        <item h="1" x="162"/>
        <item h="1" x="523"/>
        <item h="1" x="854"/>
        <item h="1" x="886"/>
        <item h="1" x="274"/>
        <item h="1" x="722"/>
        <item h="1" x="589"/>
        <item h="1" x="328"/>
        <item h="1" x="443"/>
        <item h="1" x="838"/>
        <item h="1" x="911"/>
        <item h="1" x="566"/>
        <item h="1" x="407"/>
        <item h="1" x="268"/>
        <item h="1" x="374"/>
        <item h="1" x="549"/>
        <item h="1" x="515"/>
        <item h="1" x="895"/>
        <item h="1" x="243"/>
        <item h="1" x="200"/>
        <item h="1" x="938"/>
        <item h="1" x="493"/>
        <item h="1" x="396"/>
        <item h="1" x="714"/>
        <item h="1" x="720"/>
        <item h="1" x="538"/>
        <item h="1" x="839"/>
        <item h="1" x="993"/>
        <item h="1" x="0"/>
        <item h="1" x="231"/>
        <item h="1" x="603"/>
        <item h="1" x="784"/>
        <item h="1" x="774"/>
        <item h="1" x="723"/>
        <item h="1" x="259"/>
        <item h="1" x="779"/>
        <item h="1" x="786"/>
        <item h="1" x="167"/>
        <item h="1" x="561"/>
        <item h="1" x="439"/>
        <item h="1" x="572"/>
        <item h="1" x="342"/>
        <item h="1" x="992"/>
        <item h="1" x="478"/>
        <item h="1" x="601"/>
        <item h="1" x="660"/>
        <item h="1" x="380"/>
        <item h="1" x="55"/>
        <item h="1" x="787"/>
        <item h="1" x="649"/>
        <item h="1" x="208"/>
        <item h="1" x="674"/>
        <item h="1" x="71"/>
        <item h="1" x="95"/>
        <item h="1" x="179"/>
        <item h="1" x="880"/>
        <item h="1" x="394"/>
        <item h="1" x="860"/>
        <item h="1" x="919"/>
        <item h="1" x="331"/>
        <item h="1" x="973"/>
        <item h="1" x="257"/>
        <item h="1" x="847"/>
        <item h="1" x="922"/>
        <item h="1" x="920"/>
        <item h="1" x="337"/>
        <item h="1" x="96"/>
        <item h="1" x="811"/>
        <item h="1" x="533"/>
        <item h="1" x="530"/>
        <item h="1" x="365"/>
        <item h="1" x="90"/>
        <item h="1" x="796"/>
        <item h="1" x="401"/>
        <item h="1" x="704"/>
        <item h="1" x="433"/>
        <item h="1" x="222"/>
        <item h="1" x="229"/>
        <item h="1" x="81"/>
        <item h="1" x="737"/>
        <item h="1" x="692"/>
        <item h="1" x="809"/>
        <item h="1" x="728"/>
        <item h="1" x="386"/>
        <item h="1" x="687"/>
        <item h="1" x="940"/>
        <item h="1" x="932"/>
        <item h="1" x="122"/>
        <item h="1" x="848"/>
        <item h="1" x="54"/>
        <item h="1" x="785"/>
        <item h="1" x="403"/>
        <item h="1" x="511"/>
        <item h="1" x="595"/>
        <item h="1" x="653"/>
        <item h="1" x="47"/>
        <item h="1" x="460"/>
        <item h="1" x="189"/>
        <item h="1" x="960"/>
        <item h="1" x="126"/>
        <item h="1" x="953"/>
        <item h="1" x="350"/>
        <item h="1" x="315"/>
        <item h="1" x="196"/>
        <item h="1" x="373"/>
        <item h="1" x="476"/>
        <item h="1" x="252"/>
        <item h="1" x="535"/>
        <item h="1" x="971"/>
        <item h="1" x="30"/>
        <item h="1" x="808"/>
        <item h="1" x="628"/>
        <item h="1" x="540"/>
        <item h="1" x="440"/>
        <item h="1" x="639"/>
        <item h="1" x="921"/>
        <item h="1" x="457"/>
        <item h="1" x="131"/>
        <item h="1" x="885"/>
        <item h="1" x="475"/>
        <item h="1" x="352"/>
        <item h="1" x="771"/>
        <item h="1" x="942"/>
        <item h="1" x="883"/>
        <item h="1" x="688"/>
        <item h="1" x="597"/>
        <item h="1" x="163"/>
        <item h="1" x="23"/>
        <item h="1" x="966"/>
        <item h="1" x="871"/>
        <item h="1" x="618"/>
        <item h="1" x="899"/>
        <item h="1" x="547"/>
        <item h="1" x="312"/>
        <item h="1" x="245"/>
        <item h="1" x="907"/>
        <item h="1" x="33"/>
        <item h="1" x="415"/>
        <item h="1" x="74"/>
        <item h="1" x="86"/>
        <item h="1" x="713"/>
        <item h="1" x="664"/>
        <item h="1" x="691"/>
        <item h="1" x="15"/>
        <item h="1" x="161"/>
        <item h="1" x="965"/>
        <item h="1" x="368"/>
        <item h="1" x="158"/>
        <item h="1" x="724"/>
        <item h="1" x="574"/>
        <item h="1" x="470"/>
        <item h="1" x="745"/>
        <item h="1" x="66"/>
        <item h="1" x="637"/>
        <item h="1" x="815"/>
        <item h="1" x="110"/>
        <item h="1" x="659"/>
        <item h="1" x="65"/>
        <item h="1" x="790"/>
        <item h="1" x="900"/>
        <item h="1" x="89"/>
        <item h="1" x="4"/>
        <item h="1" x="583"/>
        <item h="1" x="5"/>
        <item h="1" x="187"/>
        <item h="1" x="226"/>
        <item h="1" x="933"/>
        <item h="1" x="916"/>
        <item h="1" x="939"/>
        <item h="1" x="314"/>
        <item h="1" x="559"/>
        <item h="1" x="285"/>
        <item h="1" x="544"/>
        <item h="1" x="230"/>
        <item h="1" x="384"/>
        <item h="1" x="902"/>
        <item h="1" x="616"/>
        <item h="1" x="819"/>
        <item h="1" x="191"/>
        <item h="1" x="393"/>
        <item h="1" x="836"/>
        <item h="1" x="827"/>
        <item h="1" x="923"/>
        <item h="1" x="496"/>
        <item h="1" x="260"/>
        <item h="1" x="320"/>
        <item h="1" x="604"/>
        <item h="1" x="218"/>
        <item h="1" x="313"/>
        <item h="1" x="270"/>
        <item h="1" x="13"/>
        <item h="1" x="436"/>
        <item h="1" x="172"/>
        <item h="1" x="655"/>
        <item h="1" x="742"/>
        <item h="1" x="31"/>
        <item h="1" x="834"/>
        <item h="1" x="821"/>
        <item h="1" x="509"/>
        <item h="1" x="733"/>
        <item h="1" x="887"/>
        <item h="1" x="269"/>
        <item h="1" x="106"/>
        <item h="1" x="967"/>
        <item h="1" x="799"/>
        <item h="1" x="123"/>
        <item h="1" x="495"/>
        <item h="1" x="829"/>
        <item h="1" x="376"/>
        <item h="1" x="997"/>
        <item h="1" x="782"/>
        <item h="1" x="353"/>
        <item h="1" x="377"/>
        <item h="1" x="682"/>
        <item h="1" x="630"/>
        <item h="1" x="931"/>
        <item h="1" x="810"/>
        <item h="1" x="594"/>
        <item h="1" x="918"/>
        <item h="1" x="223"/>
        <item h="1" x="362"/>
        <item h="1" x="43"/>
        <item h="1" x="388"/>
        <item h="1" x="85"/>
        <item h="1" x="67"/>
        <item h="1" x="311"/>
        <item h="1" x="897"/>
        <item h="1" x="668"/>
        <item h="1" x="669"/>
        <item h="1" x="892"/>
        <item h="1" x="390"/>
        <item h="1" x="144"/>
        <item h="1" x="49"/>
        <item h="1" x="631"/>
        <item h="1" x="330"/>
        <item h="1" x="712"/>
        <item h="1" x="442"/>
        <item h="1" x="502"/>
        <item h="1" x="945"/>
        <item h="1" x="949"/>
        <item h="1" x="334"/>
        <item h="1" x="449"/>
        <item h="1" x="696"/>
        <item h="1" x="242"/>
        <item h="1" x="930"/>
        <item h="1" x="537"/>
        <item h="1" x="408"/>
        <item h="1" x="935"/>
        <item h="1" x="634"/>
        <item h="1" x="289"/>
        <item h="1" x="117"/>
        <item h="1" x="706"/>
        <item h="1" x="795"/>
        <item h="1" x="452"/>
        <item h="1" x="635"/>
        <item h="1" x="60"/>
        <item h="1" x="150"/>
        <item h="1" x="830"/>
        <item h="1" x="277"/>
        <item h="1" x="233"/>
        <item h="1" x="909"/>
        <item h="1" x="203"/>
        <item h="1" x="341"/>
        <item h="1" x="912"/>
        <item h="1" x="345"/>
        <item h="1" x="677"/>
        <item h="1" x="731"/>
        <item h="1" x="773"/>
        <item h="1" x="413"/>
        <item h="1" x="701"/>
        <item h="1" x="134"/>
        <item h="1" x="937"/>
        <item h="1" x="343"/>
        <item h="1" x="278"/>
        <item h="1" x="83"/>
        <item h="1" x="430"/>
        <item h="1" x="657"/>
        <item h="1" x="299"/>
        <item h="1" x="286"/>
        <item h="1" x="282"/>
        <item h="1" x="569"/>
        <item h="1" x="228"/>
        <item h="1" x="861"/>
        <item h="1" x="558"/>
        <item h="1" x="422"/>
        <item h="1" x="405"/>
        <item h="1" x="979"/>
        <item h="1" x="905"/>
        <item h="1" x="820"/>
        <item h="1" x="255"/>
        <item h="1" x="671"/>
        <item h="1" x="904"/>
        <item h="1" x="426"/>
        <item h="1" x="738"/>
        <item h="1" x="36"/>
        <item h="1" x="166"/>
        <item h="1" x="800"/>
        <item h="1" x="570"/>
        <item h="1" x="125"/>
        <item h="1" x="295"/>
        <item h="1" x="990"/>
        <item h="1" x="181"/>
        <item h="1" x="336"/>
        <item h="1" x="332"/>
        <item h="1" x="857"/>
        <item h="1" x="504"/>
        <item h="1" x="553"/>
        <item h="1" x="25"/>
        <item h="1" x="197"/>
        <item h="1" x="963"/>
        <item h="1" x="124"/>
        <item h="1" x="613"/>
        <item h="1" x="890"/>
        <item h="1" x="387"/>
        <item h="1" x="434"/>
        <item h="1" x="11"/>
        <item h="1" x="59"/>
        <item h="1" x="280"/>
        <item h="1" x="28"/>
        <item h="1" x="120"/>
        <item h="1" x="842"/>
        <item h="1" x="749"/>
        <item h="1" x="586"/>
        <item h="1" x="210"/>
        <item h="1" x="672"/>
        <item h="1" x="474"/>
        <item h="1" x="551"/>
        <item h="1" x="605"/>
        <item h="1" x="695"/>
        <item h="1" x="954"/>
        <item h="1" x="241"/>
        <item h="1" x="52"/>
        <item h="1" x="554"/>
        <item h="1" x="588"/>
        <item h="1" x="582"/>
        <item h="1" x="215"/>
        <item h="1" x="536"/>
        <item h="1" x="142"/>
        <item h="1" x="448"/>
        <item h="1" x="868"/>
        <item h="1" x="391"/>
        <item h="1" x="37"/>
        <item h="1" x="346"/>
        <item h="1" x="936"/>
        <item h="1" x="763"/>
        <item h="1" x="718"/>
        <item h="1" x="148"/>
        <item h="1" x="227"/>
        <item h="1" x="499"/>
        <item h="1" x="325"/>
        <item h="1" x="823"/>
        <item h="1" x="891"/>
        <item h="1" x="82"/>
        <item h="1" x="760"/>
        <item h="1" x="717"/>
        <item h="1" x="178"/>
        <item h="1" x="105"/>
        <item h="1" x="917"/>
        <item h="1" x="998"/>
        <item h="1" x="466"/>
        <item h="1" x="522"/>
        <item h="1" x="50"/>
        <item h="1" x="240"/>
        <item h="1" x="389"/>
        <item h="1" x="382"/>
        <item h="1" x="543"/>
        <item h="1" x="53"/>
        <item h="1" x="116"/>
        <item h="1" x="640"/>
        <item h="1" x="913"/>
        <item h="1" x="944"/>
        <item h="1" x="494"/>
        <item h="1" x="488"/>
        <item h="1" x="803"/>
        <item h="1" x="856"/>
        <item h="1" x="798"/>
        <item h="1" x="39"/>
        <item h="1" x="455"/>
        <item h="1" x="135"/>
        <item h="1" x="793"/>
        <item h="1" x="858"/>
        <item h="1" x="41"/>
        <item h="1" x="732"/>
        <item h="1" x="984"/>
        <item h="1" x="941"/>
        <item h="1" x="643"/>
        <item h="1" x="506"/>
        <item h="1" x="621"/>
        <item h="1" x="626"/>
        <item h="1" x="985"/>
        <item h="1" x="424"/>
        <item h="1" x="292"/>
        <item h="1" x="88"/>
        <item h="1" x="477"/>
        <item h="1" x="258"/>
        <item h="1" x="663"/>
        <item h="1" x="155"/>
        <item h="1" x="775"/>
        <item h="1" x="417"/>
        <item h="1" x="119"/>
        <item h="1" x="581"/>
        <item h="1" x="244"/>
        <item h="1" x="114"/>
        <item h="1" x="708"/>
        <item h="1" x="508"/>
        <item h="1" x="617"/>
        <item h="1" x="156"/>
        <item h="1" x="654"/>
        <item h="1" x="185"/>
        <item h="1" x="614"/>
        <item h="1" x="70"/>
        <item h="1" x="822"/>
        <item h="1" x="80"/>
        <item h="1" x="461"/>
        <item h="1" x="132"/>
        <item h="1" x="438"/>
        <item h="1" x="982"/>
        <item h="1" x="599"/>
        <item h="1" x="369"/>
        <item h="1" x="101"/>
        <item h="1" x="271"/>
        <item h="1" x="625"/>
        <item h="1" x="893"/>
        <item h="1" x="950"/>
        <item h="1" x="115"/>
        <item h="1" x="651"/>
        <item h="1" x="807"/>
        <item h="1" x="190"/>
        <item h="1" x="567"/>
        <item h="1" x="512"/>
        <item h="1" x="636"/>
        <item h="1" x="761"/>
        <item h="1" x="852"/>
        <item h="1" x="431"/>
        <item h="1" x="437"/>
        <item h="1" x="335"/>
        <item h="1" x="794"/>
        <item h="1" x="826"/>
        <item h="1" x="719"/>
        <item h="1" x="968"/>
        <item h="1" x="237"/>
        <item h="1" x="462"/>
        <item h="1" x="539"/>
        <item h="1" x="456"/>
        <item h="1" x="837"/>
        <item h="1" x="976"/>
        <item h="1" x="14"/>
        <item h="1" x="780"/>
        <item h="1" x="288"/>
        <item h="1" x="211"/>
        <item h="1" x="296"/>
        <item h="1" x="681"/>
        <item h="1" x="322"/>
        <item h="1" x="6"/>
        <item h="1" x="591"/>
        <item h="1" x="232"/>
        <item h="1" x="951"/>
        <item h="1" x="159"/>
        <item h="1" x="48"/>
        <item h="1" x="765"/>
        <item h="1" x="357"/>
        <item h="1" x="791"/>
        <item h="1" x="600"/>
        <item h="1" x="612"/>
        <item h="1" x="234"/>
        <item h="1" x="524"/>
        <item h="1" x="177"/>
        <item h="1" x="797"/>
        <item h="1" x="327"/>
        <item h="1" x="219"/>
        <item h="1" x="261"/>
        <item h="1" x="483"/>
        <item h="1" x="620"/>
        <item h="1" x="611"/>
        <item h="1" x="137"/>
        <item h="1" x="29"/>
        <item h="1" x="427"/>
        <item h="1" x="527"/>
        <item h="1" x="957"/>
        <item h="1" x="145"/>
        <item h="1" x="977"/>
        <item h="1" x="57"/>
        <item h="1" x="300"/>
        <item h="1" x="481"/>
        <item h="1" x="360"/>
        <item h="1" x="906"/>
        <item h="1" x="667"/>
        <item h="1" x="130"/>
        <item h="1" x="209"/>
        <item h="1" x="329"/>
        <item h="1" x="414"/>
        <item h="1" x="675"/>
        <item h="1" x="707"/>
        <item h="1" x="948"/>
        <item h="1" x="545"/>
        <item h="1" x="518"/>
        <item h="1" x="548"/>
        <item h="1" x="673"/>
        <item h="1" x="266"/>
        <item h="1" x="498"/>
        <item h="1" x="804"/>
        <item h="1" x="262"/>
        <item h="1" x="910"/>
        <item t="default"/>
      </items>
    </pivotField>
    <pivotField numFmtId="14" showAll="0">
      <items count="347">
        <item x="68"/>
        <item h="1" x="61"/>
        <item h="1" x="299"/>
        <item h="1" x="183"/>
        <item h="1" x="71"/>
        <item h="1" x="282"/>
        <item h="1" x="23"/>
        <item h="1" x="135"/>
        <item h="1" x="104"/>
        <item h="1" x="1"/>
        <item h="1" x="171"/>
        <item h="1" x="302"/>
        <item h="1" x="150"/>
        <item h="1" x="45"/>
        <item h="1" x="311"/>
        <item h="1" x="214"/>
        <item h="1" x="266"/>
        <item h="1" x="148"/>
        <item h="1" x="113"/>
        <item h="1" x="154"/>
        <item h="1" x="6"/>
        <item h="1" x="158"/>
        <item h="1" x="78"/>
        <item h="1" x="227"/>
        <item h="1" x="232"/>
        <item h="1" x="215"/>
        <item h="1" x="137"/>
        <item h="1" x="292"/>
        <item h="1" x="314"/>
        <item h="1" x="138"/>
        <item h="1" x="169"/>
        <item h="1" x="25"/>
        <item h="1" x="340"/>
        <item h="1" x="333"/>
        <item h="1" x="210"/>
        <item h="1" x="208"/>
        <item h="1" x="21"/>
        <item h="1" x="336"/>
        <item h="1" x="56"/>
        <item h="1" x="118"/>
        <item h="1" x="241"/>
        <item h="1" x="200"/>
        <item h="1" x="325"/>
        <item h="1" x="90"/>
        <item h="1" x="112"/>
        <item h="1" x="185"/>
        <item h="1" x="188"/>
        <item h="1" x="14"/>
        <item h="1" x="99"/>
        <item h="1" x="259"/>
        <item h="1" x="236"/>
        <item h="1" x="156"/>
        <item h="1" x="65"/>
        <item h="1" x="275"/>
        <item h="1" x="342"/>
        <item h="1" x="22"/>
        <item h="1" x="77"/>
        <item h="1" x="256"/>
        <item h="1" x="229"/>
        <item h="1" x="181"/>
        <item h="1" x="16"/>
        <item h="1" x="211"/>
        <item h="1" x="86"/>
        <item h="1" x="245"/>
        <item h="1" x="328"/>
        <item h="1" x="324"/>
        <item h="1" x="195"/>
        <item h="1" x="0"/>
        <item h="1" x="101"/>
        <item h="1" x="305"/>
        <item h="1" x="277"/>
        <item h="1" x="15"/>
        <item h="1" x="323"/>
        <item h="1" x="337"/>
        <item h="1" x="136"/>
        <item h="1" x="216"/>
        <item h="1" x="290"/>
        <item h="1" x="253"/>
        <item h="1" x="233"/>
        <item h="1" x="223"/>
        <item h="1" x="120"/>
        <item h="1" x="166"/>
        <item h="1" x="335"/>
        <item h="1" x="3"/>
        <item h="1" x="341"/>
        <item h="1" x="186"/>
        <item h="1" x="228"/>
        <item h="1" x="116"/>
        <item h="1" x="18"/>
        <item h="1" x="182"/>
        <item h="1" x="264"/>
        <item h="1" x="192"/>
        <item h="1" x="30"/>
        <item h="1" x="174"/>
        <item h="1" x="226"/>
        <item h="1" x="97"/>
        <item h="1" x="9"/>
        <item h="1" x="242"/>
        <item h="1" x="149"/>
        <item h="1" x="59"/>
        <item h="1" x="237"/>
        <item h="1" x="244"/>
        <item h="1" x="212"/>
        <item h="1" x="60"/>
        <item h="1" x="310"/>
        <item h="1" x="178"/>
        <item h="1" x="247"/>
        <item h="1" x="67"/>
        <item h="1" x="298"/>
        <item h="1" x="268"/>
        <item h="1" x="88"/>
        <item h="1" x="308"/>
        <item h="1" x="224"/>
        <item h="1" x="162"/>
        <item h="1" x="234"/>
        <item h="1" x="218"/>
        <item h="1" x="29"/>
        <item h="1" x="197"/>
        <item h="1" x="271"/>
        <item h="1" x="12"/>
        <item h="1" x="75"/>
        <item h="1" x="147"/>
        <item h="1" x="54"/>
        <item h="1" x="17"/>
        <item h="1" x="173"/>
        <item h="1" x="50"/>
        <item h="1" x="345"/>
        <item h="1" x="24"/>
        <item h="1" x="128"/>
        <item h="1" x="47"/>
        <item h="1" x="252"/>
        <item h="1" x="131"/>
        <item h="1" x="7"/>
        <item h="1" x="238"/>
        <item h="1" x="87"/>
        <item h="1" x="198"/>
        <item h="1" x="194"/>
        <item h="1" x="193"/>
        <item h="1" x="108"/>
        <item h="1" x="79"/>
        <item h="1" x="146"/>
        <item h="1" x="286"/>
        <item h="1" x="165"/>
        <item h="1" x="327"/>
        <item h="1" x="81"/>
        <item h="1" x="187"/>
        <item h="1" x="258"/>
        <item h="1" x="52"/>
        <item h="1" x="105"/>
        <item h="1" x="100"/>
        <item h="1" x="72"/>
        <item h="1" x="144"/>
        <item h="1" x="121"/>
        <item h="1" x="37"/>
        <item h="1" x="124"/>
        <item h="1" x="91"/>
        <item h="1" x="199"/>
        <item h="1" x="157"/>
        <item h="1" x="111"/>
        <item h="1" x="140"/>
        <item h="1" x="44"/>
        <item h="1" x="273"/>
        <item h="1" x="145"/>
        <item h="1" x="27"/>
        <item h="1" x="203"/>
        <item h="1" x="254"/>
        <item h="1" x="205"/>
        <item h="1" x="320"/>
        <item h="1" x="161"/>
        <item h="1" x="139"/>
        <item h="1" x="201"/>
        <item h="1" x="288"/>
        <item h="1" x="225"/>
        <item h="1" x="230"/>
        <item h="1" x="239"/>
        <item h="1" x="133"/>
        <item h="1" x="82"/>
        <item h="1" x="151"/>
        <item h="1" x="344"/>
        <item h="1" x="84"/>
        <item h="1" x="39"/>
        <item h="1" x="35"/>
        <item h="1" x="206"/>
        <item h="1" x="250"/>
        <item h="1" x="294"/>
        <item h="1" x="102"/>
        <item h="1" x="326"/>
        <item h="1" x="306"/>
        <item h="1" x="153"/>
        <item h="1" x="123"/>
        <item h="1" x="222"/>
        <item h="1" x="89"/>
        <item h="1" x="329"/>
        <item h="1" x="339"/>
        <item h="1" x="180"/>
        <item h="1" x="263"/>
        <item h="1" x="38"/>
        <item h="1" x="95"/>
        <item h="1" x="283"/>
        <item h="1" x="63"/>
        <item h="1" x="309"/>
        <item h="1" x="94"/>
        <item h="1" x="26"/>
        <item h="1" x="246"/>
        <item h="1" x="184"/>
        <item h="1" x="278"/>
        <item h="1" x="28"/>
        <item h="1" x="13"/>
        <item h="1" x="167"/>
        <item h="1" x="96"/>
        <item h="1" x="19"/>
        <item h="1" x="122"/>
        <item h="1" x="334"/>
        <item h="1" x="93"/>
        <item h="1" x="83"/>
        <item h="1" x="318"/>
        <item h="1" x="92"/>
        <item h="1" x="272"/>
        <item h="1" x="172"/>
        <item h="1" x="43"/>
        <item h="1" x="70"/>
        <item h="1" x="276"/>
        <item h="1" x="270"/>
        <item h="1" x="331"/>
        <item h="1" x="125"/>
        <item h="1" x="40"/>
        <item h="1" x="168"/>
        <item h="1" x="221"/>
        <item h="1" x="179"/>
        <item h="1" x="66"/>
        <item h="1" x="190"/>
        <item h="1" x="248"/>
        <item h="1" x="107"/>
        <item h="1" x="240"/>
        <item h="1" x="260"/>
        <item h="1" x="255"/>
        <item h="1" x="11"/>
        <item h="1" x="64"/>
        <item h="1" x="209"/>
        <item h="1" x="48"/>
        <item h="1" x="119"/>
        <item h="1" x="110"/>
        <item h="1" x="287"/>
        <item h="1" x="274"/>
        <item h="1" x="343"/>
        <item h="1" x="31"/>
        <item h="1" x="130"/>
        <item h="1" x="170"/>
        <item h="1" x="261"/>
        <item h="1" x="202"/>
        <item h="1" x="114"/>
        <item h="1" x="155"/>
        <item h="1" x="289"/>
        <item h="1" x="213"/>
        <item h="1" x="76"/>
        <item h="1" x="285"/>
        <item h="1" x="33"/>
        <item h="1" x="58"/>
        <item h="1" x="2"/>
        <item h="1" x="5"/>
        <item h="1" x="249"/>
        <item h="1" x="160"/>
        <item h="1" x="322"/>
        <item h="1" x="296"/>
        <item h="1" x="217"/>
        <item h="1" x="53"/>
        <item h="1" x="280"/>
        <item h="1" x="8"/>
        <item h="1" x="141"/>
        <item h="1" x="279"/>
        <item h="1" x="251"/>
        <item h="1" x="321"/>
        <item h="1" x="55"/>
        <item h="1" x="317"/>
        <item h="1" x="69"/>
        <item h="1" x="80"/>
        <item h="1" x="332"/>
        <item h="1" x="34"/>
        <item h="1" x="220"/>
        <item h="1" x="62"/>
        <item h="1" x="103"/>
        <item h="1" x="281"/>
        <item h="1" x="312"/>
        <item h="1" x="74"/>
        <item h="1" x="46"/>
        <item h="1" x="300"/>
        <item h="1" x="330"/>
        <item h="1" x="109"/>
        <item h="1" x="106"/>
        <item h="1" x="196"/>
        <item h="1" x="32"/>
        <item h="1" x="307"/>
        <item h="1" x="235"/>
        <item h="1" x="315"/>
        <item h="1" x="132"/>
        <item h="1" x="163"/>
        <item h="1" x="164"/>
        <item h="1" x="189"/>
        <item h="1" x="207"/>
        <item h="1" x="269"/>
        <item h="1" x="49"/>
        <item h="1" x="10"/>
        <item h="1" x="295"/>
        <item h="1" x="57"/>
        <item h="1" x="219"/>
        <item h="1" x="301"/>
        <item h="1" x="304"/>
        <item h="1" x="303"/>
        <item h="1" x="293"/>
        <item h="1" x="117"/>
        <item h="1" x="20"/>
        <item h="1" x="265"/>
        <item h="1" x="316"/>
        <item h="1" x="262"/>
        <item h="1" x="98"/>
        <item h="1" x="51"/>
        <item h="1" x="204"/>
        <item h="1" x="175"/>
        <item h="1" x="73"/>
        <item h="1" x="134"/>
        <item h="1" x="4"/>
        <item h="1" x="319"/>
        <item h="1" x="142"/>
        <item h="1" x="338"/>
        <item h="1" x="42"/>
        <item h="1" x="152"/>
        <item h="1" x="127"/>
        <item h="1" x="143"/>
        <item h="1" x="115"/>
        <item h="1" x="159"/>
        <item h="1" x="191"/>
        <item h="1" x="243"/>
        <item h="1" x="129"/>
        <item h="1" x="297"/>
        <item h="1" x="177"/>
        <item h="1" x="284"/>
        <item h="1" x="36"/>
        <item h="1" x="126"/>
        <item h="1" x="267"/>
        <item h="1" x="41"/>
        <item h="1" x="231"/>
        <item h="1" x="291"/>
        <item h="1" x="176"/>
        <item h="1" x="85"/>
        <item h="1" x="313"/>
        <item h="1" x="257"/>
        <item t="default"/>
      </items>
    </pivotField>
    <pivotField axis="axisRow" showAll="0">
      <items count="7">
        <item n="00000000000000000000000000000000000000000000000000000000000000000000000000000000000000000000000000000000000000000000000000000000000000000000000000000000000000000000000000000000000000000000000000000000000000000000000000000000000000000000000000000000000000" x="0"/>
        <item x="3"/>
        <item x="5"/>
        <item x="2"/>
        <item x="1"/>
        <item x="4"/>
        <item t="default"/>
      </items>
    </pivotField>
    <pivotField dataField="1" showAll="0">
      <items count="42">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8"/>
  </rowFields>
  <rowItems count="7">
    <i>
      <x/>
    </i>
    <i>
      <x v="1"/>
    </i>
    <i>
      <x v="2"/>
    </i>
    <i>
      <x v="3"/>
    </i>
    <i>
      <x v="4"/>
    </i>
    <i>
      <x v="5"/>
    </i>
    <i t="grand">
      <x/>
    </i>
  </rowItems>
  <colItems count="1">
    <i/>
  </colItems>
  <dataFields count="1">
    <dataField name="Average of Customer Rating" fld="9" subtotal="average" baseField="8" baseItem="0"/>
  </dataFields>
  <chartFormats count="2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5"/>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 chart="1" format="4">
      <pivotArea type="data" outline="0" fieldPosition="0">
        <references count="2">
          <reference field="4294967294" count="1" selected="0">
            <x v="0"/>
          </reference>
          <reference field="8" count="1" selected="0">
            <x v="2"/>
          </reference>
        </references>
      </pivotArea>
    </chartFormat>
    <chartFormat chart="1" format="5">
      <pivotArea type="data" outline="0" fieldPosition="0">
        <references count="2">
          <reference field="4294967294" count="1" selected="0">
            <x v="0"/>
          </reference>
          <reference field="8" count="1" selected="0">
            <x v="3"/>
          </reference>
        </references>
      </pivotArea>
    </chartFormat>
    <chartFormat chart="1" format="6">
      <pivotArea type="data" outline="0" fieldPosition="0">
        <references count="2">
          <reference field="4294967294" count="1" selected="0">
            <x v="0"/>
          </reference>
          <reference field="8"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8" count="1" selected="0">
            <x v="0"/>
          </reference>
        </references>
      </pivotArea>
    </chartFormat>
    <chartFormat chart="5" format="9">
      <pivotArea type="data" outline="0" fieldPosition="0">
        <references count="2">
          <reference field="4294967294" count="1" selected="0">
            <x v="0"/>
          </reference>
          <reference field="8" count="1" selected="0">
            <x v="1"/>
          </reference>
        </references>
      </pivotArea>
    </chartFormat>
    <chartFormat chart="5" format="10">
      <pivotArea type="data" outline="0" fieldPosition="0">
        <references count="2">
          <reference field="4294967294" count="1" selected="0">
            <x v="0"/>
          </reference>
          <reference field="8" count="1" selected="0">
            <x v="2"/>
          </reference>
        </references>
      </pivotArea>
    </chartFormat>
    <chartFormat chart="5" format="11">
      <pivotArea type="data" outline="0" fieldPosition="0">
        <references count="2">
          <reference field="4294967294" count="1" selected="0">
            <x v="0"/>
          </reference>
          <reference field="8" count="1" selected="0">
            <x v="3"/>
          </reference>
        </references>
      </pivotArea>
    </chartFormat>
    <chartFormat chart="5" format="12">
      <pivotArea type="data" outline="0" fieldPosition="0">
        <references count="2">
          <reference field="4294967294" count="1" selected="0">
            <x v="0"/>
          </reference>
          <reference field="8" count="1" selected="0">
            <x v="4"/>
          </reference>
        </references>
      </pivotArea>
    </chartFormat>
    <chartFormat chart="5" format="13">
      <pivotArea type="data" outline="0" fieldPosition="0">
        <references count="2">
          <reference field="4294967294" count="1" selected="0">
            <x v="0"/>
          </reference>
          <reference field="8"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8" count="1" selected="0">
            <x v="0"/>
          </reference>
        </references>
      </pivotArea>
    </chartFormat>
    <chartFormat chart="6" format="16">
      <pivotArea type="data" outline="0" fieldPosition="0">
        <references count="2">
          <reference field="4294967294" count="1" selected="0">
            <x v="0"/>
          </reference>
          <reference field="8" count="1" selected="0">
            <x v="1"/>
          </reference>
        </references>
      </pivotArea>
    </chartFormat>
    <chartFormat chart="6" format="17">
      <pivotArea type="data" outline="0" fieldPosition="0">
        <references count="2">
          <reference field="4294967294" count="1" selected="0">
            <x v="0"/>
          </reference>
          <reference field="8" count="1" selected="0">
            <x v="2"/>
          </reference>
        </references>
      </pivotArea>
    </chartFormat>
    <chartFormat chart="6" format="18">
      <pivotArea type="data" outline="0" fieldPosition="0">
        <references count="2">
          <reference field="4294967294" count="1" selected="0">
            <x v="0"/>
          </reference>
          <reference field="8" count="1" selected="0">
            <x v="3"/>
          </reference>
        </references>
      </pivotArea>
    </chartFormat>
    <chartFormat chart="6" format="19">
      <pivotArea type="data" outline="0" fieldPosition="0">
        <references count="2">
          <reference field="4294967294" count="1" selected="0">
            <x v="0"/>
          </reference>
          <reference field="8" count="1" selected="0">
            <x v="4"/>
          </reference>
        </references>
      </pivotArea>
    </chartFormat>
    <chartFormat chart="6" format="20">
      <pivotArea type="data" outline="0" fieldPosition="0">
        <references count="2">
          <reference field="4294967294" count="1" selected="0">
            <x v="0"/>
          </reference>
          <reference field="8" count="1" selected="0">
            <x v="5"/>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AA9273E-3E38-4B94-92ED-8AF774BEA7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t method">
  <location ref="M31:N38" firstHeaderRow="1" firstDataRow="1" firstDataCol="1"/>
  <pivotFields count="15">
    <pivotField showAll="0"/>
    <pivotField showAll="0"/>
    <pivotField showAll="0"/>
    <pivotField showAll="0"/>
    <pivotField showAll="0"/>
    <pivotField showAll="0"/>
    <pivotField dataField="1" showAll="0"/>
    <pivotField numFmtId="14" showAll="0">
      <items count="347">
        <item x="68"/>
        <item x="61"/>
        <item x="299"/>
        <item x="183"/>
        <item x="71"/>
        <item x="282"/>
        <item x="23"/>
        <item x="135"/>
        <item x="104"/>
        <item x="1"/>
        <item x="171"/>
        <item x="302"/>
        <item x="150"/>
        <item x="45"/>
        <item x="311"/>
        <item x="214"/>
        <item x="266"/>
        <item x="148"/>
        <item x="113"/>
        <item x="154"/>
        <item x="6"/>
        <item x="158"/>
        <item x="78"/>
        <item x="227"/>
        <item x="232"/>
        <item x="215"/>
        <item x="137"/>
        <item x="292"/>
        <item x="314"/>
        <item x="138"/>
        <item x="169"/>
        <item x="25"/>
        <item x="340"/>
        <item x="333"/>
        <item x="210"/>
        <item x="208"/>
        <item x="21"/>
        <item x="336"/>
        <item x="56"/>
        <item x="118"/>
        <item x="241"/>
        <item x="200"/>
        <item x="325"/>
        <item x="90"/>
        <item x="112"/>
        <item x="185"/>
        <item x="188"/>
        <item x="14"/>
        <item x="99"/>
        <item x="259"/>
        <item x="236"/>
        <item x="156"/>
        <item x="65"/>
        <item x="275"/>
        <item x="342"/>
        <item x="22"/>
        <item x="77"/>
        <item x="256"/>
        <item x="229"/>
        <item x="181"/>
        <item x="16"/>
        <item x="211"/>
        <item x="86"/>
        <item x="245"/>
        <item x="328"/>
        <item x="324"/>
        <item x="195"/>
        <item x="0"/>
        <item x="101"/>
        <item x="305"/>
        <item x="277"/>
        <item x="15"/>
        <item x="323"/>
        <item x="337"/>
        <item x="136"/>
        <item x="216"/>
        <item x="290"/>
        <item x="253"/>
        <item x="233"/>
        <item x="223"/>
        <item x="120"/>
        <item x="166"/>
        <item x="335"/>
        <item x="3"/>
        <item x="341"/>
        <item x="186"/>
        <item x="228"/>
        <item x="116"/>
        <item x="18"/>
        <item x="182"/>
        <item x="264"/>
        <item x="192"/>
        <item x="30"/>
        <item x="174"/>
        <item x="226"/>
        <item x="97"/>
        <item x="9"/>
        <item x="242"/>
        <item x="149"/>
        <item x="59"/>
        <item x="237"/>
        <item x="244"/>
        <item x="212"/>
        <item x="60"/>
        <item x="310"/>
        <item x="178"/>
        <item x="247"/>
        <item x="67"/>
        <item x="298"/>
        <item x="268"/>
        <item x="88"/>
        <item x="308"/>
        <item x="224"/>
        <item x="162"/>
        <item x="234"/>
        <item x="218"/>
        <item x="29"/>
        <item x="197"/>
        <item x="271"/>
        <item x="12"/>
        <item x="75"/>
        <item x="147"/>
        <item x="54"/>
        <item x="17"/>
        <item x="173"/>
        <item x="50"/>
        <item x="345"/>
        <item x="24"/>
        <item x="128"/>
        <item x="47"/>
        <item x="252"/>
        <item x="131"/>
        <item x="7"/>
        <item x="238"/>
        <item x="87"/>
        <item x="198"/>
        <item x="194"/>
        <item x="193"/>
        <item x="108"/>
        <item x="79"/>
        <item x="146"/>
        <item x="286"/>
        <item x="165"/>
        <item x="327"/>
        <item x="81"/>
        <item x="187"/>
        <item x="258"/>
        <item x="52"/>
        <item x="105"/>
        <item x="100"/>
        <item x="72"/>
        <item x="144"/>
        <item x="121"/>
        <item x="37"/>
        <item x="124"/>
        <item x="91"/>
        <item x="199"/>
        <item x="157"/>
        <item x="111"/>
        <item x="140"/>
        <item x="44"/>
        <item x="273"/>
        <item x="145"/>
        <item x="27"/>
        <item x="203"/>
        <item x="254"/>
        <item x="205"/>
        <item x="320"/>
        <item x="161"/>
        <item x="139"/>
        <item x="201"/>
        <item x="288"/>
        <item x="225"/>
        <item x="230"/>
        <item x="239"/>
        <item x="133"/>
        <item x="82"/>
        <item x="151"/>
        <item x="344"/>
        <item x="84"/>
        <item x="39"/>
        <item x="35"/>
        <item x="206"/>
        <item x="250"/>
        <item x="294"/>
        <item x="102"/>
        <item x="326"/>
        <item x="306"/>
        <item x="153"/>
        <item x="123"/>
        <item x="222"/>
        <item x="89"/>
        <item x="329"/>
        <item x="339"/>
        <item x="180"/>
        <item x="263"/>
        <item x="38"/>
        <item x="95"/>
        <item x="283"/>
        <item x="63"/>
        <item x="309"/>
        <item x="94"/>
        <item x="26"/>
        <item x="246"/>
        <item x="184"/>
        <item x="278"/>
        <item x="28"/>
        <item x="13"/>
        <item x="167"/>
        <item x="96"/>
        <item x="19"/>
        <item x="122"/>
        <item x="334"/>
        <item x="93"/>
        <item x="83"/>
        <item x="318"/>
        <item x="92"/>
        <item x="272"/>
        <item x="172"/>
        <item x="43"/>
        <item x="70"/>
        <item x="276"/>
        <item x="270"/>
        <item x="331"/>
        <item x="125"/>
        <item x="40"/>
        <item x="168"/>
        <item x="221"/>
        <item x="179"/>
        <item x="66"/>
        <item x="190"/>
        <item x="248"/>
        <item x="107"/>
        <item x="240"/>
        <item x="260"/>
        <item x="255"/>
        <item x="11"/>
        <item x="64"/>
        <item x="209"/>
        <item x="48"/>
        <item x="119"/>
        <item x="110"/>
        <item x="287"/>
        <item x="274"/>
        <item x="343"/>
        <item x="31"/>
        <item x="130"/>
        <item x="170"/>
        <item x="261"/>
        <item x="202"/>
        <item x="114"/>
        <item x="155"/>
        <item x="289"/>
        <item x="213"/>
        <item x="76"/>
        <item x="285"/>
        <item x="33"/>
        <item x="58"/>
        <item x="2"/>
        <item x="5"/>
        <item x="249"/>
        <item x="160"/>
        <item x="322"/>
        <item x="296"/>
        <item x="217"/>
        <item x="53"/>
        <item x="280"/>
        <item x="8"/>
        <item x="141"/>
        <item x="279"/>
        <item x="251"/>
        <item x="321"/>
        <item x="55"/>
        <item x="317"/>
        <item x="69"/>
        <item x="80"/>
        <item x="332"/>
        <item x="34"/>
        <item x="220"/>
        <item x="62"/>
        <item x="103"/>
        <item x="281"/>
        <item x="312"/>
        <item x="74"/>
        <item x="46"/>
        <item x="300"/>
        <item x="330"/>
        <item x="109"/>
        <item x="106"/>
        <item x="196"/>
        <item x="32"/>
        <item x="307"/>
        <item x="235"/>
        <item x="315"/>
        <item x="132"/>
        <item x="163"/>
        <item x="164"/>
        <item x="189"/>
        <item x="207"/>
        <item x="269"/>
        <item x="49"/>
        <item x="10"/>
        <item x="295"/>
        <item x="57"/>
        <item x="219"/>
        <item x="301"/>
        <item x="304"/>
        <item x="303"/>
        <item x="293"/>
        <item x="117"/>
        <item x="20"/>
        <item x="265"/>
        <item x="316"/>
        <item x="262"/>
        <item x="98"/>
        <item x="51"/>
        <item x="204"/>
        <item x="175"/>
        <item x="73"/>
        <item x="134"/>
        <item x="4"/>
        <item x="319"/>
        <item x="142"/>
        <item x="338"/>
        <item x="42"/>
        <item x="152"/>
        <item x="127"/>
        <item x="143"/>
        <item x="115"/>
        <item x="159"/>
        <item x="191"/>
        <item x="243"/>
        <item x="129"/>
        <item x="297"/>
        <item x="177"/>
        <item x="284"/>
        <item x="36"/>
        <item x="126"/>
        <item x="267"/>
        <item x="41"/>
        <item x="231"/>
        <item x="291"/>
        <item x="176"/>
        <item x="85"/>
        <item x="313"/>
        <item x="257"/>
        <item t="default"/>
      </items>
    </pivotField>
    <pivotField axis="axisRow" showAll="0">
      <items count="7">
        <item x="0"/>
        <item x="3"/>
        <item x="5"/>
        <item x="2"/>
        <item x="1"/>
        <item x="4"/>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8"/>
  </rowFields>
  <rowItems count="7">
    <i>
      <x/>
    </i>
    <i>
      <x v="1"/>
    </i>
    <i>
      <x v="2"/>
    </i>
    <i>
      <x v="3"/>
    </i>
    <i>
      <x v="4"/>
    </i>
    <i>
      <x v="5"/>
    </i>
    <i t="grand">
      <x/>
    </i>
  </rowItems>
  <colItems count="1">
    <i/>
  </colItems>
  <dataFields count="1">
    <dataField name="Sum of Total Sales (INR)" fld="6"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551DF6C-B78D-4394-9D41-02A6F3D9D3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t method">
  <location ref="M15:N22" firstHeaderRow="1" firstDataRow="1" firstDataCol="1"/>
  <pivotFields count="15">
    <pivotField dataField="1" showAll="0"/>
    <pivotField showAll="0">
      <items count="26">
        <item x="1"/>
        <item x="2"/>
        <item x="11"/>
        <item x="13"/>
        <item x="24"/>
        <item x="9"/>
        <item x="16"/>
        <item x="7"/>
        <item x="6"/>
        <item x="10"/>
        <item x="21"/>
        <item x="17"/>
        <item x="18"/>
        <item x="3"/>
        <item x="20"/>
        <item x="8"/>
        <item x="19"/>
        <item x="0"/>
        <item x="4"/>
        <item x="14"/>
        <item x="23"/>
        <item x="5"/>
        <item x="12"/>
        <item x="22"/>
        <item x="15"/>
        <item t="default"/>
      </items>
    </pivotField>
    <pivotField showAll="0"/>
    <pivotField showAll="0"/>
    <pivotField showAll="0"/>
    <pivotField showAll="0"/>
    <pivotField showAll="0"/>
    <pivotField numFmtId="14" showAll="0">
      <items count="347">
        <item x="68"/>
        <item x="61"/>
        <item x="299"/>
        <item x="183"/>
        <item x="71"/>
        <item x="282"/>
        <item x="23"/>
        <item x="135"/>
        <item x="104"/>
        <item x="1"/>
        <item x="171"/>
        <item x="302"/>
        <item x="150"/>
        <item x="45"/>
        <item x="311"/>
        <item x="214"/>
        <item x="266"/>
        <item x="148"/>
        <item x="113"/>
        <item x="154"/>
        <item x="6"/>
        <item x="158"/>
        <item x="78"/>
        <item x="227"/>
        <item x="232"/>
        <item x="215"/>
        <item x="137"/>
        <item x="292"/>
        <item x="314"/>
        <item x="138"/>
        <item x="169"/>
        <item x="25"/>
        <item x="340"/>
        <item x="333"/>
        <item x="210"/>
        <item x="208"/>
        <item x="21"/>
        <item x="336"/>
        <item x="56"/>
        <item x="118"/>
        <item x="241"/>
        <item x="200"/>
        <item x="325"/>
        <item x="90"/>
        <item x="112"/>
        <item x="185"/>
        <item x="188"/>
        <item x="14"/>
        <item x="99"/>
        <item x="259"/>
        <item x="236"/>
        <item x="156"/>
        <item x="65"/>
        <item x="275"/>
        <item x="342"/>
        <item x="22"/>
        <item x="77"/>
        <item x="256"/>
        <item x="229"/>
        <item x="181"/>
        <item x="16"/>
        <item x="211"/>
        <item x="86"/>
        <item x="245"/>
        <item x="328"/>
        <item x="324"/>
        <item x="195"/>
        <item x="0"/>
        <item x="101"/>
        <item x="305"/>
        <item x="277"/>
        <item x="15"/>
        <item x="323"/>
        <item x="337"/>
        <item x="136"/>
        <item x="216"/>
        <item x="290"/>
        <item x="253"/>
        <item x="233"/>
        <item x="223"/>
        <item x="120"/>
        <item x="166"/>
        <item x="335"/>
        <item x="3"/>
        <item x="341"/>
        <item x="186"/>
        <item x="228"/>
        <item x="116"/>
        <item x="18"/>
        <item x="182"/>
        <item x="264"/>
        <item x="192"/>
        <item x="30"/>
        <item x="174"/>
        <item x="226"/>
        <item x="97"/>
        <item x="9"/>
        <item x="242"/>
        <item x="149"/>
        <item x="59"/>
        <item x="237"/>
        <item x="244"/>
        <item x="212"/>
        <item x="60"/>
        <item x="310"/>
        <item x="178"/>
        <item x="247"/>
        <item x="67"/>
        <item x="298"/>
        <item x="268"/>
        <item x="88"/>
        <item x="308"/>
        <item x="224"/>
        <item x="162"/>
        <item x="234"/>
        <item x="218"/>
        <item x="29"/>
        <item x="197"/>
        <item x="271"/>
        <item x="12"/>
        <item x="75"/>
        <item x="147"/>
        <item x="54"/>
        <item x="17"/>
        <item x="173"/>
        <item x="50"/>
        <item x="345"/>
        <item x="24"/>
        <item x="128"/>
        <item x="47"/>
        <item x="252"/>
        <item x="131"/>
        <item x="7"/>
        <item x="238"/>
        <item x="87"/>
        <item x="198"/>
        <item x="194"/>
        <item x="193"/>
        <item x="108"/>
        <item x="79"/>
        <item x="146"/>
        <item x="286"/>
        <item x="165"/>
        <item x="327"/>
        <item x="81"/>
        <item x="187"/>
        <item x="258"/>
        <item x="52"/>
        <item x="105"/>
        <item x="100"/>
        <item x="72"/>
        <item x="144"/>
        <item x="121"/>
        <item x="37"/>
        <item x="124"/>
        <item x="91"/>
        <item x="199"/>
        <item x="157"/>
        <item x="111"/>
        <item x="140"/>
        <item x="44"/>
        <item x="273"/>
        <item x="145"/>
        <item x="27"/>
        <item x="203"/>
        <item x="254"/>
        <item x="205"/>
        <item x="320"/>
        <item x="161"/>
        <item x="139"/>
        <item x="201"/>
        <item x="288"/>
        <item x="225"/>
        <item x="230"/>
        <item x="239"/>
        <item x="133"/>
        <item x="82"/>
        <item x="151"/>
        <item x="344"/>
        <item x="84"/>
        <item x="39"/>
        <item x="35"/>
        <item x="206"/>
        <item x="250"/>
        <item x="294"/>
        <item x="102"/>
        <item x="326"/>
        <item x="306"/>
        <item x="153"/>
        <item x="123"/>
        <item x="222"/>
        <item x="89"/>
        <item x="329"/>
        <item x="339"/>
        <item x="180"/>
        <item x="263"/>
        <item x="38"/>
        <item x="95"/>
        <item x="283"/>
        <item x="63"/>
        <item x="309"/>
        <item x="94"/>
        <item x="26"/>
        <item x="246"/>
        <item x="184"/>
        <item x="278"/>
        <item x="28"/>
        <item x="13"/>
        <item x="167"/>
        <item x="96"/>
        <item x="19"/>
        <item x="122"/>
        <item x="334"/>
        <item x="93"/>
        <item x="83"/>
        <item x="318"/>
        <item x="92"/>
        <item x="272"/>
        <item x="172"/>
        <item x="43"/>
        <item x="70"/>
        <item x="276"/>
        <item x="270"/>
        <item x="331"/>
        <item x="125"/>
        <item x="40"/>
        <item x="168"/>
        <item x="221"/>
        <item x="179"/>
        <item x="66"/>
        <item x="190"/>
        <item x="248"/>
        <item x="107"/>
        <item x="240"/>
        <item x="260"/>
        <item x="255"/>
        <item x="11"/>
        <item x="64"/>
        <item x="209"/>
        <item x="48"/>
        <item x="119"/>
        <item x="110"/>
        <item x="287"/>
        <item x="274"/>
        <item x="343"/>
        <item x="31"/>
        <item x="130"/>
        <item x="170"/>
        <item x="261"/>
        <item x="202"/>
        <item x="114"/>
        <item x="155"/>
        <item x="289"/>
        <item x="213"/>
        <item x="76"/>
        <item x="285"/>
        <item x="33"/>
        <item x="58"/>
        <item x="2"/>
        <item x="5"/>
        <item x="249"/>
        <item x="160"/>
        <item x="322"/>
        <item x="296"/>
        <item x="217"/>
        <item x="53"/>
        <item x="280"/>
        <item x="8"/>
        <item x="141"/>
        <item x="279"/>
        <item x="251"/>
        <item x="321"/>
        <item x="55"/>
        <item x="317"/>
        <item x="69"/>
        <item x="80"/>
        <item x="332"/>
        <item x="34"/>
        <item x="220"/>
        <item x="62"/>
        <item x="103"/>
        <item x="281"/>
        <item x="312"/>
        <item x="74"/>
        <item x="46"/>
        <item x="300"/>
        <item x="330"/>
        <item x="109"/>
        <item x="106"/>
        <item x="196"/>
        <item x="32"/>
        <item x="307"/>
        <item x="235"/>
        <item x="315"/>
        <item x="132"/>
        <item x="163"/>
        <item x="164"/>
        <item x="189"/>
        <item x="207"/>
        <item x="269"/>
        <item x="49"/>
        <item x="10"/>
        <item x="295"/>
        <item x="57"/>
        <item x="219"/>
        <item x="301"/>
        <item x="304"/>
        <item x="303"/>
        <item x="293"/>
        <item x="117"/>
        <item x="20"/>
        <item x="265"/>
        <item x="316"/>
        <item x="262"/>
        <item x="98"/>
        <item x="51"/>
        <item x="204"/>
        <item x="175"/>
        <item x="73"/>
        <item x="134"/>
        <item x="4"/>
        <item x="319"/>
        <item x="142"/>
        <item x="338"/>
        <item x="42"/>
        <item x="152"/>
        <item x="127"/>
        <item x="143"/>
        <item x="115"/>
        <item x="159"/>
        <item x="191"/>
        <item x="243"/>
        <item x="129"/>
        <item x="297"/>
        <item x="177"/>
        <item x="284"/>
        <item x="36"/>
        <item x="126"/>
        <item x="267"/>
        <item x="41"/>
        <item x="231"/>
        <item x="291"/>
        <item x="176"/>
        <item x="85"/>
        <item x="313"/>
        <item x="257"/>
        <item t="default"/>
      </items>
    </pivotField>
    <pivotField axis="axisRow" showAll="0">
      <items count="7">
        <item x="0"/>
        <item x="3"/>
        <item x="5"/>
        <item x="2"/>
        <item x="1"/>
        <item x="4"/>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8"/>
  </rowFields>
  <rowItems count="7">
    <i>
      <x/>
    </i>
    <i>
      <x v="1"/>
    </i>
    <i>
      <x v="2"/>
    </i>
    <i>
      <x v="3"/>
    </i>
    <i>
      <x v="4"/>
    </i>
    <i>
      <x v="5"/>
    </i>
    <i t="grand">
      <x/>
    </i>
  </rowItems>
  <colItems count="1">
    <i/>
  </colItems>
  <dataFields count="1">
    <dataField name="Count of Order ID" fld="0"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B593A1C-6B2B-4440-BCC4-36226AD9F32F}" autoFormatId="16" applyNumberFormats="0" applyBorderFormats="0" applyFontFormats="0" applyPatternFormats="0" applyAlignmentFormats="0" applyWidthHeightFormats="0">
  <queryTableRefresh nextId="15" unboundColumnsRight="2">
    <queryTableFields count="12">
      <queryTableField id="1" name="Order ID" tableColumnId="1"/>
      <queryTableField id="2" name="Product Name" tableColumnId="2"/>
      <queryTableField id="3" name="Category" tableColumnId="3"/>
      <queryTableField id="4" name="Price (INR)" tableColumnId="4"/>
      <queryTableField id="5" name="Quantity Sold" tableColumnId="5"/>
      <queryTableField id="14" dataBound="0" tableColumnId="11"/>
      <queryTableField id="6" name="Total Sales (INR)" tableColumnId="6"/>
      <queryTableField id="7" name="Order Date" tableColumnId="7"/>
      <queryTableField id="8" name="Payment Method" tableColumnId="8"/>
      <queryTableField id="9" name="Customer Rating" tableColumnId="9"/>
      <queryTableField id="10" dataBound="0" tableColumnId="10"/>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25C886B8-1B5A-4A9A-AAF6-72055A67BF69}" sourceName="Years (Order Date)">
  <pivotTables>
    <pivotTable tabId="5" name="PivotTable9"/>
  </pivotTables>
  <data>
    <tabular pivotCacheId="514672506">
      <items count="4">
        <i x="1" s="1"/>
        <i x="2" s="1"/>
        <i x="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FE600488-AE93-4DD3-931E-31464C07B68F}" sourceName="Product Name">
  <pivotTables>
    <pivotTable tabId="5" name="PivotTable10"/>
  </pivotTables>
  <data>
    <tabular pivotCacheId="514672506">
      <items count="25">
        <i x="1" s="1"/>
        <i x="2" s="1"/>
        <i x="11" s="1"/>
        <i x="13" s="1"/>
        <i x="24" s="1"/>
        <i x="9" s="1"/>
        <i x="16" s="1"/>
        <i x="7" s="1"/>
        <i x="6" s="1"/>
        <i x="10" s="1"/>
        <i x="21" s="1"/>
        <i x="17" s="1"/>
        <i x="18" s="1"/>
        <i x="3" s="1"/>
        <i x="20" s="1"/>
        <i x="8" s="1"/>
        <i x="19" s="1"/>
        <i x="0" s="1"/>
        <i x="4" s="1"/>
        <i x="14" s="1"/>
        <i x="23" s="1"/>
        <i x="5" s="1"/>
        <i x="12" s="1"/>
        <i x="22"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0DFA7C4-1628-4787-9FED-7A9781BF2C87}" sourceName="Category">
  <pivotTables>
    <pivotTable tabId="5" name="PivotTable1"/>
  </pivotTables>
  <data>
    <tabular pivotCacheId="514672506">
      <items count="5">
        <i x="0" s="1"/>
        <i x="2" s="1"/>
        <i x="4"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2" xr10:uid="{153A2B68-5A09-41B7-9176-834CD39DB2C0}" sourceName="Product Name">
  <pivotTables>
    <pivotTable tabId="5" name="PivotTable6"/>
    <pivotTable tabId="12" name="PivotTable1"/>
  </pivotTables>
  <data>
    <tabular pivotCacheId="514672506">
      <items count="25">
        <i x="1" s="1"/>
        <i x="2" s="1"/>
        <i x="11" s="1"/>
        <i x="13" s="1"/>
        <i x="24" s="1"/>
        <i x="9" s="1"/>
        <i x="16" s="1"/>
        <i x="7" s="1"/>
        <i x="6" s="1"/>
        <i x="10" s="1"/>
        <i x="21" s="1"/>
        <i x="17" s="1"/>
        <i x="18" s="1"/>
        <i x="3" s="1"/>
        <i x="20" s="1"/>
        <i x="8" s="1"/>
        <i x="19" s="1"/>
        <i x="0" s="1"/>
        <i x="4" s="1"/>
        <i x="14" s="1"/>
        <i x="23" s="1"/>
        <i x="5" s="1"/>
        <i x="12" s="1"/>
        <i x="22" s="1"/>
        <i x="1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D9020C85-2E5A-430E-92F4-590300D51CB0}" sourceName="Category">
  <pivotTables>
    <pivotTable tabId="5" name="PivotTable8"/>
    <pivotTable tabId="12" name="PivotTable3"/>
  </pivotTables>
  <data>
    <tabular pivotCacheId="514672506">
      <items count="5">
        <i x="0" s="1"/>
        <i x="2" s="1"/>
        <i x="4"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F603911-AFE0-4973-A30D-0099ED037C3D}" sourceName="Months (Order Date)">
  <pivotTables>
    <pivotTable tabId="5" name="PivotTable7"/>
  </pivotTables>
  <data>
    <tabular pivotCacheId="514672506">
      <items count="14">
        <i x="1" s="1"/>
        <i x="2" s="1"/>
        <i x="3" s="1"/>
        <i x="4" s="1"/>
        <i x="5" s="1"/>
        <i x="6" s="1"/>
        <i x="7" s="1"/>
        <i x="8" s="1"/>
        <i x="9" s="1"/>
        <i x="10" s="1"/>
        <i x="11" s="1"/>
        <i x="12" s="1"/>
        <i x="0" s="1" nd="1"/>
        <i x="13"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E265DCBA-8040-4866-8E91-0A736EF763D8}" sourceName="Months (Order Date)">
  <pivotTables>
    <pivotTable tabId="5" name="PivotTable3"/>
  </pivotTables>
  <data>
    <tabular pivotCacheId="514672506">
      <items count="14">
        <i x="1" s="1"/>
        <i x="2" s="1"/>
        <i x="3" s="1"/>
        <i x="4" s="1"/>
        <i x="5" s="1"/>
        <i x="6" s="1"/>
        <i x="7" s="1"/>
        <i x="8" s="1"/>
        <i x="9" s="1"/>
        <i x="10" s="1"/>
        <i x="11" s="1"/>
        <i x="12" s="1"/>
        <i x="0" s="1" nd="1"/>
        <i x="13"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539BABE-7DD0-45B7-8C9B-B6E6CA6FA91B}" sourceName="Product Name">
  <pivotTables>
    <pivotTable tabId="5" name="PivotTable5"/>
    <pivotTable tabId="10" name="PivotTable6"/>
  </pivotTables>
  <data>
    <tabular pivotCacheId="514672506">
      <items count="25">
        <i x="1" s="1"/>
        <i x="2" s="1"/>
        <i x="11" s="1"/>
        <i x="13" s="1"/>
        <i x="24" s="1"/>
        <i x="9" s="1"/>
        <i x="16" s="1"/>
        <i x="7" s="1"/>
        <i x="6" s="1"/>
        <i x="10" s="1"/>
        <i x="21" s="1"/>
        <i x="17" s="1"/>
        <i x="18" s="1"/>
        <i x="3" s="1"/>
        <i x="20" s="1"/>
        <i x="8" s="1"/>
        <i x="19" s="1"/>
        <i x="0" s="1"/>
        <i x="4" s="1"/>
        <i x="14" s="1"/>
        <i x="23" s="1"/>
        <i x="5" s="1"/>
        <i x="12" s="1"/>
        <i x="22" s="1"/>
        <i x="15"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184823A-0E28-4C52-AC23-AAFDD53DD5B0}" sourceName="Years (Order Date)">
  <pivotTables>
    <pivotTable tabId="5" name="PivotTable4"/>
  </pivotTables>
  <data>
    <tabular pivotCacheId="514672506">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E7F37AA1-3C28-4B3D-A118-34AD3302165E}" cache="Slicer_Years__Order_Date1" caption="Years (Order Date)" style="Slicer Style 8" rowHeight="247650"/>
  <slicer name="Product Name 1" xr10:uid="{45253C83-74CD-4B9A-8D48-248319C3C2CE}" cache="Slicer_Product_Name1" caption="Product Name" style="Slicer Style 8" rowHeight="247650"/>
  <slicer name="Category 1" xr10:uid="{FB67424B-E581-4B89-B34D-5D0FFF8AD5D0}" cache="Slicer_Category1" caption="Category" style="Slicer Style 8"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1CAD40B8-D470-406D-AD02-F561E9D02110}" cache="Slicer_Months__Order_Date1" caption="Months (Order Date)" style="Slicer Style 8" rowHeight="247650"/>
  <slicer name="Product Name" xr10:uid="{FB305669-3E2D-4D23-828C-5DDD2D6D7390}" cache="Slicer_Product_Name" caption="Product Name" style="Slicer Style 8" rowHeight="247650"/>
  <slicer name="Years (Order Date)" xr10:uid="{F298D954-0C93-4C16-A236-C04CB6BBE9B5}" cache="Slicer_Years__Order_Date" caption="Years (Order Date)" style="Slicer Style 8"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2" xr10:uid="{E840A82D-DBB7-43EA-84CA-9F9E19D02E65}" cache="Slicer_Product_Name2" caption="Product Name" style="Slicer Style 8" rowHeight="247650"/>
  <slicer name="Category 2" xr10:uid="{6C8150D2-0632-4604-AD1E-DBE7EBAF72FE}" cache="Slicer_Category2" caption="Category" style="Slicer Style 8" rowHeight="247650"/>
  <slicer name="Months (Order Date)" xr10:uid="{9D99E4B0-1343-4082-892C-B34DC0AFAD16}" cache="Slicer_Months__Order_Date" caption="Months (Order Date)" style="Slicer Style 8"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52E414-DFF3-4F17-BD15-9252550D008E}" name="Table1" displayName="Table1" ref="A1:I1001" totalsRowShown="0">
  <autoFilter ref="A1:I1001" xr:uid="{8E52E414-DFF3-4F17-BD15-9252550D008E}"/>
  <tableColumns count="9">
    <tableColumn id="1" xr3:uid="{2C3FD277-0467-4ECF-8A63-07CF363BF5C0}" name="Order ID"/>
    <tableColumn id="2" xr3:uid="{3AC63900-AB6F-4626-A760-BBCD7C62C0ED}" name="Product Name"/>
    <tableColumn id="3" xr3:uid="{FE949BA3-9FC6-4641-B2E5-79B1367B4227}" name="Category"/>
    <tableColumn id="4" xr3:uid="{B6DD0970-7EB2-450A-8D8D-C2E45B09B1F6}" name="Price (INR)"/>
    <tableColumn id="5" xr3:uid="{67398FCD-684C-4963-BFC1-85D8356D1725}" name="Quantity Sold"/>
    <tableColumn id="6" xr3:uid="{F30D4429-22B7-4D6C-BE8B-6BB2EE5C76EC}" name="Total Sales (INR)"/>
    <tableColumn id="7" xr3:uid="{7A0A461D-EC22-4202-A63C-D01366AD9734}" name="Order Date" dataDxfId="11"/>
    <tableColumn id="8" xr3:uid="{26398A75-A34E-465F-9CD4-F07DA7761138}" name="Payment Method"/>
    <tableColumn id="9" xr3:uid="{987A35E3-2EA6-4B5C-A830-40DCE75DA653}" name="Customer 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BFCB73-A2BE-41CD-A288-3335215D6EAE}" name="Table1_1" displayName="Table1_1" ref="A1:L1001" tableType="queryTable" totalsRowShown="0">
  <autoFilter ref="A1:L1001" xr:uid="{76BFCB73-A2BE-41CD-A288-3335215D6EAE}"/>
  <sortState xmlns:xlrd2="http://schemas.microsoft.com/office/spreadsheetml/2017/richdata2" ref="A2:L1001">
    <sortCondition descending="1" ref="J2:J1001"/>
  </sortState>
  <tableColumns count="12">
    <tableColumn id="1" xr3:uid="{C23B0D74-2BDF-4939-AAAB-A4DF6B7D9956}" uniqueName="1" name="Order ID" queryTableFieldId="1" dataDxfId="10"/>
    <tableColumn id="2" xr3:uid="{06884BB3-5DC1-4DD5-A445-303208DEBE74}" uniqueName="2" name="Product Name" queryTableFieldId="2" dataDxfId="9"/>
    <tableColumn id="3" xr3:uid="{65397EDE-1DB3-4760-AFC9-4E8D8CB1B232}" uniqueName="3" name="Category" queryTableFieldId="3" dataDxfId="8"/>
    <tableColumn id="4" xr3:uid="{AD46E08D-7FFD-4272-90A3-FA6DE43E2006}" uniqueName="4" name="Price (INR)" queryTableFieldId="4"/>
    <tableColumn id="5" xr3:uid="{C9D13FF1-F8D4-4D70-BED1-142D535EEA9F}" uniqueName="5" name="Quantity Sold" queryTableFieldId="5"/>
    <tableColumn id="11" xr3:uid="{C6B3B320-C6D0-4E56-A22C-93A730BE5344}" uniqueName="11" name="ANSWER 3" queryTableFieldId="14" dataDxfId="7">
      <calculatedColumnFormula>SUM(Table1_1[[#This Row],[Price (INR)]]*Table1_1[[#This Row],[Quantity Sold]])</calculatedColumnFormula>
    </tableColumn>
    <tableColumn id="6" xr3:uid="{E2EACF44-6F3D-4E4F-B1A1-93E17376381F}" uniqueName="6" name="Total Sales (INR)" queryTableFieldId="6"/>
    <tableColumn id="7" xr3:uid="{CEE2D1D6-8DAA-4F66-9772-3BD9B26745D8}" uniqueName="7" name="Order Date" queryTableFieldId="7" dataDxfId="6"/>
    <tableColumn id="8" xr3:uid="{FB361DBE-4D46-436C-BE73-94F2268466BC}" uniqueName="8" name="Payment Method" queryTableFieldId="8" dataDxfId="5"/>
    <tableColumn id="9" xr3:uid="{DF76F880-64A0-46C1-8C34-4C2479EAEC33}" uniqueName="9" name="Customer Rating" queryTableFieldId="9"/>
    <tableColumn id="10" xr3:uid="{84C263A6-17EF-4BD8-B985-490CBF225C8C}" uniqueName="10" name="ANSWER 6" queryTableFieldId="10" dataDxfId="4">
      <calculatedColumnFormula>IF(Table1_1[[#This Row],[Quantity Sold]]&gt;=3,"BULK ORDER","REGULAR ORDER")</calculatedColumnFormula>
    </tableColumn>
    <tableColumn id="13" xr3:uid="{B0957722-DC08-40C8-8AA0-CC7EB4AF6650}" uniqueName="13" name="ANSWER 9" queryTableFieldId="13" dataDxfId="3">
      <calculatedColumnFormula>IF(Table1_1[[#This Row],[Customer Rating]]&gt;=4.5,"EXCELLENT",IF(Table1_1[[#This Row],[Customer Rating]]&lt;=4,"GOOD","AVERAGE"))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D9E175-F47A-4A12-B356-645F637FDABF}" name="Table5" displayName="Table5" ref="P1:Q17" totalsRowShown="0">
  <autoFilter ref="P1:Q17" xr:uid="{A7D9E175-F47A-4A12-B356-645F637FDABF}"/>
  <tableColumns count="2">
    <tableColumn id="1" xr3:uid="{3CA0C891-7B36-4DF6-B85E-8AC2D992BFA1}" name="QUESTION NUMBER"/>
    <tableColumn id="2" xr3:uid="{5834E9F4-940E-4D3E-ADDA-A3758B161BA3}" name="ANSWER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7EA388-B010-4E6D-B7DD-365974E4BD66}" name="Table2" displayName="Table2" ref="A1:B18" totalsRowShown="0">
  <autoFilter ref="A1:B18" xr:uid="{607EA388-B010-4E6D-B7DD-365974E4BD66}"/>
  <tableColumns count="2">
    <tableColumn id="1" xr3:uid="{DD2FAE11-2825-4B22-BA0E-B07878D02684}" name="KPIS"/>
    <tableColumn id="2" xr3:uid="{B6E9EDDB-D1E4-496F-A6D5-B64A0FB1D179}" name="VALUE"/>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4.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microsoft.com/office/2007/relationships/slicer" Target="../slicers/slicer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microsoft.com/office/2007/relationships/slicer" Target="../slicers/slicer2.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microsoft.com/office/2007/relationships/slicer" Target="../slicers/slicer3.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B94FA-8269-49F5-A05F-9FA5BE3450D8}">
  <dimension ref="A1:I1001"/>
  <sheetViews>
    <sheetView workbookViewId="0"/>
  </sheetViews>
  <sheetFormatPr defaultRowHeight="14.4" x14ac:dyDescent="0.3"/>
  <cols>
    <col min="1" max="1" width="20.21875" customWidth="1"/>
    <col min="2" max="2" width="16" customWidth="1"/>
    <col min="3" max="3" width="12.5546875" customWidth="1"/>
    <col min="4" max="4" width="14.21875" customWidth="1"/>
    <col min="5" max="5" width="14.77734375" customWidth="1"/>
    <col min="6" max="6" width="16.5546875" customWidth="1"/>
    <col min="7" max="7" width="11.88671875" customWidth="1"/>
    <col min="8" max="8" width="16.77734375" customWidth="1"/>
    <col min="9" max="9" width="16.5546875" customWidth="1"/>
    <col min="10" max="10" width="19.21875" customWidth="1"/>
    <col min="12" max="12" width="21.5546875" customWidth="1"/>
    <col min="13" max="13" width="11.33203125"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v>49069.56</v>
      </c>
      <c r="E2">
        <v>2</v>
      </c>
      <c r="F2">
        <v>98139.12</v>
      </c>
      <c r="G2" s="1">
        <v>45547</v>
      </c>
      <c r="H2" t="s">
        <v>12</v>
      </c>
      <c r="I2">
        <v>3.5</v>
      </c>
    </row>
    <row r="3" spans="1:9" x14ac:dyDescent="0.3">
      <c r="A3" t="s">
        <v>13</v>
      </c>
      <c r="B3" t="s">
        <v>14</v>
      </c>
      <c r="C3" t="s">
        <v>15</v>
      </c>
      <c r="D3">
        <v>12755.85</v>
      </c>
      <c r="E3">
        <v>4</v>
      </c>
      <c r="F3">
        <v>51023.4</v>
      </c>
      <c r="G3" s="1">
        <v>45644</v>
      </c>
      <c r="H3" t="s">
        <v>16</v>
      </c>
      <c r="I3">
        <v>3.9</v>
      </c>
    </row>
    <row r="4" spans="1:9" x14ac:dyDescent="0.3">
      <c r="A4" t="s">
        <v>17</v>
      </c>
      <c r="B4" t="s">
        <v>18</v>
      </c>
      <c r="C4" t="s">
        <v>19</v>
      </c>
      <c r="D4">
        <v>11092.19</v>
      </c>
      <c r="E4">
        <v>4</v>
      </c>
      <c r="F4">
        <v>44368.76</v>
      </c>
      <c r="G4" s="1">
        <v>45430</v>
      </c>
      <c r="H4" t="s">
        <v>12</v>
      </c>
      <c r="I4">
        <v>4.4000000000000004</v>
      </c>
    </row>
    <row r="5" spans="1:9" x14ac:dyDescent="0.3">
      <c r="A5" t="s">
        <v>20</v>
      </c>
      <c r="B5" t="s">
        <v>21</v>
      </c>
      <c r="C5" t="s">
        <v>22</v>
      </c>
      <c r="D5">
        <v>32657.81</v>
      </c>
      <c r="E5">
        <v>1</v>
      </c>
      <c r="F5">
        <v>32657.81</v>
      </c>
      <c r="G5" s="1">
        <v>45604</v>
      </c>
      <c r="H5" t="s">
        <v>12</v>
      </c>
      <c r="I5">
        <v>3.2</v>
      </c>
    </row>
    <row r="6" spans="1:9" x14ac:dyDescent="0.3">
      <c r="A6" t="s">
        <v>23</v>
      </c>
      <c r="B6" t="s">
        <v>24</v>
      </c>
      <c r="C6" t="s">
        <v>25</v>
      </c>
      <c r="D6">
        <v>26590.080000000002</v>
      </c>
      <c r="E6">
        <v>3</v>
      </c>
      <c r="F6">
        <v>79770.240000000005</v>
      </c>
      <c r="G6" s="1">
        <v>45653</v>
      </c>
      <c r="H6" t="s">
        <v>16</v>
      </c>
      <c r="I6">
        <v>3.1</v>
      </c>
    </row>
    <row r="7" spans="1:9" x14ac:dyDescent="0.3">
      <c r="A7" t="s">
        <v>26</v>
      </c>
      <c r="B7" t="s">
        <v>27</v>
      </c>
      <c r="C7" t="s">
        <v>25</v>
      </c>
      <c r="D7">
        <v>10475.030000000001</v>
      </c>
      <c r="E7">
        <v>2</v>
      </c>
      <c r="F7">
        <v>20950.060000000001</v>
      </c>
      <c r="G7" s="1">
        <v>45587</v>
      </c>
      <c r="H7" t="s">
        <v>28</v>
      </c>
      <c r="I7">
        <v>1.7</v>
      </c>
    </row>
    <row r="8" spans="1:9" x14ac:dyDescent="0.3">
      <c r="A8" t="s">
        <v>29</v>
      </c>
      <c r="B8" t="s">
        <v>30</v>
      </c>
      <c r="C8" t="s">
        <v>15</v>
      </c>
      <c r="D8">
        <v>38647.72</v>
      </c>
      <c r="E8">
        <v>3</v>
      </c>
      <c r="F8">
        <v>115943.16</v>
      </c>
      <c r="G8" s="1">
        <v>45477</v>
      </c>
      <c r="H8" t="s">
        <v>28</v>
      </c>
      <c r="I8">
        <v>2</v>
      </c>
    </row>
    <row r="9" spans="1:9" x14ac:dyDescent="0.3">
      <c r="A9" t="s">
        <v>31</v>
      </c>
      <c r="B9" t="s">
        <v>32</v>
      </c>
      <c r="C9" t="s">
        <v>25</v>
      </c>
      <c r="D9">
        <v>24818.59</v>
      </c>
      <c r="E9">
        <v>3</v>
      </c>
      <c r="F9">
        <v>74455.77</v>
      </c>
      <c r="G9" s="1">
        <v>45653</v>
      </c>
      <c r="H9" t="s">
        <v>12</v>
      </c>
      <c r="I9">
        <v>2.4</v>
      </c>
    </row>
    <row r="10" spans="1:9" x14ac:dyDescent="0.3">
      <c r="A10" t="s">
        <v>33</v>
      </c>
      <c r="B10" t="s">
        <v>34</v>
      </c>
      <c r="C10" t="s">
        <v>15</v>
      </c>
      <c r="D10">
        <v>1987.39</v>
      </c>
      <c r="E10">
        <v>2</v>
      </c>
      <c r="F10">
        <v>3974.78</v>
      </c>
      <c r="G10" s="1">
        <v>45675</v>
      </c>
      <c r="H10" t="s">
        <v>12</v>
      </c>
      <c r="I10">
        <v>2.6</v>
      </c>
    </row>
    <row r="11" spans="1:9" x14ac:dyDescent="0.3">
      <c r="A11" t="s">
        <v>35</v>
      </c>
      <c r="B11" t="s">
        <v>36</v>
      </c>
      <c r="C11" t="s">
        <v>22</v>
      </c>
      <c r="D11">
        <v>26876.51</v>
      </c>
      <c r="E11">
        <v>2</v>
      </c>
      <c r="F11">
        <v>53753.02</v>
      </c>
      <c r="G11" s="1">
        <v>45365</v>
      </c>
      <c r="H11" t="s">
        <v>12</v>
      </c>
      <c r="I11">
        <v>4</v>
      </c>
    </row>
    <row r="12" spans="1:9" x14ac:dyDescent="0.3">
      <c r="A12" t="s">
        <v>37</v>
      </c>
      <c r="B12" t="s">
        <v>38</v>
      </c>
      <c r="C12" t="s">
        <v>19</v>
      </c>
      <c r="D12">
        <v>46409.57</v>
      </c>
      <c r="E12">
        <v>5</v>
      </c>
      <c r="F12">
        <v>232047.85</v>
      </c>
      <c r="G12" s="1">
        <v>45696</v>
      </c>
      <c r="H12" t="s">
        <v>16</v>
      </c>
      <c r="I12">
        <v>2.2999999999999998</v>
      </c>
    </row>
    <row r="13" spans="1:9" x14ac:dyDescent="0.3">
      <c r="A13" t="s">
        <v>39</v>
      </c>
      <c r="B13" t="s">
        <v>40</v>
      </c>
      <c r="C13" t="s">
        <v>19</v>
      </c>
      <c r="D13">
        <v>48780.78</v>
      </c>
      <c r="E13">
        <v>5</v>
      </c>
      <c r="F13">
        <v>243903.9</v>
      </c>
      <c r="G13" s="1">
        <v>45395</v>
      </c>
      <c r="H13" t="s">
        <v>16</v>
      </c>
      <c r="I13">
        <v>1.3</v>
      </c>
    </row>
    <row r="14" spans="1:9" x14ac:dyDescent="0.3">
      <c r="A14" t="s">
        <v>41</v>
      </c>
      <c r="B14" t="s">
        <v>10</v>
      </c>
      <c r="C14" t="s">
        <v>11</v>
      </c>
      <c r="D14">
        <v>6670.82</v>
      </c>
      <c r="E14">
        <v>5</v>
      </c>
      <c r="F14">
        <v>33354.1</v>
      </c>
      <c r="G14" s="1">
        <v>45345</v>
      </c>
      <c r="H14" t="s">
        <v>42</v>
      </c>
      <c r="I14">
        <v>1.2</v>
      </c>
    </row>
    <row r="15" spans="1:9" x14ac:dyDescent="0.3">
      <c r="A15" t="s">
        <v>43</v>
      </c>
      <c r="B15" t="s">
        <v>44</v>
      </c>
      <c r="C15" t="s">
        <v>22</v>
      </c>
      <c r="D15">
        <v>10826.05</v>
      </c>
      <c r="E15">
        <v>1</v>
      </c>
      <c r="F15">
        <v>10826.05</v>
      </c>
      <c r="G15" s="1">
        <v>45445</v>
      </c>
      <c r="H15" t="s">
        <v>28</v>
      </c>
      <c r="I15">
        <v>3.7</v>
      </c>
    </row>
    <row r="16" spans="1:9" x14ac:dyDescent="0.3">
      <c r="A16" t="s">
        <v>45</v>
      </c>
      <c r="B16" t="s">
        <v>46</v>
      </c>
      <c r="C16" t="s">
        <v>11</v>
      </c>
      <c r="D16">
        <v>6839.1</v>
      </c>
      <c r="E16">
        <v>1</v>
      </c>
      <c r="F16">
        <v>6839.1</v>
      </c>
      <c r="G16" s="1">
        <v>45547</v>
      </c>
      <c r="H16" t="s">
        <v>47</v>
      </c>
      <c r="I16">
        <v>1.6</v>
      </c>
    </row>
    <row r="17" spans="1:9" x14ac:dyDescent="0.3">
      <c r="A17" t="s">
        <v>48</v>
      </c>
      <c r="B17" t="s">
        <v>27</v>
      </c>
      <c r="C17" t="s">
        <v>25</v>
      </c>
      <c r="D17">
        <v>18197.89</v>
      </c>
      <c r="E17">
        <v>5</v>
      </c>
      <c r="F17">
        <v>90989.45</v>
      </c>
      <c r="G17" s="1">
        <v>45381</v>
      </c>
      <c r="H17" t="s">
        <v>12</v>
      </c>
      <c r="I17">
        <v>1.6</v>
      </c>
    </row>
    <row r="18" spans="1:9" x14ac:dyDescent="0.3">
      <c r="A18" t="s">
        <v>49</v>
      </c>
      <c r="B18" t="s">
        <v>50</v>
      </c>
      <c r="C18" t="s">
        <v>11</v>
      </c>
      <c r="D18">
        <v>20817.46</v>
      </c>
      <c r="E18">
        <v>2</v>
      </c>
      <c r="F18">
        <v>41634.92</v>
      </c>
      <c r="G18" s="1">
        <v>45381</v>
      </c>
      <c r="H18" t="s">
        <v>12</v>
      </c>
      <c r="I18">
        <v>2.2999999999999998</v>
      </c>
    </row>
    <row r="19" spans="1:9" x14ac:dyDescent="0.3">
      <c r="A19" t="s">
        <v>51</v>
      </c>
      <c r="B19" t="s">
        <v>38</v>
      </c>
      <c r="C19" t="s">
        <v>19</v>
      </c>
      <c r="D19">
        <v>44061.25</v>
      </c>
      <c r="E19">
        <v>4</v>
      </c>
      <c r="F19">
        <v>176245</v>
      </c>
      <c r="G19" s="1">
        <v>45404</v>
      </c>
      <c r="H19" t="s">
        <v>42</v>
      </c>
      <c r="I19">
        <v>2.5</v>
      </c>
    </row>
    <row r="20" spans="1:9" x14ac:dyDescent="0.3">
      <c r="A20" t="s">
        <v>52</v>
      </c>
      <c r="B20" t="s">
        <v>50</v>
      </c>
      <c r="C20" t="s">
        <v>11</v>
      </c>
      <c r="D20">
        <v>4398.59</v>
      </c>
      <c r="E20">
        <v>5</v>
      </c>
      <c r="F20">
        <v>21992.95</v>
      </c>
      <c r="G20" s="1">
        <v>45373</v>
      </c>
      <c r="H20" t="s">
        <v>28</v>
      </c>
      <c r="I20">
        <v>4</v>
      </c>
    </row>
    <row r="21" spans="1:9" x14ac:dyDescent="0.3">
      <c r="A21" t="s">
        <v>53</v>
      </c>
      <c r="B21" t="s">
        <v>54</v>
      </c>
      <c r="C21" t="s">
        <v>15</v>
      </c>
      <c r="D21">
        <v>32565.77</v>
      </c>
      <c r="E21">
        <v>5</v>
      </c>
      <c r="F21">
        <v>162828.85</v>
      </c>
      <c r="G21" s="1">
        <v>45663</v>
      </c>
      <c r="H21" t="s">
        <v>42</v>
      </c>
      <c r="I21">
        <v>4.4000000000000004</v>
      </c>
    </row>
    <row r="22" spans="1:9" x14ac:dyDescent="0.3">
      <c r="A22" t="s">
        <v>55</v>
      </c>
      <c r="B22" t="s">
        <v>24</v>
      </c>
      <c r="C22" t="s">
        <v>25</v>
      </c>
      <c r="D22">
        <v>47529.36</v>
      </c>
      <c r="E22">
        <v>1</v>
      </c>
      <c r="F22">
        <v>47529.36</v>
      </c>
      <c r="G22" s="1">
        <v>45482</v>
      </c>
      <c r="H22" t="s">
        <v>56</v>
      </c>
      <c r="I22">
        <v>4.5</v>
      </c>
    </row>
    <row r="23" spans="1:9" x14ac:dyDescent="0.3">
      <c r="A23" t="s">
        <v>57</v>
      </c>
      <c r="B23" t="s">
        <v>14</v>
      </c>
      <c r="C23" t="s">
        <v>15</v>
      </c>
      <c r="D23">
        <v>37129.730000000003</v>
      </c>
      <c r="E23">
        <v>3</v>
      </c>
      <c r="F23">
        <v>111389.19</v>
      </c>
      <c r="G23" s="1">
        <v>45679</v>
      </c>
      <c r="H23" t="s">
        <v>28</v>
      </c>
      <c r="I23">
        <v>4.3</v>
      </c>
    </row>
    <row r="24" spans="1:9" x14ac:dyDescent="0.3">
      <c r="A24" t="s">
        <v>58</v>
      </c>
      <c r="B24" t="s">
        <v>10</v>
      </c>
      <c r="C24" t="s">
        <v>11</v>
      </c>
      <c r="D24">
        <v>48258.19</v>
      </c>
      <c r="E24">
        <v>4</v>
      </c>
      <c r="F24">
        <v>193032.76</v>
      </c>
      <c r="G24" s="1">
        <v>45466</v>
      </c>
      <c r="H24" t="s">
        <v>16</v>
      </c>
      <c r="I24">
        <v>1.6</v>
      </c>
    </row>
    <row r="25" spans="1:9" x14ac:dyDescent="0.3">
      <c r="A25" t="s">
        <v>59</v>
      </c>
      <c r="B25" t="s">
        <v>60</v>
      </c>
      <c r="C25" t="s">
        <v>25</v>
      </c>
      <c r="D25">
        <v>32505.96</v>
      </c>
      <c r="E25">
        <v>1</v>
      </c>
      <c r="F25">
        <v>32505.96</v>
      </c>
      <c r="G25" s="1">
        <v>45370</v>
      </c>
      <c r="H25" t="s">
        <v>28</v>
      </c>
      <c r="I25">
        <v>2.8</v>
      </c>
    </row>
    <row r="26" spans="1:9" x14ac:dyDescent="0.3">
      <c r="A26" t="s">
        <v>61</v>
      </c>
      <c r="B26" t="s">
        <v>24</v>
      </c>
      <c r="C26" t="s">
        <v>25</v>
      </c>
      <c r="D26">
        <v>4165.6400000000003</v>
      </c>
      <c r="E26">
        <v>2</v>
      </c>
      <c r="F26">
        <v>8331.2800000000007</v>
      </c>
      <c r="G26" s="1">
        <v>45620</v>
      </c>
      <c r="H26" t="s">
        <v>42</v>
      </c>
      <c r="I26">
        <v>1.1000000000000001</v>
      </c>
    </row>
    <row r="27" spans="1:9" x14ac:dyDescent="0.3">
      <c r="A27" t="s">
        <v>62</v>
      </c>
      <c r="B27" t="s">
        <v>54</v>
      </c>
      <c r="C27" t="s">
        <v>15</v>
      </c>
      <c r="D27">
        <v>2053.11</v>
      </c>
      <c r="E27">
        <v>4</v>
      </c>
      <c r="F27">
        <v>8212.44</v>
      </c>
      <c r="G27" s="1">
        <v>45496</v>
      </c>
      <c r="H27" t="s">
        <v>42</v>
      </c>
      <c r="I27">
        <v>3.4</v>
      </c>
    </row>
    <row r="28" spans="1:9" x14ac:dyDescent="0.3">
      <c r="A28" t="s">
        <v>63</v>
      </c>
      <c r="B28" t="s">
        <v>14</v>
      </c>
      <c r="C28" t="s">
        <v>15</v>
      </c>
      <c r="D28">
        <v>38927.620000000003</v>
      </c>
      <c r="E28">
        <v>4</v>
      </c>
      <c r="F28">
        <v>155710.48000000001</v>
      </c>
      <c r="G28" s="1">
        <v>45528</v>
      </c>
      <c r="H28" t="s">
        <v>28</v>
      </c>
      <c r="I28">
        <v>2.5</v>
      </c>
    </row>
    <row r="29" spans="1:9" x14ac:dyDescent="0.3">
      <c r="A29" t="s">
        <v>64</v>
      </c>
      <c r="B29" t="s">
        <v>27</v>
      </c>
      <c r="C29" t="s">
        <v>25</v>
      </c>
      <c r="D29">
        <v>28978.47</v>
      </c>
      <c r="E29">
        <v>4</v>
      </c>
      <c r="F29">
        <v>115913.88</v>
      </c>
      <c r="G29" s="1">
        <v>45494</v>
      </c>
      <c r="H29" t="s">
        <v>16</v>
      </c>
      <c r="I29">
        <v>2.2999999999999998</v>
      </c>
    </row>
    <row r="30" spans="1:9" x14ac:dyDescent="0.3">
      <c r="A30" t="s">
        <v>65</v>
      </c>
      <c r="B30" t="s">
        <v>40</v>
      </c>
      <c r="C30" t="s">
        <v>19</v>
      </c>
      <c r="D30">
        <v>21293.42</v>
      </c>
      <c r="E30">
        <v>5</v>
      </c>
      <c r="F30">
        <v>106467.1</v>
      </c>
      <c r="G30" s="1">
        <v>45398</v>
      </c>
      <c r="H30" t="s">
        <v>28</v>
      </c>
      <c r="I30">
        <v>2.2000000000000002</v>
      </c>
    </row>
    <row r="31" spans="1:9" x14ac:dyDescent="0.3">
      <c r="A31" t="s">
        <v>66</v>
      </c>
      <c r="B31" t="s">
        <v>40</v>
      </c>
      <c r="C31" t="s">
        <v>19</v>
      </c>
      <c r="D31">
        <v>49097.01</v>
      </c>
      <c r="E31">
        <v>4</v>
      </c>
      <c r="F31">
        <v>196388.04</v>
      </c>
      <c r="G31" s="1">
        <v>45509</v>
      </c>
      <c r="H31" t="s">
        <v>47</v>
      </c>
      <c r="I31">
        <v>3.7</v>
      </c>
    </row>
    <row r="32" spans="1:9" x14ac:dyDescent="0.3">
      <c r="A32" t="s">
        <v>67</v>
      </c>
      <c r="B32" t="s">
        <v>38</v>
      </c>
      <c r="C32" t="s">
        <v>19</v>
      </c>
      <c r="D32">
        <v>47651.19</v>
      </c>
      <c r="E32">
        <v>1</v>
      </c>
      <c r="F32">
        <v>47651.19</v>
      </c>
      <c r="G32" s="1">
        <v>45396</v>
      </c>
      <c r="H32" t="s">
        <v>56</v>
      </c>
      <c r="I32">
        <v>3.6</v>
      </c>
    </row>
    <row r="33" spans="1:9" x14ac:dyDescent="0.3">
      <c r="A33" t="s">
        <v>68</v>
      </c>
      <c r="B33" t="s">
        <v>69</v>
      </c>
      <c r="C33" t="s">
        <v>19</v>
      </c>
      <c r="D33">
        <v>15046.01</v>
      </c>
      <c r="E33">
        <v>5</v>
      </c>
      <c r="F33">
        <v>75230.05</v>
      </c>
      <c r="G33" s="1">
        <v>45582</v>
      </c>
      <c r="H33" t="s">
        <v>42</v>
      </c>
      <c r="I33">
        <v>1.1000000000000001</v>
      </c>
    </row>
    <row r="34" spans="1:9" x14ac:dyDescent="0.3">
      <c r="A34" t="s">
        <v>70</v>
      </c>
      <c r="B34" t="s">
        <v>71</v>
      </c>
      <c r="C34" t="s">
        <v>22</v>
      </c>
      <c r="D34">
        <v>36980.1</v>
      </c>
      <c r="E34">
        <v>3</v>
      </c>
      <c r="F34">
        <v>110940.3</v>
      </c>
      <c r="G34" s="1">
        <v>45566</v>
      </c>
      <c r="H34" t="s">
        <v>42</v>
      </c>
      <c r="I34">
        <v>3.2</v>
      </c>
    </row>
    <row r="35" spans="1:9" x14ac:dyDescent="0.3">
      <c r="A35" t="s">
        <v>72</v>
      </c>
      <c r="B35" t="s">
        <v>32</v>
      </c>
      <c r="C35" t="s">
        <v>25</v>
      </c>
      <c r="D35">
        <v>38144.67</v>
      </c>
      <c r="E35">
        <v>2</v>
      </c>
      <c r="F35">
        <v>76289.34</v>
      </c>
      <c r="G35" s="1">
        <v>45488</v>
      </c>
      <c r="H35" t="s">
        <v>56</v>
      </c>
      <c r="I35">
        <v>3.1</v>
      </c>
    </row>
    <row r="36" spans="1:9" x14ac:dyDescent="0.3">
      <c r="A36" t="s">
        <v>73</v>
      </c>
      <c r="B36" t="s">
        <v>71</v>
      </c>
      <c r="C36" t="s">
        <v>22</v>
      </c>
      <c r="D36">
        <v>49355.45</v>
      </c>
      <c r="E36">
        <v>2</v>
      </c>
      <c r="F36">
        <v>98710.9</v>
      </c>
      <c r="G36" s="1">
        <v>45413</v>
      </c>
      <c r="H36" t="s">
        <v>42</v>
      </c>
      <c r="I36">
        <v>3.5</v>
      </c>
    </row>
    <row r="37" spans="1:9" x14ac:dyDescent="0.3">
      <c r="A37" t="s">
        <v>74</v>
      </c>
      <c r="B37" t="s">
        <v>75</v>
      </c>
      <c r="C37" t="s">
        <v>19</v>
      </c>
      <c r="D37">
        <v>12945.96</v>
      </c>
      <c r="E37">
        <v>3</v>
      </c>
      <c r="F37">
        <v>38837.879999999997</v>
      </c>
      <c r="G37" s="1">
        <v>45453</v>
      </c>
      <c r="H37" t="s">
        <v>28</v>
      </c>
      <c r="I37">
        <v>1.4</v>
      </c>
    </row>
    <row r="38" spans="1:9" x14ac:dyDescent="0.3">
      <c r="A38" t="s">
        <v>76</v>
      </c>
      <c r="B38" t="s">
        <v>38</v>
      </c>
      <c r="C38" t="s">
        <v>19</v>
      </c>
      <c r="D38">
        <v>34927.79</v>
      </c>
      <c r="E38">
        <v>4</v>
      </c>
      <c r="F38">
        <v>139711.16</v>
      </c>
      <c r="G38" s="1">
        <v>45470</v>
      </c>
      <c r="H38" t="s">
        <v>47</v>
      </c>
      <c r="I38">
        <v>1.1000000000000001</v>
      </c>
    </row>
    <row r="39" spans="1:9" x14ac:dyDescent="0.3">
      <c r="A39" t="s">
        <v>77</v>
      </c>
      <c r="B39" t="s">
        <v>32</v>
      </c>
      <c r="C39" t="s">
        <v>25</v>
      </c>
      <c r="D39">
        <v>3677.4</v>
      </c>
      <c r="E39">
        <v>3</v>
      </c>
      <c r="F39">
        <v>11032.2</v>
      </c>
      <c r="G39" s="1">
        <v>45504</v>
      </c>
      <c r="H39" t="s">
        <v>16</v>
      </c>
      <c r="I39">
        <v>3.7</v>
      </c>
    </row>
    <row r="40" spans="1:9" x14ac:dyDescent="0.3">
      <c r="A40" t="s">
        <v>78</v>
      </c>
      <c r="B40" t="s">
        <v>46</v>
      </c>
      <c r="C40" t="s">
        <v>11</v>
      </c>
      <c r="D40">
        <v>37004.54</v>
      </c>
      <c r="E40">
        <v>4</v>
      </c>
      <c r="F40">
        <v>148018.16</v>
      </c>
      <c r="G40" s="1">
        <v>45591</v>
      </c>
      <c r="H40" t="s">
        <v>12</v>
      </c>
      <c r="I40">
        <v>4</v>
      </c>
    </row>
    <row r="41" spans="1:9" x14ac:dyDescent="0.3">
      <c r="A41" t="s">
        <v>79</v>
      </c>
      <c r="B41" t="s">
        <v>50</v>
      </c>
      <c r="C41" t="s">
        <v>11</v>
      </c>
      <c r="D41">
        <v>27961.78</v>
      </c>
      <c r="E41">
        <v>5</v>
      </c>
      <c r="F41">
        <v>139808.9</v>
      </c>
      <c r="G41" s="1">
        <v>45345</v>
      </c>
      <c r="H41" t="s">
        <v>56</v>
      </c>
      <c r="I41">
        <v>4</v>
      </c>
    </row>
    <row r="42" spans="1:9" x14ac:dyDescent="0.3">
      <c r="A42" t="s">
        <v>80</v>
      </c>
      <c r="B42" t="s">
        <v>46</v>
      </c>
      <c r="C42" t="s">
        <v>11</v>
      </c>
      <c r="D42">
        <v>2655.8</v>
      </c>
      <c r="E42">
        <v>2</v>
      </c>
      <c r="F42">
        <v>5311.6</v>
      </c>
      <c r="G42" s="1">
        <v>45334</v>
      </c>
      <c r="H42" t="s">
        <v>56</v>
      </c>
      <c r="I42">
        <v>3.7</v>
      </c>
    </row>
    <row r="43" spans="1:9" x14ac:dyDescent="0.3">
      <c r="A43" t="s">
        <v>81</v>
      </c>
      <c r="B43" t="s">
        <v>82</v>
      </c>
      <c r="C43" t="s">
        <v>22</v>
      </c>
      <c r="D43">
        <v>965.51</v>
      </c>
      <c r="E43">
        <v>4</v>
      </c>
      <c r="F43">
        <v>3862.04</v>
      </c>
      <c r="G43" s="1">
        <v>45449</v>
      </c>
      <c r="H43" t="s">
        <v>42</v>
      </c>
      <c r="I43">
        <v>3.5</v>
      </c>
    </row>
    <row r="44" spans="1:9" x14ac:dyDescent="0.3">
      <c r="A44" t="s">
        <v>83</v>
      </c>
      <c r="B44" t="s">
        <v>60</v>
      </c>
      <c r="C44" t="s">
        <v>25</v>
      </c>
      <c r="D44">
        <v>2980.08</v>
      </c>
      <c r="E44">
        <v>3</v>
      </c>
      <c r="F44">
        <v>8940.24</v>
      </c>
      <c r="G44" s="1">
        <v>45640</v>
      </c>
      <c r="H44" t="s">
        <v>56</v>
      </c>
      <c r="I44">
        <v>4.2</v>
      </c>
    </row>
    <row r="45" spans="1:9" x14ac:dyDescent="0.3">
      <c r="A45" t="s">
        <v>84</v>
      </c>
      <c r="B45" t="s">
        <v>27</v>
      </c>
      <c r="C45" t="s">
        <v>25</v>
      </c>
      <c r="D45">
        <v>8598.58</v>
      </c>
      <c r="E45">
        <v>1</v>
      </c>
      <c r="F45">
        <v>8598.58</v>
      </c>
      <c r="G45" s="1">
        <v>45574</v>
      </c>
      <c r="H45" t="s">
        <v>12</v>
      </c>
      <c r="I45">
        <v>1.1000000000000001</v>
      </c>
    </row>
    <row r="46" spans="1:9" x14ac:dyDescent="0.3">
      <c r="A46" t="s">
        <v>85</v>
      </c>
      <c r="B46" t="s">
        <v>75</v>
      </c>
      <c r="C46" t="s">
        <v>19</v>
      </c>
      <c r="D46">
        <v>31850.15</v>
      </c>
      <c r="E46">
        <v>2</v>
      </c>
      <c r="F46">
        <v>63700.3</v>
      </c>
      <c r="G46" s="1">
        <v>45396</v>
      </c>
      <c r="H46" t="s">
        <v>56</v>
      </c>
      <c r="I46">
        <v>2.8</v>
      </c>
    </row>
    <row r="47" spans="1:9" x14ac:dyDescent="0.3">
      <c r="A47" t="s">
        <v>86</v>
      </c>
      <c r="B47" t="s">
        <v>21</v>
      </c>
      <c r="C47" t="s">
        <v>22</v>
      </c>
      <c r="D47">
        <v>33443.32</v>
      </c>
      <c r="E47">
        <v>5</v>
      </c>
      <c r="F47">
        <v>167216.6</v>
      </c>
      <c r="G47" s="1">
        <v>45337</v>
      </c>
      <c r="H47" t="s">
        <v>16</v>
      </c>
      <c r="I47">
        <v>2.4</v>
      </c>
    </row>
    <row r="48" spans="1:9" x14ac:dyDescent="0.3">
      <c r="A48" t="s">
        <v>87</v>
      </c>
      <c r="B48" t="s">
        <v>34</v>
      </c>
      <c r="C48" t="s">
        <v>15</v>
      </c>
      <c r="D48">
        <v>29592.5</v>
      </c>
      <c r="E48">
        <v>5</v>
      </c>
      <c r="F48">
        <v>147962.5</v>
      </c>
      <c r="G48" s="1">
        <v>45498</v>
      </c>
      <c r="H48" t="s">
        <v>56</v>
      </c>
      <c r="I48">
        <v>4.7</v>
      </c>
    </row>
    <row r="49" spans="1:9" x14ac:dyDescent="0.3">
      <c r="A49" t="s">
        <v>88</v>
      </c>
      <c r="B49" t="s">
        <v>69</v>
      </c>
      <c r="C49" t="s">
        <v>19</v>
      </c>
      <c r="D49">
        <v>11187.38</v>
      </c>
      <c r="E49">
        <v>4</v>
      </c>
      <c r="F49">
        <v>44749.52</v>
      </c>
      <c r="G49" s="1">
        <v>45465</v>
      </c>
      <c r="H49" t="s">
        <v>28</v>
      </c>
      <c r="I49">
        <v>2.2999999999999998</v>
      </c>
    </row>
    <row r="50" spans="1:9" x14ac:dyDescent="0.3">
      <c r="A50" t="s">
        <v>89</v>
      </c>
      <c r="B50" t="s">
        <v>60</v>
      </c>
      <c r="C50" t="s">
        <v>25</v>
      </c>
      <c r="D50">
        <v>23898.58</v>
      </c>
      <c r="E50">
        <v>5</v>
      </c>
      <c r="F50">
        <v>119492.9</v>
      </c>
      <c r="G50" s="1">
        <v>45624</v>
      </c>
      <c r="H50" t="s">
        <v>47</v>
      </c>
      <c r="I50">
        <v>3.3</v>
      </c>
    </row>
    <row r="51" spans="1:9" x14ac:dyDescent="0.3">
      <c r="A51" t="s">
        <v>90</v>
      </c>
      <c r="B51" t="s">
        <v>46</v>
      </c>
      <c r="C51" t="s">
        <v>11</v>
      </c>
      <c r="D51">
        <v>1391.49</v>
      </c>
      <c r="E51">
        <v>4</v>
      </c>
      <c r="F51">
        <v>5565.96</v>
      </c>
      <c r="G51" s="1">
        <v>45515</v>
      </c>
      <c r="H51" t="s">
        <v>47</v>
      </c>
      <c r="I51">
        <v>4.5</v>
      </c>
    </row>
    <row r="52" spans="1:9" x14ac:dyDescent="0.3">
      <c r="A52" t="s">
        <v>91</v>
      </c>
      <c r="B52" t="s">
        <v>14</v>
      </c>
      <c r="C52" t="s">
        <v>15</v>
      </c>
      <c r="D52">
        <v>18607.689999999999</v>
      </c>
      <c r="E52">
        <v>5</v>
      </c>
      <c r="F52">
        <v>93038.45</v>
      </c>
      <c r="G52" s="1">
        <v>45545</v>
      </c>
      <c r="H52" t="s">
        <v>42</v>
      </c>
      <c r="I52">
        <v>2.4</v>
      </c>
    </row>
    <row r="53" spans="1:9" x14ac:dyDescent="0.3">
      <c r="A53" t="s">
        <v>92</v>
      </c>
      <c r="B53" t="s">
        <v>93</v>
      </c>
      <c r="C53" t="s">
        <v>11</v>
      </c>
      <c r="D53">
        <v>46224.88</v>
      </c>
      <c r="E53">
        <v>3</v>
      </c>
      <c r="F53">
        <v>138674.64000000001</v>
      </c>
      <c r="G53" s="1">
        <v>45595</v>
      </c>
      <c r="H53" t="s">
        <v>47</v>
      </c>
      <c r="I53">
        <v>4.0999999999999996</v>
      </c>
    </row>
    <row r="54" spans="1:9" x14ac:dyDescent="0.3">
      <c r="A54" t="s">
        <v>94</v>
      </c>
      <c r="B54" t="s">
        <v>36</v>
      </c>
      <c r="C54" t="s">
        <v>22</v>
      </c>
      <c r="D54">
        <v>11864.13</v>
      </c>
      <c r="E54">
        <v>5</v>
      </c>
      <c r="F54">
        <v>59320.65</v>
      </c>
      <c r="G54" s="1">
        <v>45607</v>
      </c>
      <c r="H54" t="s">
        <v>12</v>
      </c>
      <c r="I54">
        <v>1.3</v>
      </c>
    </row>
    <row r="55" spans="1:9" x14ac:dyDescent="0.3">
      <c r="A55" t="s">
        <v>95</v>
      </c>
      <c r="B55" t="s">
        <v>46</v>
      </c>
      <c r="C55" t="s">
        <v>11</v>
      </c>
      <c r="D55">
        <v>7757.2</v>
      </c>
      <c r="E55">
        <v>5</v>
      </c>
      <c r="F55">
        <v>38786</v>
      </c>
      <c r="G55" s="1">
        <v>45618</v>
      </c>
      <c r="H55" t="s">
        <v>28</v>
      </c>
      <c r="I55">
        <v>2.2000000000000002</v>
      </c>
    </row>
    <row r="56" spans="1:9" x14ac:dyDescent="0.3">
      <c r="A56" t="s">
        <v>96</v>
      </c>
      <c r="B56" t="s">
        <v>21</v>
      </c>
      <c r="C56" t="s">
        <v>22</v>
      </c>
      <c r="D56">
        <v>29745</v>
      </c>
      <c r="E56">
        <v>1</v>
      </c>
      <c r="F56">
        <v>29745</v>
      </c>
      <c r="G56" s="1">
        <v>45569</v>
      </c>
      <c r="H56" t="s">
        <v>16</v>
      </c>
      <c r="I56">
        <v>3.6</v>
      </c>
    </row>
    <row r="57" spans="1:9" x14ac:dyDescent="0.3">
      <c r="A57" t="s">
        <v>97</v>
      </c>
      <c r="B57" t="s">
        <v>14</v>
      </c>
      <c r="C57" t="s">
        <v>15</v>
      </c>
      <c r="D57">
        <v>39176.54</v>
      </c>
      <c r="E57">
        <v>5</v>
      </c>
      <c r="F57">
        <v>195882.7</v>
      </c>
      <c r="G57" s="1">
        <v>45386</v>
      </c>
      <c r="H57" t="s">
        <v>56</v>
      </c>
      <c r="I57">
        <v>4.0999999999999996</v>
      </c>
    </row>
    <row r="58" spans="1:9" x14ac:dyDescent="0.3">
      <c r="A58" t="s">
        <v>98</v>
      </c>
      <c r="B58" t="s">
        <v>14</v>
      </c>
      <c r="C58" t="s">
        <v>15</v>
      </c>
      <c r="D58">
        <v>18075.189999999999</v>
      </c>
      <c r="E58">
        <v>5</v>
      </c>
      <c r="F58">
        <v>90375.95</v>
      </c>
      <c r="G58" s="1">
        <v>45538</v>
      </c>
      <c r="H58" t="s">
        <v>12</v>
      </c>
      <c r="I58">
        <v>1.7</v>
      </c>
    </row>
    <row r="59" spans="1:9" x14ac:dyDescent="0.3">
      <c r="A59" t="s">
        <v>99</v>
      </c>
      <c r="B59" t="s">
        <v>100</v>
      </c>
      <c r="C59" t="s">
        <v>11</v>
      </c>
      <c r="D59">
        <v>18830.59</v>
      </c>
      <c r="E59">
        <v>4</v>
      </c>
      <c r="F59">
        <v>75322.36</v>
      </c>
      <c r="G59" s="1">
        <v>45428</v>
      </c>
      <c r="H59" t="s">
        <v>56</v>
      </c>
      <c r="I59">
        <v>3.6</v>
      </c>
    </row>
    <row r="60" spans="1:9" x14ac:dyDescent="0.3">
      <c r="A60" t="s">
        <v>101</v>
      </c>
      <c r="B60" t="s">
        <v>82</v>
      </c>
      <c r="C60" t="s">
        <v>22</v>
      </c>
      <c r="D60">
        <v>38476.480000000003</v>
      </c>
      <c r="E60">
        <v>4</v>
      </c>
      <c r="F60">
        <v>153905.92000000001</v>
      </c>
      <c r="G60" s="1">
        <v>45534</v>
      </c>
      <c r="H60" t="s">
        <v>47</v>
      </c>
      <c r="I60">
        <v>2</v>
      </c>
    </row>
    <row r="61" spans="1:9" x14ac:dyDescent="0.3">
      <c r="A61" t="s">
        <v>102</v>
      </c>
      <c r="B61" t="s">
        <v>71</v>
      </c>
      <c r="C61" t="s">
        <v>22</v>
      </c>
      <c r="D61">
        <v>27120.36</v>
      </c>
      <c r="E61">
        <v>2</v>
      </c>
      <c r="F61">
        <v>54240.72</v>
      </c>
      <c r="G61" s="1">
        <v>45456</v>
      </c>
      <c r="H61" t="s">
        <v>47</v>
      </c>
      <c r="I61">
        <v>3.8</v>
      </c>
    </row>
    <row r="62" spans="1:9" x14ac:dyDescent="0.3">
      <c r="A62" t="s">
        <v>103</v>
      </c>
      <c r="B62" t="s">
        <v>50</v>
      </c>
      <c r="C62" t="s">
        <v>11</v>
      </c>
      <c r="D62">
        <v>31627</v>
      </c>
      <c r="E62">
        <v>5</v>
      </c>
      <c r="F62">
        <v>158135</v>
      </c>
      <c r="G62" s="1">
        <v>45501</v>
      </c>
      <c r="H62" t="s">
        <v>12</v>
      </c>
      <c r="I62">
        <v>3.1</v>
      </c>
    </row>
    <row r="63" spans="1:9" x14ac:dyDescent="0.3">
      <c r="A63" t="s">
        <v>104</v>
      </c>
      <c r="B63" t="s">
        <v>46</v>
      </c>
      <c r="C63" t="s">
        <v>11</v>
      </c>
      <c r="D63">
        <v>14505.79</v>
      </c>
      <c r="E63">
        <v>3</v>
      </c>
      <c r="F63">
        <v>43517.37</v>
      </c>
      <c r="G63" s="1">
        <v>45483</v>
      </c>
      <c r="H63" t="s">
        <v>16</v>
      </c>
      <c r="I63">
        <v>3.9</v>
      </c>
    </row>
    <row r="64" spans="1:9" x14ac:dyDescent="0.3">
      <c r="A64" t="s">
        <v>105</v>
      </c>
      <c r="B64" t="s">
        <v>21</v>
      </c>
      <c r="C64" t="s">
        <v>22</v>
      </c>
      <c r="D64">
        <v>15229.67</v>
      </c>
      <c r="E64">
        <v>3</v>
      </c>
      <c r="F64">
        <v>45689.01</v>
      </c>
      <c r="G64" s="1">
        <v>45494</v>
      </c>
      <c r="H64" t="s">
        <v>47</v>
      </c>
      <c r="I64">
        <v>2.7</v>
      </c>
    </row>
    <row r="65" spans="1:9" x14ac:dyDescent="0.3">
      <c r="A65" t="s">
        <v>106</v>
      </c>
      <c r="B65" t="s">
        <v>32</v>
      </c>
      <c r="C65" t="s">
        <v>25</v>
      </c>
      <c r="D65">
        <v>2158.12</v>
      </c>
      <c r="E65">
        <v>3</v>
      </c>
      <c r="F65">
        <v>6474.36</v>
      </c>
      <c r="G65" s="1">
        <v>45659</v>
      </c>
      <c r="H65" t="s">
        <v>42</v>
      </c>
      <c r="I65">
        <v>3.4</v>
      </c>
    </row>
    <row r="66" spans="1:9" x14ac:dyDescent="0.3">
      <c r="A66" t="s">
        <v>107</v>
      </c>
      <c r="B66" t="s">
        <v>40</v>
      </c>
      <c r="C66" t="s">
        <v>19</v>
      </c>
      <c r="D66">
        <v>11106.19</v>
      </c>
      <c r="E66">
        <v>2</v>
      </c>
      <c r="F66">
        <v>22212.38</v>
      </c>
      <c r="G66" s="1">
        <v>45648</v>
      </c>
      <c r="H66" t="s">
        <v>28</v>
      </c>
      <c r="I66">
        <v>1.1000000000000001</v>
      </c>
    </row>
    <row r="67" spans="1:9" x14ac:dyDescent="0.3">
      <c r="A67" t="s">
        <v>108</v>
      </c>
      <c r="B67" t="s">
        <v>10</v>
      </c>
      <c r="C67" t="s">
        <v>11</v>
      </c>
      <c r="D67">
        <v>21690.55</v>
      </c>
      <c r="E67">
        <v>2</v>
      </c>
      <c r="F67">
        <v>43381.1</v>
      </c>
      <c r="G67" s="1">
        <v>45624</v>
      </c>
      <c r="H67" t="s">
        <v>47</v>
      </c>
      <c r="I67">
        <v>1.9</v>
      </c>
    </row>
    <row r="68" spans="1:9" x14ac:dyDescent="0.3">
      <c r="A68" t="s">
        <v>109</v>
      </c>
      <c r="B68" t="s">
        <v>69</v>
      </c>
      <c r="C68" t="s">
        <v>19</v>
      </c>
      <c r="D68">
        <v>4225.6899999999996</v>
      </c>
      <c r="E68">
        <v>4</v>
      </c>
      <c r="F68">
        <v>16902.759999999998</v>
      </c>
      <c r="G68" s="1">
        <v>45418</v>
      </c>
      <c r="H68" t="s">
        <v>47</v>
      </c>
      <c r="I68">
        <v>2.5</v>
      </c>
    </row>
    <row r="69" spans="1:9" x14ac:dyDescent="0.3">
      <c r="A69" t="s">
        <v>110</v>
      </c>
      <c r="B69" t="s">
        <v>21</v>
      </c>
      <c r="C69" t="s">
        <v>22</v>
      </c>
      <c r="D69">
        <v>23621.02</v>
      </c>
      <c r="E69">
        <v>1</v>
      </c>
      <c r="F69">
        <v>23621.02</v>
      </c>
      <c r="G69" s="1">
        <v>45348</v>
      </c>
      <c r="H69" t="s">
        <v>28</v>
      </c>
      <c r="I69">
        <v>4.7</v>
      </c>
    </row>
    <row r="70" spans="1:9" x14ac:dyDescent="0.3">
      <c r="A70" t="s">
        <v>111</v>
      </c>
      <c r="B70" t="s">
        <v>10</v>
      </c>
      <c r="C70" t="s">
        <v>11</v>
      </c>
      <c r="D70">
        <v>38937.919999999998</v>
      </c>
      <c r="E70">
        <v>3</v>
      </c>
      <c r="F70">
        <v>116813.75999999999</v>
      </c>
      <c r="G70" s="1">
        <v>45390</v>
      </c>
      <c r="H70" t="s">
        <v>47</v>
      </c>
      <c r="I70">
        <v>3.4</v>
      </c>
    </row>
    <row r="71" spans="1:9" x14ac:dyDescent="0.3">
      <c r="A71" t="s">
        <v>112</v>
      </c>
      <c r="B71" t="s">
        <v>24</v>
      </c>
      <c r="C71" t="s">
        <v>25</v>
      </c>
      <c r="D71">
        <v>2707.97</v>
      </c>
      <c r="E71">
        <v>1</v>
      </c>
      <c r="F71">
        <v>2707.97</v>
      </c>
      <c r="G71" s="1">
        <v>45410</v>
      </c>
      <c r="H71" t="s">
        <v>56</v>
      </c>
      <c r="I71">
        <v>1.2</v>
      </c>
    </row>
    <row r="72" spans="1:9" x14ac:dyDescent="0.3">
      <c r="A72" t="s">
        <v>113</v>
      </c>
      <c r="B72" t="s">
        <v>18</v>
      </c>
      <c r="C72" t="s">
        <v>19</v>
      </c>
      <c r="D72">
        <v>23715.42</v>
      </c>
      <c r="E72">
        <v>4</v>
      </c>
      <c r="F72">
        <v>94861.68</v>
      </c>
      <c r="G72" s="1">
        <v>45375</v>
      </c>
      <c r="H72" t="s">
        <v>42</v>
      </c>
      <c r="I72">
        <v>2</v>
      </c>
    </row>
    <row r="73" spans="1:9" x14ac:dyDescent="0.3">
      <c r="A73" t="s">
        <v>114</v>
      </c>
      <c r="B73" t="s">
        <v>36</v>
      </c>
      <c r="C73" t="s">
        <v>22</v>
      </c>
      <c r="D73">
        <v>9083.5</v>
      </c>
      <c r="E73">
        <v>2</v>
      </c>
      <c r="F73">
        <v>18167</v>
      </c>
      <c r="G73" s="1">
        <v>45478</v>
      </c>
      <c r="H73" t="s">
        <v>16</v>
      </c>
      <c r="I73">
        <v>1.8</v>
      </c>
    </row>
    <row r="74" spans="1:9" x14ac:dyDescent="0.3">
      <c r="A74" t="s">
        <v>115</v>
      </c>
      <c r="B74" t="s">
        <v>40</v>
      </c>
      <c r="C74" t="s">
        <v>19</v>
      </c>
      <c r="D74">
        <v>26379.35</v>
      </c>
      <c r="E74">
        <v>4</v>
      </c>
      <c r="F74">
        <v>105517.4</v>
      </c>
      <c r="G74" s="1">
        <v>45542</v>
      </c>
      <c r="H74" t="s">
        <v>16</v>
      </c>
      <c r="I74">
        <v>3</v>
      </c>
    </row>
    <row r="75" spans="1:9" x14ac:dyDescent="0.3">
      <c r="A75" t="s">
        <v>116</v>
      </c>
      <c r="B75" t="s">
        <v>34</v>
      </c>
      <c r="C75" t="s">
        <v>15</v>
      </c>
      <c r="D75">
        <v>34023.96</v>
      </c>
      <c r="E75">
        <v>3</v>
      </c>
      <c r="F75">
        <v>102071.88</v>
      </c>
      <c r="G75" s="1">
        <v>45335</v>
      </c>
      <c r="H75" t="s">
        <v>47</v>
      </c>
      <c r="I75">
        <v>4.5999999999999996</v>
      </c>
    </row>
    <row r="76" spans="1:9" x14ac:dyDescent="0.3">
      <c r="A76" t="s">
        <v>117</v>
      </c>
      <c r="B76" t="s">
        <v>30</v>
      </c>
      <c r="C76" t="s">
        <v>15</v>
      </c>
      <c r="D76">
        <v>1542.1</v>
      </c>
      <c r="E76">
        <v>4</v>
      </c>
      <c r="F76">
        <v>6168.4</v>
      </c>
      <c r="G76" s="1">
        <v>45529</v>
      </c>
      <c r="H76" t="s">
        <v>47</v>
      </c>
      <c r="I76">
        <v>1</v>
      </c>
    </row>
    <row r="77" spans="1:9" x14ac:dyDescent="0.3">
      <c r="A77" t="s">
        <v>118</v>
      </c>
      <c r="B77" t="s">
        <v>93</v>
      </c>
      <c r="C77" t="s">
        <v>11</v>
      </c>
      <c r="D77">
        <v>42981.08</v>
      </c>
      <c r="E77">
        <v>3</v>
      </c>
      <c r="F77">
        <v>128943.24</v>
      </c>
      <c r="G77" s="1">
        <v>45376</v>
      </c>
      <c r="H77" t="s">
        <v>42</v>
      </c>
      <c r="I77">
        <v>3.8</v>
      </c>
    </row>
    <row r="78" spans="1:9" x14ac:dyDescent="0.3">
      <c r="A78" t="s">
        <v>119</v>
      </c>
      <c r="B78" t="s">
        <v>120</v>
      </c>
      <c r="C78" t="s">
        <v>25</v>
      </c>
      <c r="D78">
        <v>46338.29</v>
      </c>
      <c r="E78">
        <v>5</v>
      </c>
      <c r="F78">
        <v>231691.45</v>
      </c>
      <c r="G78" s="1">
        <v>45373</v>
      </c>
      <c r="H78" t="s">
        <v>42</v>
      </c>
      <c r="I78">
        <v>3.4</v>
      </c>
    </row>
    <row r="79" spans="1:9" x14ac:dyDescent="0.3">
      <c r="A79" t="s">
        <v>121</v>
      </c>
      <c r="B79" t="s">
        <v>82</v>
      </c>
      <c r="C79" t="s">
        <v>22</v>
      </c>
      <c r="D79">
        <v>34161.440000000002</v>
      </c>
      <c r="E79">
        <v>1</v>
      </c>
      <c r="F79">
        <v>34161.440000000002</v>
      </c>
      <c r="G79" s="1">
        <v>45473</v>
      </c>
      <c r="H79" t="s">
        <v>28</v>
      </c>
      <c r="I79">
        <v>2.4</v>
      </c>
    </row>
    <row r="80" spans="1:9" x14ac:dyDescent="0.3">
      <c r="A80" t="s">
        <v>122</v>
      </c>
      <c r="B80" t="s">
        <v>40</v>
      </c>
      <c r="C80" t="s">
        <v>19</v>
      </c>
      <c r="D80">
        <v>21317.31</v>
      </c>
      <c r="E80">
        <v>5</v>
      </c>
      <c r="F80">
        <v>106586.55</v>
      </c>
      <c r="G80" s="1">
        <v>45489</v>
      </c>
      <c r="H80" t="s">
        <v>47</v>
      </c>
      <c r="I80">
        <v>4</v>
      </c>
    </row>
    <row r="81" spans="1:9" x14ac:dyDescent="0.3">
      <c r="A81" t="s">
        <v>123</v>
      </c>
      <c r="B81" t="s">
        <v>18</v>
      </c>
      <c r="C81" t="s">
        <v>19</v>
      </c>
      <c r="D81">
        <v>46011.839999999997</v>
      </c>
      <c r="E81">
        <v>4</v>
      </c>
      <c r="F81">
        <v>184047.35999999999</v>
      </c>
      <c r="G81" s="1">
        <v>45413</v>
      </c>
      <c r="H81" t="s">
        <v>42</v>
      </c>
      <c r="I81">
        <v>3.3</v>
      </c>
    </row>
    <row r="82" spans="1:9" x14ac:dyDescent="0.3">
      <c r="A82" t="s">
        <v>124</v>
      </c>
      <c r="B82" t="s">
        <v>38</v>
      </c>
      <c r="C82" t="s">
        <v>19</v>
      </c>
      <c r="D82">
        <v>2097.9899999999998</v>
      </c>
      <c r="E82">
        <v>1</v>
      </c>
      <c r="F82">
        <v>2097.9899999999998</v>
      </c>
      <c r="G82" s="1">
        <v>45697</v>
      </c>
      <c r="H82" t="s">
        <v>12</v>
      </c>
      <c r="I82">
        <v>3.2</v>
      </c>
    </row>
    <row r="83" spans="1:9" x14ac:dyDescent="0.3">
      <c r="A83" t="s">
        <v>125</v>
      </c>
      <c r="B83" t="s">
        <v>44</v>
      </c>
      <c r="C83" t="s">
        <v>22</v>
      </c>
      <c r="D83">
        <v>17104.91</v>
      </c>
      <c r="E83">
        <v>3</v>
      </c>
      <c r="F83">
        <v>51314.73</v>
      </c>
      <c r="G83" s="1">
        <v>45636</v>
      </c>
      <c r="H83" t="s">
        <v>47</v>
      </c>
      <c r="I83">
        <v>2.7</v>
      </c>
    </row>
    <row r="84" spans="1:9" x14ac:dyDescent="0.3">
      <c r="A84" t="s">
        <v>126</v>
      </c>
      <c r="B84" t="s">
        <v>120</v>
      </c>
      <c r="C84" t="s">
        <v>25</v>
      </c>
      <c r="D84">
        <v>29326.6</v>
      </c>
      <c r="E84">
        <v>3</v>
      </c>
      <c r="F84">
        <v>87979.8</v>
      </c>
      <c r="G84" s="1">
        <v>45603</v>
      </c>
      <c r="H84" t="s">
        <v>47</v>
      </c>
      <c r="I84">
        <v>4.9000000000000004</v>
      </c>
    </row>
    <row r="85" spans="1:9" x14ac:dyDescent="0.3">
      <c r="A85" t="s">
        <v>127</v>
      </c>
      <c r="B85" t="s">
        <v>82</v>
      </c>
      <c r="C85" t="s">
        <v>22</v>
      </c>
      <c r="D85">
        <v>28892.73</v>
      </c>
      <c r="E85">
        <v>4</v>
      </c>
      <c r="F85">
        <v>115570.92</v>
      </c>
      <c r="G85" s="1">
        <v>45607</v>
      </c>
      <c r="H85" t="s">
        <v>42</v>
      </c>
      <c r="I85">
        <v>1.3</v>
      </c>
    </row>
    <row r="86" spans="1:9" x14ac:dyDescent="0.3">
      <c r="A86" t="s">
        <v>128</v>
      </c>
      <c r="B86" t="s">
        <v>36</v>
      </c>
      <c r="C86" t="s">
        <v>22</v>
      </c>
      <c r="D86">
        <v>35033.120000000003</v>
      </c>
      <c r="E86">
        <v>4</v>
      </c>
      <c r="F86">
        <v>140132.48000000001</v>
      </c>
      <c r="G86" s="1">
        <v>45629</v>
      </c>
      <c r="H86" t="s">
        <v>16</v>
      </c>
      <c r="I86">
        <v>4.7</v>
      </c>
    </row>
    <row r="87" spans="1:9" x14ac:dyDescent="0.3">
      <c r="A87" t="s">
        <v>129</v>
      </c>
      <c r="B87" t="s">
        <v>14</v>
      </c>
      <c r="C87" t="s">
        <v>15</v>
      </c>
      <c r="D87">
        <v>40069.300000000003</v>
      </c>
      <c r="E87">
        <v>3</v>
      </c>
      <c r="F87">
        <v>120207.9</v>
      </c>
      <c r="G87" s="1">
        <v>45592</v>
      </c>
      <c r="H87" t="s">
        <v>12</v>
      </c>
      <c r="I87">
        <v>2.4</v>
      </c>
    </row>
    <row r="88" spans="1:9" x14ac:dyDescent="0.3">
      <c r="A88" t="s">
        <v>130</v>
      </c>
      <c r="B88" t="s">
        <v>46</v>
      </c>
      <c r="C88" t="s">
        <v>11</v>
      </c>
      <c r="D88">
        <v>20613.14</v>
      </c>
      <c r="E88">
        <v>4</v>
      </c>
      <c r="F88">
        <v>82452.56</v>
      </c>
      <c r="G88" s="1">
        <v>45442</v>
      </c>
      <c r="H88" t="s">
        <v>16</v>
      </c>
      <c r="I88">
        <v>3.4</v>
      </c>
    </row>
    <row r="89" spans="1:9" x14ac:dyDescent="0.3">
      <c r="A89" t="s">
        <v>131</v>
      </c>
      <c r="B89" t="s">
        <v>24</v>
      </c>
      <c r="C89" t="s">
        <v>25</v>
      </c>
      <c r="D89">
        <v>3432</v>
      </c>
      <c r="E89">
        <v>5</v>
      </c>
      <c r="F89">
        <v>17160</v>
      </c>
      <c r="G89" s="1">
        <v>45394</v>
      </c>
      <c r="H89" t="s">
        <v>47</v>
      </c>
      <c r="I89">
        <v>3.4</v>
      </c>
    </row>
    <row r="90" spans="1:9" x14ac:dyDescent="0.3">
      <c r="A90" t="s">
        <v>132</v>
      </c>
      <c r="B90" t="s">
        <v>75</v>
      </c>
      <c r="C90" t="s">
        <v>19</v>
      </c>
      <c r="D90">
        <v>25752.65</v>
      </c>
      <c r="E90">
        <v>3</v>
      </c>
      <c r="F90">
        <v>77257.95</v>
      </c>
      <c r="G90" s="1">
        <v>45471</v>
      </c>
      <c r="H90" t="s">
        <v>56</v>
      </c>
      <c r="I90">
        <v>2.5</v>
      </c>
    </row>
    <row r="91" spans="1:9" x14ac:dyDescent="0.3">
      <c r="A91" t="s">
        <v>133</v>
      </c>
      <c r="B91" t="s">
        <v>21</v>
      </c>
      <c r="C91" t="s">
        <v>22</v>
      </c>
      <c r="D91">
        <v>30238.47</v>
      </c>
      <c r="E91">
        <v>2</v>
      </c>
      <c r="F91">
        <v>60476.94</v>
      </c>
      <c r="G91" s="1">
        <v>45559</v>
      </c>
      <c r="H91" t="s">
        <v>56</v>
      </c>
      <c r="I91">
        <v>4</v>
      </c>
    </row>
    <row r="92" spans="1:9" x14ac:dyDescent="0.3">
      <c r="A92" t="s">
        <v>134</v>
      </c>
      <c r="B92" t="s">
        <v>60</v>
      </c>
      <c r="C92" t="s">
        <v>25</v>
      </c>
      <c r="D92">
        <v>34293.379999999997</v>
      </c>
      <c r="E92">
        <v>4</v>
      </c>
      <c r="F92">
        <v>137173.51999999999</v>
      </c>
      <c r="G92" s="1">
        <v>45383</v>
      </c>
      <c r="H92" t="s">
        <v>56</v>
      </c>
      <c r="I92">
        <v>4.4000000000000004</v>
      </c>
    </row>
    <row r="93" spans="1:9" x14ac:dyDescent="0.3">
      <c r="A93" t="s">
        <v>135</v>
      </c>
      <c r="B93" t="s">
        <v>38</v>
      </c>
      <c r="C93" t="s">
        <v>19</v>
      </c>
      <c r="D93">
        <v>19498.32</v>
      </c>
      <c r="E93">
        <v>2</v>
      </c>
      <c r="F93">
        <v>38996.639999999999</v>
      </c>
      <c r="G93" s="1">
        <v>45619</v>
      </c>
      <c r="H93" t="s">
        <v>47</v>
      </c>
      <c r="I93">
        <v>3.6</v>
      </c>
    </row>
    <row r="94" spans="1:9" x14ac:dyDescent="0.3">
      <c r="A94" t="s">
        <v>136</v>
      </c>
      <c r="B94" t="s">
        <v>54</v>
      </c>
      <c r="C94" t="s">
        <v>15</v>
      </c>
      <c r="D94">
        <v>39355.589999999997</v>
      </c>
      <c r="E94">
        <v>1</v>
      </c>
      <c r="F94">
        <v>39355.589999999997</v>
      </c>
      <c r="G94" s="1">
        <v>45587</v>
      </c>
      <c r="H94" t="s">
        <v>28</v>
      </c>
      <c r="I94">
        <v>2.9</v>
      </c>
    </row>
    <row r="95" spans="1:9" x14ac:dyDescent="0.3">
      <c r="A95" t="s">
        <v>137</v>
      </c>
      <c r="B95" t="s">
        <v>50</v>
      </c>
      <c r="C95" t="s">
        <v>11</v>
      </c>
      <c r="D95">
        <v>26575.86</v>
      </c>
      <c r="E95">
        <v>2</v>
      </c>
      <c r="F95">
        <v>53151.72</v>
      </c>
      <c r="G95" s="1">
        <v>45435</v>
      </c>
      <c r="H95" t="s">
        <v>28</v>
      </c>
      <c r="I95">
        <v>2</v>
      </c>
    </row>
    <row r="96" spans="1:9" x14ac:dyDescent="0.3">
      <c r="A96" t="s">
        <v>138</v>
      </c>
      <c r="B96" t="s">
        <v>82</v>
      </c>
      <c r="C96" t="s">
        <v>22</v>
      </c>
      <c r="D96">
        <v>12506.31</v>
      </c>
      <c r="E96">
        <v>3</v>
      </c>
      <c r="F96">
        <v>37518.93</v>
      </c>
      <c r="G96" s="1">
        <v>45669</v>
      </c>
      <c r="H96" t="s">
        <v>16</v>
      </c>
      <c r="I96">
        <v>1.4</v>
      </c>
    </row>
    <row r="97" spans="1:9" x14ac:dyDescent="0.3">
      <c r="A97" t="s">
        <v>139</v>
      </c>
      <c r="B97" t="s">
        <v>54</v>
      </c>
      <c r="C97" t="s">
        <v>15</v>
      </c>
      <c r="D97">
        <v>19180.77</v>
      </c>
      <c r="E97">
        <v>3</v>
      </c>
      <c r="F97">
        <v>57542.31</v>
      </c>
      <c r="G97" s="1">
        <v>45685</v>
      </c>
      <c r="H97" t="s">
        <v>28</v>
      </c>
      <c r="I97">
        <v>3.9</v>
      </c>
    </row>
    <row r="98" spans="1:9" x14ac:dyDescent="0.3">
      <c r="A98" t="s">
        <v>140</v>
      </c>
      <c r="B98" t="s">
        <v>60</v>
      </c>
      <c r="C98" t="s">
        <v>25</v>
      </c>
      <c r="D98">
        <v>8877.51</v>
      </c>
      <c r="E98">
        <v>5</v>
      </c>
      <c r="F98">
        <v>44387.55</v>
      </c>
      <c r="G98" s="1">
        <v>45443</v>
      </c>
      <c r="H98" t="s">
        <v>16</v>
      </c>
      <c r="I98">
        <v>2.5</v>
      </c>
    </row>
    <row r="99" spans="1:9" x14ac:dyDescent="0.3">
      <c r="A99" t="s">
        <v>141</v>
      </c>
      <c r="B99" t="s">
        <v>30</v>
      </c>
      <c r="C99" t="s">
        <v>15</v>
      </c>
      <c r="D99">
        <v>32348.92</v>
      </c>
      <c r="E99">
        <v>2</v>
      </c>
      <c r="F99">
        <v>64697.84</v>
      </c>
      <c r="G99" s="1">
        <v>45690</v>
      </c>
      <c r="H99" t="s">
        <v>47</v>
      </c>
      <c r="I99">
        <v>3.1</v>
      </c>
    </row>
    <row r="100" spans="1:9" x14ac:dyDescent="0.3">
      <c r="A100" t="s">
        <v>142</v>
      </c>
      <c r="B100" t="s">
        <v>21</v>
      </c>
      <c r="C100" t="s">
        <v>22</v>
      </c>
      <c r="D100">
        <v>19375.759999999998</v>
      </c>
      <c r="E100">
        <v>2</v>
      </c>
      <c r="F100">
        <v>38751.519999999997</v>
      </c>
      <c r="G100" s="1">
        <v>45632</v>
      </c>
      <c r="H100" t="s">
        <v>47</v>
      </c>
      <c r="I100">
        <v>2.1</v>
      </c>
    </row>
    <row r="101" spans="1:9" x14ac:dyDescent="0.3">
      <c r="A101" t="s">
        <v>143</v>
      </c>
      <c r="B101" t="s">
        <v>10</v>
      </c>
      <c r="C101" t="s">
        <v>11</v>
      </c>
      <c r="D101">
        <v>48157.93</v>
      </c>
      <c r="E101">
        <v>1</v>
      </c>
      <c r="F101">
        <v>48157.93</v>
      </c>
      <c r="G101" s="1">
        <v>45540</v>
      </c>
      <c r="H101" t="s">
        <v>42</v>
      </c>
      <c r="I101">
        <v>2.4</v>
      </c>
    </row>
    <row r="102" spans="1:9" x14ac:dyDescent="0.3">
      <c r="A102" t="s">
        <v>144</v>
      </c>
      <c r="B102" t="s">
        <v>71</v>
      </c>
      <c r="C102" t="s">
        <v>22</v>
      </c>
      <c r="D102">
        <v>4360.05</v>
      </c>
      <c r="E102">
        <v>4</v>
      </c>
      <c r="F102">
        <v>17440.2</v>
      </c>
      <c r="G102" s="1">
        <v>45675</v>
      </c>
      <c r="H102" t="s">
        <v>28</v>
      </c>
      <c r="I102">
        <v>3.3</v>
      </c>
    </row>
    <row r="103" spans="1:9" x14ac:dyDescent="0.3">
      <c r="A103" t="s">
        <v>145</v>
      </c>
      <c r="B103" t="s">
        <v>34</v>
      </c>
      <c r="C103" t="s">
        <v>15</v>
      </c>
      <c r="D103">
        <v>38093.14</v>
      </c>
      <c r="E103">
        <v>1</v>
      </c>
      <c r="F103">
        <v>38093.14</v>
      </c>
      <c r="G103" s="1">
        <v>45587</v>
      </c>
      <c r="H103" t="s">
        <v>47</v>
      </c>
      <c r="I103">
        <v>3</v>
      </c>
    </row>
    <row r="104" spans="1:9" x14ac:dyDescent="0.3">
      <c r="A104" t="s">
        <v>146</v>
      </c>
      <c r="B104" t="s">
        <v>10</v>
      </c>
      <c r="C104" t="s">
        <v>11</v>
      </c>
      <c r="D104">
        <v>32788.199999999997</v>
      </c>
      <c r="E104">
        <v>5</v>
      </c>
      <c r="F104">
        <v>163941</v>
      </c>
      <c r="G104" s="1">
        <v>45480</v>
      </c>
      <c r="H104" t="s">
        <v>47</v>
      </c>
      <c r="I104">
        <v>4</v>
      </c>
    </row>
    <row r="105" spans="1:9" x14ac:dyDescent="0.3">
      <c r="A105" t="s">
        <v>147</v>
      </c>
      <c r="B105" t="s">
        <v>46</v>
      </c>
      <c r="C105" t="s">
        <v>11</v>
      </c>
      <c r="D105">
        <v>42715.55</v>
      </c>
      <c r="E105">
        <v>1</v>
      </c>
      <c r="F105">
        <v>42715.55</v>
      </c>
      <c r="G105" s="1">
        <v>45487</v>
      </c>
      <c r="H105" t="s">
        <v>47</v>
      </c>
      <c r="I105">
        <v>4.4000000000000004</v>
      </c>
    </row>
    <row r="106" spans="1:9" x14ac:dyDescent="0.3">
      <c r="A106" t="s">
        <v>148</v>
      </c>
      <c r="B106" t="s">
        <v>38</v>
      </c>
      <c r="C106" t="s">
        <v>19</v>
      </c>
      <c r="D106">
        <v>28758.42</v>
      </c>
      <c r="E106">
        <v>5</v>
      </c>
      <c r="F106">
        <v>143792.1</v>
      </c>
      <c r="G106" s="1">
        <v>45557</v>
      </c>
      <c r="H106" t="s">
        <v>56</v>
      </c>
      <c r="I106">
        <v>3.7</v>
      </c>
    </row>
    <row r="107" spans="1:9" x14ac:dyDescent="0.3">
      <c r="A107" t="s">
        <v>149</v>
      </c>
      <c r="B107" t="s">
        <v>10</v>
      </c>
      <c r="C107" t="s">
        <v>11</v>
      </c>
      <c r="D107">
        <v>22555.21</v>
      </c>
      <c r="E107">
        <v>2</v>
      </c>
      <c r="F107">
        <v>45110.42</v>
      </c>
      <c r="G107" s="1">
        <v>45422</v>
      </c>
      <c r="H107" t="s">
        <v>16</v>
      </c>
      <c r="I107">
        <v>4.3</v>
      </c>
    </row>
    <row r="108" spans="1:9" x14ac:dyDescent="0.3">
      <c r="A108" t="s">
        <v>150</v>
      </c>
      <c r="B108" t="s">
        <v>151</v>
      </c>
      <c r="C108" t="s">
        <v>15</v>
      </c>
      <c r="D108">
        <v>33613.18</v>
      </c>
      <c r="E108">
        <v>1</v>
      </c>
      <c r="F108">
        <v>33613.18</v>
      </c>
      <c r="G108" s="1">
        <v>45528</v>
      </c>
      <c r="H108" t="s">
        <v>28</v>
      </c>
      <c r="I108">
        <v>3.5</v>
      </c>
    </row>
    <row r="109" spans="1:9" x14ac:dyDescent="0.3">
      <c r="A109" t="s">
        <v>152</v>
      </c>
      <c r="B109" t="s">
        <v>54</v>
      </c>
      <c r="C109" t="s">
        <v>15</v>
      </c>
      <c r="D109">
        <v>44639</v>
      </c>
      <c r="E109">
        <v>5</v>
      </c>
      <c r="F109">
        <v>223195</v>
      </c>
      <c r="G109" s="1">
        <v>45416</v>
      </c>
      <c r="H109" t="s">
        <v>47</v>
      </c>
      <c r="I109">
        <v>1.1000000000000001</v>
      </c>
    </row>
    <row r="110" spans="1:9" x14ac:dyDescent="0.3">
      <c r="A110" t="s">
        <v>153</v>
      </c>
      <c r="B110" t="s">
        <v>14</v>
      </c>
      <c r="C110" t="s">
        <v>15</v>
      </c>
      <c r="D110">
        <v>11785.4</v>
      </c>
      <c r="E110">
        <v>5</v>
      </c>
      <c r="F110">
        <v>58927</v>
      </c>
      <c r="G110" s="1">
        <v>45468</v>
      </c>
      <c r="H110" t="s">
        <v>28</v>
      </c>
      <c r="I110">
        <v>1.6</v>
      </c>
    </row>
    <row r="111" spans="1:9" x14ac:dyDescent="0.3">
      <c r="A111" t="s">
        <v>154</v>
      </c>
      <c r="B111" t="s">
        <v>100</v>
      </c>
      <c r="C111" t="s">
        <v>11</v>
      </c>
      <c r="D111">
        <v>30826.720000000001</v>
      </c>
      <c r="E111">
        <v>1</v>
      </c>
      <c r="F111">
        <v>30826.720000000001</v>
      </c>
      <c r="G111" s="1">
        <v>45508</v>
      </c>
      <c r="H111" t="s">
        <v>16</v>
      </c>
      <c r="I111">
        <v>3.9</v>
      </c>
    </row>
    <row r="112" spans="1:9" x14ac:dyDescent="0.3">
      <c r="A112" t="s">
        <v>155</v>
      </c>
      <c r="B112" t="s">
        <v>34</v>
      </c>
      <c r="C112" t="s">
        <v>15</v>
      </c>
      <c r="D112">
        <v>35811.1</v>
      </c>
      <c r="E112">
        <v>4</v>
      </c>
      <c r="F112">
        <v>143244.4</v>
      </c>
      <c r="G112" s="1">
        <v>45546</v>
      </c>
      <c r="H112" t="s">
        <v>56</v>
      </c>
      <c r="I112">
        <v>1.9</v>
      </c>
    </row>
    <row r="113" spans="1:9" x14ac:dyDescent="0.3">
      <c r="A113" t="s">
        <v>156</v>
      </c>
      <c r="B113" t="s">
        <v>75</v>
      </c>
      <c r="C113" t="s">
        <v>19</v>
      </c>
      <c r="D113">
        <v>45387.99</v>
      </c>
      <c r="E113">
        <v>3</v>
      </c>
      <c r="F113">
        <v>136163.97</v>
      </c>
      <c r="G113" s="1">
        <v>45649</v>
      </c>
      <c r="H113" t="s">
        <v>42</v>
      </c>
      <c r="I113">
        <v>4.8</v>
      </c>
    </row>
    <row r="114" spans="1:9" x14ac:dyDescent="0.3">
      <c r="A114" t="s">
        <v>157</v>
      </c>
      <c r="B114" t="s">
        <v>120</v>
      </c>
      <c r="C114" t="s">
        <v>25</v>
      </c>
      <c r="D114">
        <v>39263.94</v>
      </c>
      <c r="E114">
        <v>5</v>
      </c>
      <c r="F114">
        <v>196319.7</v>
      </c>
      <c r="G114" s="1">
        <v>45509</v>
      </c>
      <c r="H114" t="s">
        <v>28</v>
      </c>
      <c r="I114">
        <v>3.8</v>
      </c>
    </row>
    <row r="115" spans="1:9" x14ac:dyDescent="0.3">
      <c r="A115" t="s">
        <v>158</v>
      </c>
      <c r="B115" t="s">
        <v>10</v>
      </c>
      <c r="C115" t="s">
        <v>11</v>
      </c>
      <c r="D115">
        <v>19787.61</v>
      </c>
      <c r="E115">
        <v>1</v>
      </c>
      <c r="F115">
        <v>19787.61</v>
      </c>
      <c r="G115" s="1">
        <v>45572</v>
      </c>
      <c r="H115" t="s">
        <v>12</v>
      </c>
      <c r="I115">
        <v>3.9</v>
      </c>
    </row>
    <row r="116" spans="1:9" x14ac:dyDescent="0.3">
      <c r="A116" t="s">
        <v>159</v>
      </c>
      <c r="B116" t="s">
        <v>34</v>
      </c>
      <c r="C116" t="s">
        <v>15</v>
      </c>
      <c r="D116">
        <v>26219.99</v>
      </c>
      <c r="E116">
        <v>4</v>
      </c>
      <c r="F116">
        <v>104879.96</v>
      </c>
      <c r="G116" s="1">
        <v>45365</v>
      </c>
      <c r="H116" t="s">
        <v>12</v>
      </c>
      <c r="I116">
        <v>2.1</v>
      </c>
    </row>
    <row r="117" spans="1:9" x14ac:dyDescent="0.3">
      <c r="A117" t="s">
        <v>160</v>
      </c>
      <c r="B117" t="s">
        <v>40</v>
      </c>
      <c r="C117" t="s">
        <v>19</v>
      </c>
      <c r="D117">
        <v>14286.02</v>
      </c>
      <c r="E117">
        <v>4</v>
      </c>
      <c r="F117">
        <v>57144.08</v>
      </c>
      <c r="G117" s="1">
        <v>45437</v>
      </c>
      <c r="H117" t="s">
        <v>16</v>
      </c>
      <c r="I117">
        <v>3.7</v>
      </c>
    </row>
    <row r="118" spans="1:9" x14ac:dyDescent="0.3">
      <c r="A118" t="s">
        <v>161</v>
      </c>
      <c r="B118" t="s">
        <v>54</v>
      </c>
      <c r="C118" t="s">
        <v>15</v>
      </c>
      <c r="D118">
        <v>13019.07</v>
      </c>
      <c r="E118">
        <v>3</v>
      </c>
      <c r="F118">
        <v>39057.21</v>
      </c>
      <c r="G118" s="1">
        <v>45690</v>
      </c>
      <c r="H118" t="s">
        <v>47</v>
      </c>
      <c r="I118">
        <v>2.8</v>
      </c>
    </row>
    <row r="119" spans="1:9" x14ac:dyDescent="0.3">
      <c r="A119" t="s">
        <v>162</v>
      </c>
      <c r="B119" t="s">
        <v>18</v>
      </c>
      <c r="C119" t="s">
        <v>19</v>
      </c>
      <c r="D119">
        <v>43488.42</v>
      </c>
      <c r="E119">
        <v>3</v>
      </c>
      <c r="F119">
        <v>130465.26</v>
      </c>
      <c r="G119" s="1">
        <v>45491</v>
      </c>
      <c r="H119" t="s">
        <v>56</v>
      </c>
      <c r="I119">
        <v>3</v>
      </c>
    </row>
    <row r="120" spans="1:9" x14ac:dyDescent="0.3">
      <c r="A120" t="s">
        <v>163</v>
      </c>
      <c r="B120" t="s">
        <v>50</v>
      </c>
      <c r="C120" t="s">
        <v>11</v>
      </c>
      <c r="D120">
        <v>30903.49</v>
      </c>
      <c r="E120">
        <v>4</v>
      </c>
      <c r="F120">
        <v>123613.96</v>
      </c>
      <c r="G120" s="1">
        <v>45545</v>
      </c>
      <c r="H120" t="s">
        <v>56</v>
      </c>
      <c r="I120">
        <v>1.7</v>
      </c>
    </row>
    <row r="121" spans="1:9" x14ac:dyDescent="0.3">
      <c r="A121" t="s">
        <v>164</v>
      </c>
      <c r="B121" t="s">
        <v>32</v>
      </c>
      <c r="C121" t="s">
        <v>25</v>
      </c>
      <c r="D121">
        <v>37405.46</v>
      </c>
      <c r="E121">
        <v>4</v>
      </c>
      <c r="F121">
        <v>149621.84</v>
      </c>
      <c r="G121" s="1">
        <v>45672</v>
      </c>
      <c r="H121" t="s">
        <v>28</v>
      </c>
      <c r="I121">
        <v>1.3</v>
      </c>
    </row>
    <row r="122" spans="1:9" x14ac:dyDescent="0.3">
      <c r="A122" t="s">
        <v>165</v>
      </c>
      <c r="B122" t="s">
        <v>36</v>
      </c>
      <c r="C122" t="s">
        <v>22</v>
      </c>
      <c r="D122">
        <v>30593.67</v>
      </c>
      <c r="E122">
        <v>4</v>
      </c>
      <c r="F122">
        <v>122374.68</v>
      </c>
      <c r="G122" s="1">
        <v>45430</v>
      </c>
      <c r="H122" t="s">
        <v>42</v>
      </c>
      <c r="I122">
        <v>1.5</v>
      </c>
    </row>
    <row r="123" spans="1:9" x14ac:dyDescent="0.3">
      <c r="A123" t="s">
        <v>166</v>
      </c>
      <c r="B123" t="s">
        <v>82</v>
      </c>
      <c r="C123" t="s">
        <v>22</v>
      </c>
      <c r="D123">
        <v>28688.25</v>
      </c>
      <c r="E123">
        <v>3</v>
      </c>
      <c r="F123">
        <v>86064.75</v>
      </c>
      <c r="G123" s="1">
        <v>45439</v>
      </c>
      <c r="H123" t="s">
        <v>16</v>
      </c>
      <c r="I123">
        <v>2.4</v>
      </c>
    </row>
    <row r="124" spans="1:9" x14ac:dyDescent="0.3">
      <c r="A124" t="s">
        <v>167</v>
      </c>
      <c r="B124" t="s">
        <v>69</v>
      </c>
      <c r="C124" t="s">
        <v>19</v>
      </c>
      <c r="D124">
        <v>12158.96</v>
      </c>
      <c r="E124">
        <v>3</v>
      </c>
      <c r="F124">
        <v>36476.879999999997</v>
      </c>
      <c r="G124" s="1">
        <v>45372</v>
      </c>
      <c r="H124" t="s">
        <v>56</v>
      </c>
      <c r="I124">
        <v>1.1000000000000001</v>
      </c>
    </row>
    <row r="125" spans="1:9" x14ac:dyDescent="0.3">
      <c r="A125" t="s">
        <v>168</v>
      </c>
      <c r="B125" t="s">
        <v>82</v>
      </c>
      <c r="C125" t="s">
        <v>22</v>
      </c>
      <c r="D125">
        <v>24500.05</v>
      </c>
      <c r="E125">
        <v>3</v>
      </c>
      <c r="F125">
        <v>73500.149999999994</v>
      </c>
      <c r="G125" s="1">
        <v>45403</v>
      </c>
      <c r="H125" t="s">
        <v>47</v>
      </c>
      <c r="I125">
        <v>4.4000000000000004</v>
      </c>
    </row>
    <row r="126" spans="1:9" x14ac:dyDescent="0.3">
      <c r="A126" t="s">
        <v>169</v>
      </c>
      <c r="B126" t="s">
        <v>32</v>
      </c>
      <c r="C126" t="s">
        <v>25</v>
      </c>
      <c r="D126">
        <v>44412.88</v>
      </c>
      <c r="E126">
        <v>3</v>
      </c>
      <c r="F126">
        <v>133238.64000000001</v>
      </c>
      <c r="G126" s="1">
        <v>45548</v>
      </c>
      <c r="H126" t="s">
        <v>42</v>
      </c>
      <c r="I126">
        <v>1.4</v>
      </c>
    </row>
    <row r="127" spans="1:9" x14ac:dyDescent="0.3">
      <c r="A127" t="s">
        <v>170</v>
      </c>
      <c r="B127" t="s">
        <v>44</v>
      </c>
      <c r="C127" t="s">
        <v>22</v>
      </c>
      <c r="D127">
        <v>26615.97</v>
      </c>
      <c r="E127">
        <v>3</v>
      </c>
      <c r="F127">
        <v>79847.91</v>
      </c>
      <c r="G127" s="1">
        <v>45530</v>
      </c>
      <c r="H127" t="s">
        <v>56</v>
      </c>
      <c r="I127">
        <v>3.6</v>
      </c>
    </row>
    <row r="128" spans="1:9" x14ac:dyDescent="0.3">
      <c r="A128" t="s">
        <v>171</v>
      </c>
      <c r="B128" t="s">
        <v>34</v>
      </c>
      <c r="C128" t="s">
        <v>15</v>
      </c>
      <c r="D128">
        <v>3979.4</v>
      </c>
      <c r="E128">
        <v>1</v>
      </c>
      <c r="F128">
        <v>3979.4</v>
      </c>
      <c r="G128" s="1">
        <v>45567</v>
      </c>
      <c r="H128" t="s">
        <v>12</v>
      </c>
      <c r="I128">
        <v>4.5999999999999996</v>
      </c>
    </row>
    <row r="129" spans="1:9" x14ac:dyDescent="0.3">
      <c r="A129" t="s">
        <v>172</v>
      </c>
      <c r="B129" t="s">
        <v>38</v>
      </c>
      <c r="C129" t="s">
        <v>19</v>
      </c>
      <c r="D129">
        <v>49687.49</v>
      </c>
      <c r="E129">
        <v>2</v>
      </c>
      <c r="F129">
        <v>99374.98</v>
      </c>
      <c r="G129" s="1">
        <v>45414</v>
      </c>
      <c r="H129" t="s">
        <v>16</v>
      </c>
      <c r="I129">
        <v>2.5</v>
      </c>
    </row>
    <row r="130" spans="1:9" x14ac:dyDescent="0.3">
      <c r="A130" t="s">
        <v>173</v>
      </c>
      <c r="B130" t="s">
        <v>71</v>
      </c>
      <c r="C130" t="s">
        <v>22</v>
      </c>
      <c r="D130">
        <v>11289.42</v>
      </c>
      <c r="E130">
        <v>3</v>
      </c>
      <c r="F130">
        <v>33868.26</v>
      </c>
      <c r="G130" s="1">
        <v>45514</v>
      </c>
      <c r="H130" t="s">
        <v>16</v>
      </c>
      <c r="I130">
        <v>2.2999999999999998</v>
      </c>
    </row>
    <row r="131" spans="1:9" x14ac:dyDescent="0.3">
      <c r="A131" t="s">
        <v>174</v>
      </c>
      <c r="B131" t="s">
        <v>151</v>
      </c>
      <c r="C131" t="s">
        <v>15</v>
      </c>
      <c r="D131">
        <v>27309.73</v>
      </c>
      <c r="E131">
        <v>3</v>
      </c>
      <c r="F131">
        <v>81929.19</v>
      </c>
      <c r="G131" s="1">
        <v>45460</v>
      </c>
      <c r="H131" t="s">
        <v>56</v>
      </c>
      <c r="I131">
        <v>4</v>
      </c>
    </row>
    <row r="132" spans="1:9" x14ac:dyDescent="0.3">
      <c r="A132" t="s">
        <v>175</v>
      </c>
      <c r="B132" t="s">
        <v>71</v>
      </c>
      <c r="C132" t="s">
        <v>22</v>
      </c>
      <c r="D132">
        <v>30374.400000000001</v>
      </c>
      <c r="E132">
        <v>5</v>
      </c>
      <c r="F132">
        <v>151872</v>
      </c>
      <c r="G132" s="1">
        <v>45668</v>
      </c>
      <c r="H132" t="s">
        <v>56</v>
      </c>
      <c r="I132">
        <v>1.8</v>
      </c>
    </row>
    <row r="133" spans="1:9" x14ac:dyDescent="0.3">
      <c r="A133" t="s">
        <v>176</v>
      </c>
      <c r="B133" t="s">
        <v>75</v>
      </c>
      <c r="C133" t="s">
        <v>19</v>
      </c>
      <c r="D133">
        <v>15486.41</v>
      </c>
      <c r="E133">
        <v>4</v>
      </c>
      <c r="F133">
        <v>61945.64</v>
      </c>
      <c r="G133" s="1">
        <v>45402</v>
      </c>
      <c r="H133" t="s">
        <v>42</v>
      </c>
      <c r="I133">
        <v>5</v>
      </c>
    </row>
    <row r="134" spans="1:9" x14ac:dyDescent="0.3">
      <c r="A134" t="s">
        <v>177</v>
      </c>
      <c r="B134" t="s">
        <v>21</v>
      </c>
      <c r="C134" t="s">
        <v>22</v>
      </c>
      <c r="D134">
        <v>33698.339999999997</v>
      </c>
      <c r="E134">
        <v>1</v>
      </c>
      <c r="F134">
        <v>33698.339999999997</v>
      </c>
      <c r="G134" s="1">
        <v>45514</v>
      </c>
      <c r="H134" t="s">
        <v>12</v>
      </c>
      <c r="I134">
        <v>4.2</v>
      </c>
    </row>
    <row r="135" spans="1:9" x14ac:dyDescent="0.3">
      <c r="A135" t="s">
        <v>178</v>
      </c>
      <c r="B135" t="s">
        <v>151</v>
      </c>
      <c r="C135" t="s">
        <v>15</v>
      </c>
      <c r="D135">
        <v>42987.64</v>
      </c>
      <c r="E135">
        <v>5</v>
      </c>
      <c r="F135">
        <v>214938.2</v>
      </c>
      <c r="G135" s="1">
        <v>45381</v>
      </c>
      <c r="H135" t="s">
        <v>28</v>
      </c>
      <c r="I135">
        <v>3.7</v>
      </c>
    </row>
    <row r="136" spans="1:9" x14ac:dyDescent="0.3">
      <c r="A136" t="s">
        <v>179</v>
      </c>
      <c r="B136" t="s">
        <v>21</v>
      </c>
      <c r="C136" t="s">
        <v>22</v>
      </c>
      <c r="D136">
        <v>1104.25</v>
      </c>
      <c r="E136">
        <v>5</v>
      </c>
      <c r="F136">
        <v>5521.25</v>
      </c>
      <c r="G136" s="1">
        <v>45624</v>
      </c>
      <c r="H136" t="s">
        <v>16</v>
      </c>
      <c r="I136">
        <v>3.8</v>
      </c>
    </row>
    <row r="137" spans="1:9" x14ac:dyDescent="0.3">
      <c r="A137" t="s">
        <v>180</v>
      </c>
      <c r="B137" t="s">
        <v>34</v>
      </c>
      <c r="C137" t="s">
        <v>15</v>
      </c>
      <c r="D137">
        <v>14043.16</v>
      </c>
      <c r="E137">
        <v>4</v>
      </c>
      <c r="F137">
        <v>56172.639999999999</v>
      </c>
      <c r="G137" s="1">
        <v>45444</v>
      </c>
      <c r="H137" t="s">
        <v>28</v>
      </c>
      <c r="I137">
        <v>3.1</v>
      </c>
    </row>
    <row r="138" spans="1:9" x14ac:dyDescent="0.3">
      <c r="A138" t="s">
        <v>181</v>
      </c>
      <c r="B138" t="s">
        <v>50</v>
      </c>
      <c r="C138" t="s">
        <v>11</v>
      </c>
      <c r="D138">
        <v>24032.880000000001</v>
      </c>
      <c r="E138">
        <v>1</v>
      </c>
      <c r="F138">
        <v>24032.880000000001</v>
      </c>
      <c r="G138" s="1">
        <v>45593</v>
      </c>
      <c r="H138" t="s">
        <v>28</v>
      </c>
      <c r="I138">
        <v>3.8</v>
      </c>
    </row>
    <row r="139" spans="1:9" x14ac:dyDescent="0.3">
      <c r="A139" t="s">
        <v>182</v>
      </c>
      <c r="B139" t="s">
        <v>18</v>
      </c>
      <c r="C139" t="s">
        <v>19</v>
      </c>
      <c r="D139">
        <v>32283.58</v>
      </c>
      <c r="E139">
        <v>3</v>
      </c>
      <c r="F139">
        <v>96850.74</v>
      </c>
      <c r="G139" s="1">
        <v>45659</v>
      </c>
      <c r="H139" t="s">
        <v>42</v>
      </c>
      <c r="I139">
        <v>4.4000000000000004</v>
      </c>
    </row>
    <row r="140" spans="1:9" x14ac:dyDescent="0.3">
      <c r="A140" t="s">
        <v>183</v>
      </c>
      <c r="B140" t="s">
        <v>40</v>
      </c>
      <c r="C140" t="s">
        <v>19</v>
      </c>
      <c r="D140">
        <v>3848.54</v>
      </c>
      <c r="E140">
        <v>1</v>
      </c>
      <c r="F140">
        <v>3848.54</v>
      </c>
      <c r="G140" s="1">
        <v>45691</v>
      </c>
      <c r="H140" t="s">
        <v>56</v>
      </c>
      <c r="I140">
        <v>4.5999999999999996</v>
      </c>
    </row>
    <row r="141" spans="1:9" x14ac:dyDescent="0.3">
      <c r="A141" t="s">
        <v>184</v>
      </c>
      <c r="B141" t="s">
        <v>24</v>
      </c>
      <c r="C141" t="s">
        <v>25</v>
      </c>
      <c r="D141">
        <v>48175.48</v>
      </c>
      <c r="E141">
        <v>1</v>
      </c>
      <c r="F141">
        <v>48175.48</v>
      </c>
      <c r="G141" s="1">
        <v>45483</v>
      </c>
      <c r="H141" t="s">
        <v>42</v>
      </c>
      <c r="I141">
        <v>1.5</v>
      </c>
    </row>
    <row r="142" spans="1:9" x14ac:dyDescent="0.3">
      <c r="A142" t="s">
        <v>185</v>
      </c>
      <c r="B142" t="s">
        <v>36</v>
      </c>
      <c r="C142" t="s">
        <v>22</v>
      </c>
      <c r="D142">
        <v>2273.0100000000002</v>
      </c>
      <c r="E142">
        <v>2</v>
      </c>
      <c r="F142">
        <v>4546.0200000000004</v>
      </c>
      <c r="G142" s="1">
        <v>45658</v>
      </c>
      <c r="H142" t="s">
        <v>16</v>
      </c>
      <c r="I142">
        <v>4.3</v>
      </c>
    </row>
    <row r="143" spans="1:9" x14ac:dyDescent="0.3">
      <c r="A143" t="s">
        <v>186</v>
      </c>
      <c r="B143" t="s">
        <v>34</v>
      </c>
      <c r="C143" t="s">
        <v>15</v>
      </c>
      <c r="D143">
        <v>48346.41</v>
      </c>
      <c r="E143">
        <v>3</v>
      </c>
      <c r="F143">
        <v>145039.23000000001</v>
      </c>
      <c r="G143" s="1">
        <v>45684</v>
      </c>
      <c r="H143" t="s">
        <v>12</v>
      </c>
      <c r="I143">
        <v>1.4</v>
      </c>
    </row>
    <row r="144" spans="1:9" x14ac:dyDescent="0.3">
      <c r="A144" t="s">
        <v>187</v>
      </c>
      <c r="B144" t="s">
        <v>32</v>
      </c>
      <c r="C144" t="s">
        <v>25</v>
      </c>
      <c r="D144">
        <v>8383.86</v>
      </c>
      <c r="E144">
        <v>2</v>
      </c>
      <c r="F144">
        <v>16767.72</v>
      </c>
      <c r="G144" s="1">
        <v>45554</v>
      </c>
      <c r="H144" t="s">
        <v>28</v>
      </c>
      <c r="I144">
        <v>3.1</v>
      </c>
    </row>
    <row r="145" spans="1:9" x14ac:dyDescent="0.3">
      <c r="A145" t="s">
        <v>188</v>
      </c>
      <c r="B145" t="s">
        <v>75</v>
      </c>
      <c r="C145" t="s">
        <v>19</v>
      </c>
      <c r="D145">
        <v>15344.02</v>
      </c>
      <c r="E145">
        <v>1</v>
      </c>
      <c r="F145">
        <v>15344.02</v>
      </c>
      <c r="G145" s="1">
        <v>45428</v>
      </c>
      <c r="H145" t="s">
        <v>16</v>
      </c>
      <c r="I145">
        <v>4</v>
      </c>
    </row>
    <row r="146" spans="1:9" x14ac:dyDescent="0.3">
      <c r="A146" t="s">
        <v>189</v>
      </c>
      <c r="B146" t="s">
        <v>44</v>
      </c>
      <c r="C146" t="s">
        <v>22</v>
      </c>
      <c r="D146">
        <v>49142.57</v>
      </c>
      <c r="E146">
        <v>4</v>
      </c>
      <c r="F146">
        <v>196570.28</v>
      </c>
      <c r="G146" s="1">
        <v>45355</v>
      </c>
      <c r="H146" t="s">
        <v>16</v>
      </c>
      <c r="I146">
        <v>4.9000000000000004</v>
      </c>
    </row>
    <row r="147" spans="1:9" x14ac:dyDescent="0.3">
      <c r="A147" t="s">
        <v>190</v>
      </c>
      <c r="B147" t="s">
        <v>100</v>
      </c>
      <c r="C147" t="s">
        <v>11</v>
      </c>
      <c r="D147">
        <v>45182.27</v>
      </c>
      <c r="E147">
        <v>5</v>
      </c>
      <c r="F147">
        <v>225911.35</v>
      </c>
      <c r="G147" s="1">
        <v>45381</v>
      </c>
      <c r="H147" t="s">
        <v>12</v>
      </c>
      <c r="I147">
        <v>3.1</v>
      </c>
    </row>
    <row r="148" spans="1:9" x14ac:dyDescent="0.3">
      <c r="A148" t="s">
        <v>191</v>
      </c>
      <c r="B148" t="s">
        <v>34</v>
      </c>
      <c r="C148" t="s">
        <v>15</v>
      </c>
      <c r="D148">
        <v>18309.060000000001</v>
      </c>
      <c r="E148">
        <v>2</v>
      </c>
      <c r="F148">
        <v>36618.120000000003</v>
      </c>
      <c r="G148" s="1">
        <v>45423</v>
      </c>
      <c r="H148" t="s">
        <v>56</v>
      </c>
      <c r="I148">
        <v>1.9</v>
      </c>
    </row>
    <row r="149" spans="1:9" x14ac:dyDescent="0.3">
      <c r="A149" t="s">
        <v>192</v>
      </c>
      <c r="B149" t="s">
        <v>21</v>
      </c>
      <c r="C149" t="s">
        <v>22</v>
      </c>
      <c r="D149">
        <v>33021.1</v>
      </c>
      <c r="E149">
        <v>4</v>
      </c>
      <c r="F149">
        <v>132084.4</v>
      </c>
      <c r="G149" s="1">
        <v>45525</v>
      </c>
      <c r="H149" t="s">
        <v>12</v>
      </c>
      <c r="I149">
        <v>4.4000000000000004</v>
      </c>
    </row>
    <row r="150" spans="1:9" x14ac:dyDescent="0.3">
      <c r="A150" t="s">
        <v>193</v>
      </c>
      <c r="B150" t="s">
        <v>34</v>
      </c>
      <c r="C150" t="s">
        <v>15</v>
      </c>
      <c r="D150">
        <v>42814.17</v>
      </c>
      <c r="E150">
        <v>5</v>
      </c>
      <c r="F150">
        <v>214070.85</v>
      </c>
      <c r="G150" s="1">
        <v>45562</v>
      </c>
      <c r="H150" t="s">
        <v>12</v>
      </c>
      <c r="I150">
        <v>4.2</v>
      </c>
    </row>
    <row r="151" spans="1:9" x14ac:dyDescent="0.3">
      <c r="A151" t="s">
        <v>194</v>
      </c>
      <c r="B151" t="s">
        <v>38</v>
      </c>
      <c r="C151" t="s">
        <v>19</v>
      </c>
      <c r="D151">
        <v>5293.87</v>
      </c>
      <c r="E151">
        <v>2</v>
      </c>
      <c r="F151">
        <v>10587.74</v>
      </c>
      <c r="G151" s="1">
        <v>45657</v>
      </c>
      <c r="H151" t="s">
        <v>12</v>
      </c>
      <c r="I151">
        <v>2.7</v>
      </c>
    </row>
    <row r="152" spans="1:9" x14ac:dyDescent="0.3">
      <c r="A152" t="s">
        <v>195</v>
      </c>
      <c r="B152" t="s">
        <v>93</v>
      </c>
      <c r="C152" t="s">
        <v>11</v>
      </c>
      <c r="D152">
        <v>16596.580000000002</v>
      </c>
      <c r="E152">
        <v>5</v>
      </c>
      <c r="F152">
        <v>82982.899999999994</v>
      </c>
      <c r="G152" s="1">
        <v>45690</v>
      </c>
      <c r="H152" t="s">
        <v>16</v>
      </c>
      <c r="I152">
        <v>2.1</v>
      </c>
    </row>
    <row r="153" spans="1:9" x14ac:dyDescent="0.3">
      <c r="A153" t="s">
        <v>196</v>
      </c>
      <c r="B153" t="s">
        <v>30</v>
      </c>
      <c r="C153" t="s">
        <v>15</v>
      </c>
      <c r="D153">
        <v>48940.95</v>
      </c>
      <c r="E153">
        <v>1</v>
      </c>
      <c r="F153">
        <v>48940.95</v>
      </c>
      <c r="G153" s="1">
        <v>45342</v>
      </c>
      <c r="H153" t="s">
        <v>56</v>
      </c>
      <c r="I153">
        <v>1</v>
      </c>
    </row>
    <row r="154" spans="1:9" x14ac:dyDescent="0.3">
      <c r="A154" t="s">
        <v>197</v>
      </c>
      <c r="B154" t="s">
        <v>14</v>
      </c>
      <c r="C154" t="s">
        <v>15</v>
      </c>
      <c r="D154">
        <v>10059.450000000001</v>
      </c>
      <c r="E154">
        <v>5</v>
      </c>
      <c r="F154">
        <v>50297.25</v>
      </c>
      <c r="G154" s="1">
        <v>45374</v>
      </c>
      <c r="H154" t="s">
        <v>42</v>
      </c>
      <c r="I154">
        <v>4.3</v>
      </c>
    </row>
    <row r="155" spans="1:9" x14ac:dyDescent="0.3">
      <c r="A155" t="s">
        <v>198</v>
      </c>
      <c r="B155" t="s">
        <v>38</v>
      </c>
      <c r="C155" t="s">
        <v>19</v>
      </c>
      <c r="D155">
        <v>4820.8</v>
      </c>
      <c r="E155">
        <v>1</v>
      </c>
      <c r="F155">
        <v>4820.8</v>
      </c>
      <c r="G155" s="1">
        <v>45636</v>
      </c>
      <c r="H155" t="s">
        <v>28</v>
      </c>
      <c r="I155">
        <v>4.3</v>
      </c>
    </row>
    <row r="156" spans="1:9" x14ac:dyDescent="0.3">
      <c r="A156" t="s">
        <v>199</v>
      </c>
      <c r="B156" t="s">
        <v>50</v>
      </c>
      <c r="C156" t="s">
        <v>11</v>
      </c>
      <c r="D156">
        <v>12087.35</v>
      </c>
      <c r="E156">
        <v>4</v>
      </c>
      <c r="F156">
        <v>48349.4</v>
      </c>
      <c r="G156" s="1">
        <v>45617</v>
      </c>
      <c r="H156" t="s">
        <v>16</v>
      </c>
      <c r="I156">
        <v>2.6</v>
      </c>
    </row>
    <row r="157" spans="1:9" x14ac:dyDescent="0.3">
      <c r="A157" t="s">
        <v>200</v>
      </c>
      <c r="B157" t="s">
        <v>18</v>
      </c>
      <c r="C157" t="s">
        <v>19</v>
      </c>
      <c r="D157">
        <v>43522.080000000002</v>
      </c>
      <c r="E157">
        <v>5</v>
      </c>
      <c r="F157">
        <v>217610.4</v>
      </c>
      <c r="G157" s="1">
        <v>45546</v>
      </c>
      <c r="H157" t="s">
        <v>42</v>
      </c>
      <c r="I157">
        <v>4.8</v>
      </c>
    </row>
    <row r="158" spans="1:9" x14ac:dyDescent="0.3">
      <c r="A158" t="s">
        <v>201</v>
      </c>
      <c r="B158" t="s">
        <v>21</v>
      </c>
      <c r="C158" t="s">
        <v>22</v>
      </c>
      <c r="D158">
        <v>42409.26</v>
      </c>
      <c r="E158">
        <v>1</v>
      </c>
      <c r="F158">
        <v>42409.26</v>
      </c>
      <c r="G158" s="1">
        <v>45529</v>
      </c>
      <c r="H158" t="s">
        <v>12</v>
      </c>
      <c r="I158">
        <v>2</v>
      </c>
    </row>
    <row r="159" spans="1:9" x14ac:dyDescent="0.3">
      <c r="A159" t="s">
        <v>202</v>
      </c>
      <c r="B159" t="s">
        <v>93</v>
      </c>
      <c r="C159" t="s">
        <v>11</v>
      </c>
      <c r="D159">
        <v>29882.47</v>
      </c>
      <c r="E159">
        <v>5</v>
      </c>
      <c r="F159">
        <v>149412.35</v>
      </c>
      <c r="G159" s="1">
        <v>45465</v>
      </c>
      <c r="H159" t="s">
        <v>28</v>
      </c>
      <c r="I159">
        <v>4.7</v>
      </c>
    </row>
    <row r="160" spans="1:9" x14ac:dyDescent="0.3">
      <c r="A160" t="s">
        <v>203</v>
      </c>
      <c r="B160" t="s">
        <v>21</v>
      </c>
      <c r="C160" t="s">
        <v>22</v>
      </c>
      <c r="D160">
        <v>40233.279999999999</v>
      </c>
      <c r="E160">
        <v>5</v>
      </c>
      <c r="F160">
        <v>201166.4</v>
      </c>
      <c r="G160" s="1">
        <v>45662</v>
      </c>
      <c r="H160" t="s">
        <v>28</v>
      </c>
      <c r="I160">
        <v>1.9</v>
      </c>
    </row>
    <row r="161" spans="1:9" x14ac:dyDescent="0.3">
      <c r="A161" t="s">
        <v>204</v>
      </c>
      <c r="B161" t="s">
        <v>120</v>
      </c>
      <c r="C161" t="s">
        <v>25</v>
      </c>
      <c r="D161">
        <v>15357.36</v>
      </c>
      <c r="E161">
        <v>4</v>
      </c>
      <c r="F161">
        <v>61429.440000000002</v>
      </c>
      <c r="G161" s="1">
        <v>45510</v>
      </c>
      <c r="H161" t="s">
        <v>12</v>
      </c>
      <c r="I161">
        <v>1.6</v>
      </c>
    </row>
    <row r="162" spans="1:9" x14ac:dyDescent="0.3">
      <c r="A162" t="s">
        <v>205</v>
      </c>
      <c r="B162" t="s">
        <v>100</v>
      </c>
      <c r="C162" t="s">
        <v>11</v>
      </c>
      <c r="D162">
        <v>10565.57</v>
      </c>
      <c r="E162">
        <v>4</v>
      </c>
      <c r="F162">
        <v>42262.28</v>
      </c>
      <c r="G162" s="1">
        <v>45477</v>
      </c>
      <c r="H162" t="s">
        <v>56</v>
      </c>
      <c r="I162">
        <v>1.5</v>
      </c>
    </row>
    <row r="163" spans="1:9" x14ac:dyDescent="0.3">
      <c r="A163" t="s">
        <v>206</v>
      </c>
      <c r="B163" t="s">
        <v>93</v>
      </c>
      <c r="C163" t="s">
        <v>11</v>
      </c>
      <c r="D163">
        <v>42533.26</v>
      </c>
      <c r="E163">
        <v>4</v>
      </c>
      <c r="F163">
        <v>170133.04</v>
      </c>
      <c r="G163" s="1">
        <v>45624</v>
      </c>
      <c r="H163" t="s">
        <v>12</v>
      </c>
      <c r="I163">
        <v>4.5999999999999996</v>
      </c>
    </row>
    <row r="164" spans="1:9" x14ac:dyDescent="0.3">
      <c r="A164" t="s">
        <v>207</v>
      </c>
      <c r="B164" t="s">
        <v>27</v>
      </c>
      <c r="C164" t="s">
        <v>25</v>
      </c>
      <c r="D164">
        <v>18426.900000000001</v>
      </c>
      <c r="E164">
        <v>4</v>
      </c>
      <c r="F164">
        <v>73707.600000000006</v>
      </c>
      <c r="G164" s="1">
        <v>45583</v>
      </c>
      <c r="H164" t="s">
        <v>12</v>
      </c>
      <c r="I164">
        <v>4.7</v>
      </c>
    </row>
    <row r="165" spans="1:9" x14ac:dyDescent="0.3">
      <c r="A165" t="s">
        <v>208</v>
      </c>
      <c r="B165" t="s">
        <v>38</v>
      </c>
      <c r="C165" t="s">
        <v>19</v>
      </c>
      <c r="D165">
        <v>23369.23</v>
      </c>
      <c r="E165">
        <v>1</v>
      </c>
      <c r="F165">
        <v>23369.23</v>
      </c>
      <c r="G165" s="1">
        <v>45619</v>
      </c>
      <c r="H165" t="s">
        <v>47</v>
      </c>
      <c r="I165">
        <v>1.5</v>
      </c>
    </row>
    <row r="166" spans="1:9" x14ac:dyDescent="0.3">
      <c r="A166" t="s">
        <v>209</v>
      </c>
      <c r="B166" t="s">
        <v>38</v>
      </c>
      <c r="C166" t="s">
        <v>19</v>
      </c>
      <c r="D166">
        <v>2735.32</v>
      </c>
      <c r="E166">
        <v>5</v>
      </c>
      <c r="F166">
        <v>13676.6</v>
      </c>
      <c r="G166" s="1">
        <v>45646</v>
      </c>
      <c r="H166" t="s">
        <v>28</v>
      </c>
      <c r="I166">
        <v>2.6</v>
      </c>
    </row>
    <row r="167" spans="1:9" x14ac:dyDescent="0.3">
      <c r="A167" t="s">
        <v>210</v>
      </c>
      <c r="B167" t="s">
        <v>71</v>
      </c>
      <c r="C167" t="s">
        <v>22</v>
      </c>
      <c r="D167">
        <v>48944.01</v>
      </c>
      <c r="E167">
        <v>3</v>
      </c>
      <c r="F167">
        <v>146832.03</v>
      </c>
      <c r="G167" s="1">
        <v>45477</v>
      </c>
      <c r="H167" t="s">
        <v>42</v>
      </c>
      <c r="I167">
        <v>4.2</v>
      </c>
    </row>
    <row r="168" spans="1:9" x14ac:dyDescent="0.3">
      <c r="A168" t="s">
        <v>211</v>
      </c>
      <c r="B168" t="s">
        <v>69</v>
      </c>
      <c r="C168" t="s">
        <v>19</v>
      </c>
      <c r="D168">
        <v>32590.46</v>
      </c>
      <c r="E168">
        <v>2</v>
      </c>
      <c r="F168">
        <v>65180.92</v>
      </c>
      <c r="G168" s="1">
        <v>45393</v>
      </c>
      <c r="H168" t="s">
        <v>56</v>
      </c>
      <c r="I168">
        <v>2.4</v>
      </c>
    </row>
    <row r="169" spans="1:9" x14ac:dyDescent="0.3">
      <c r="A169" t="s">
        <v>212</v>
      </c>
      <c r="B169" t="s">
        <v>69</v>
      </c>
      <c r="C169" t="s">
        <v>19</v>
      </c>
      <c r="D169">
        <v>35286.97</v>
      </c>
      <c r="E169">
        <v>2</v>
      </c>
      <c r="F169">
        <v>70573.94</v>
      </c>
      <c r="G169" s="1">
        <v>45574</v>
      </c>
      <c r="H169" t="s">
        <v>56</v>
      </c>
      <c r="I169">
        <v>3.3</v>
      </c>
    </row>
    <row r="170" spans="1:9" x14ac:dyDescent="0.3">
      <c r="A170" t="s">
        <v>213</v>
      </c>
      <c r="B170" t="s">
        <v>93</v>
      </c>
      <c r="C170" t="s">
        <v>11</v>
      </c>
      <c r="D170">
        <v>42881.03</v>
      </c>
      <c r="E170">
        <v>3</v>
      </c>
      <c r="F170">
        <v>128643.09</v>
      </c>
      <c r="G170" s="1">
        <v>45625</v>
      </c>
      <c r="H170" t="s">
        <v>56</v>
      </c>
      <c r="I170">
        <v>4.4000000000000004</v>
      </c>
    </row>
    <row r="171" spans="1:9" x14ac:dyDescent="0.3">
      <c r="A171" t="s">
        <v>214</v>
      </c>
      <c r="B171" t="s">
        <v>75</v>
      </c>
      <c r="C171" t="s">
        <v>19</v>
      </c>
      <c r="D171">
        <v>28246.25</v>
      </c>
      <c r="E171">
        <v>2</v>
      </c>
      <c r="F171">
        <v>56492.5</v>
      </c>
      <c r="G171" s="1">
        <v>45446</v>
      </c>
      <c r="H171" t="s">
        <v>56</v>
      </c>
      <c r="I171">
        <v>2.2999999999999998</v>
      </c>
    </row>
    <row r="172" spans="1:9" x14ac:dyDescent="0.3">
      <c r="A172" t="s">
        <v>215</v>
      </c>
      <c r="B172" t="s">
        <v>75</v>
      </c>
      <c r="C172" t="s">
        <v>19</v>
      </c>
      <c r="D172">
        <v>24619.84</v>
      </c>
      <c r="E172">
        <v>2</v>
      </c>
      <c r="F172">
        <v>49239.68</v>
      </c>
      <c r="G172" s="1">
        <v>45632</v>
      </c>
      <c r="H172" t="s">
        <v>12</v>
      </c>
      <c r="I172">
        <v>4.0999999999999996</v>
      </c>
    </row>
    <row r="173" spans="1:9" x14ac:dyDescent="0.3">
      <c r="A173" t="s">
        <v>216</v>
      </c>
      <c r="B173" t="s">
        <v>151</v>
      </c>
      <c r="C173" t="s">
        <v>15</v>
      </c>
      <c r="D173">
        <v>12083.96</v>
      </c>
      <c r="E173">
        <v>3</v>
      </c>
      <c r="F173">
        <v>36251.879999999997</v>
      </c>
      <c r="G173" s="1">
        <v>45619</v>
      </c>
      <c r="H173" t="s">
        <v>28</v>
      </c>
      <c r="I173">
        <v>3</v>
      </c>
    </row>
    <row r="174" spans="1:9" x14ac:dyDescent="0.3">
      <c r="A174" t="s">
        <v>217</v>
      </c>
      <c r="B174" t="s">
        <v>100</v>
      </c>
      <c r="C174" t="s">
        <v>11</v>
      </c>
      <c r="D174">
        <v>12214.72</v>
      </c>
      <c r="E174">
        <v>5</v>
      </c>
      <c r="F174">
        <v>61073.599999999999</v>
      </c>
      <c r="G174" s="1">
        <v>45671</v>
      </c>
      <c r="H174" t="s">
        <v>16</v>
      </c>
      <c r="I174">
        <v>2.1</v>
      </c>
    </row>
    <row r="175" spans="1:9" x14ac:dyDescent="0.3">
      <c r="A175" t="s">
        <v>218</v>
      </c>
      <c r="B175" t="s">
        <v>93</v>
      </c>
      <c r="C175" t="s">
        <v>11</v>
      </c>
      <c r="D175">
        <v>19386.27</v>
      </c>
      <c r="E175">
        <v>1</v>
      </c>
      <c r="F175">
        <v>19386.27</v>
      </c>
      <c r="G175" s="1">
        <v>45489</v>
      </c>
      <c r="H175" t="s">
        <v>42</v>
      </c>
      <c r="I175">
        <v>4.0999999999999996</v>
      </c>
    </row>
    <row r="176" spans="1:9" x14ac:dyDescent="0.3">
      <c r="A176" t="s">
        <v>219</v>
      </c>
      <c r="B176" t="s">
        <v>10</v>
      </c>
      <c r="C176" t="s">
        <v>11</v>
      </c>
      <c r="D176">
        <v>34879.4</v>
      </c>
      <c r="E176">
        <v>3</v>
      </c>
      <c r="F176">
        <v>104638.2</v>
      </c>
      <c r="G176" s="1">
        <v>45394</v>
      </c>
      <c r="H176" t="s">
        <v>16</v>
      </c>
      <c r="I176">
        <v>2.5</v>
      </c>
    </row>
    <row r="177" spans="1:9" x14ac:dyDescent="0.3">
      <c r="A177" t="s">
        <v>220</v>
      </c>
      <c r="B177" t="s">
        <v>71</v>
      </c>
      <c r="C177" t="s">
        <v>22</v>
      </c>
      <c r="D177">
        <v>32016.11</v>
      </c>
      <c r="E177">
        <v>5</v>
      </c>
      <c r="F177">
        <v>160080.54999999999</v>
      </c>
      <c r="G177" s="1">
        <v>45562</v>
      </c>
      <c r="H177" t="s">
        <v>12</v>
      </c>
      <c r="I177">
        <v>4.3</v>
      </c>
    </row>
    <row r="178" spans="1:9" x14ac:dyDescent="0.3">
      <c r="A178" t="s">
        <v>221</v>
      </c>
      <c r="B178" t="s">
        <v>54</v>
      </c>
      <c r="C178" t="s">
        <v>15</v>
      </c>
      <c r="D178">
        <v>32264.17</v>
      </c>
      <c r="E178">
        <v>1</v>
      </c>
      <c r="F178">
        <v>32264.17</v>
      </c>
      <c r="G178" s="1">
        <v>45495</v>
      </c>
      <c r="H178" t="s">
        <v>56</v>
      </c>
      <c r="I178">
        <v>4.0999999999999996</v>
      </c>
    </row>
    <row r="179" spans="1:9" x14ac:dyDescent="0.3">
      <c r="A179" t="s">
        <v>222</v>
      </c>
      <c r="B179" t="s">
        <v>75</v>
      </c>
      <c r="C179" t="s">
        <v>19</v>
      </c>
      <c r="D179">
        <v>30171.74</v>
      </c>
      <c r="E179">
        <v>4</v>
      </c>
      <c r="F179">
        <v>120686.96</v>
      </c>
      <c r="G179" s="1">
        <v>45502</v>
      </c>
      <c r="H179" t="s">
        <v>56</v>
      </c>
      <c r="I179">
        <v>3.8</v>
      </c>
    </row>
    <row r="180" spans="1:9" x14ac:dyDescent="0.3">
      <c r="A180" t="s">
        <v>223</v>
      </c>
      <c r="B180" t="s">
        <v>151</v>
      </c>
      <c r="C180" t="s">
        <v>15</v>
      </c>
      <c r="D180">
        <v>22712.18</v>
      </c>
      <c r="E180">
        <v>5</v>
      </c>
      <c r="F180">
        <v>113560.9</v>
      </c>
      <c r="G180" s="1">
        <v>45681</v>
      </c>
      <c r="H180" t="s">
        <v>42</v>
      </c>
      <c r="I180">
        <v>3.9</v>
      </c>
    </row>
    <row r="181" spans="1:9" x14ac:dyDescent="0.3">
      <c r="A181" t="s">
        <v>224</v>
      </c>
      <c r="B181" t="s">
        <v>46</v>
      </c>
      <c r="C181" t="s">
        <v>11</v>
      </c>
      <c r="D181">
        <v>27204.69</v>
      </c>
      <c r="E181">
        <v>1</v>
      </c>
      <c r="F181">
        <v>27204.69</v>
      </c>
      <c r="G181" s="1">
        <v>45697</v>
      </c>
      <c r="H181" t="s">
        <v>12</v>
      </c>
      <c r="I181">
        <v>2.8</v>
      </c>
    </row>
    <row r="182" spans="1:9" x14ac:dyDescent="0.3">
      <c r="A182" t="s">
        <v>225</v>
      </c>
      <c r="B182" t="s">
        <v>10</v>
      </c>
      <c r="C182" t="s">
        <v>11</v>
      </c>
      <c r="D182">
        <v>17353.47</v>
      </c>
      <c r="E182">
        <v>1</v>
      </c>
      <c r="F182">
        <v>17353.47</v>
      </c>
      <c r="G182" s="1">
        <v>45630</v>
      </c>
      <c r="H182" t="s">
        <v>47</v>
      </c>
      <c r="I182">
        <v>2.6</v>
      </c>
    </row>
    <row r="183" spans="1:9" x14ac:dyDescent="0.3">
      <c r="A183" t="s">
        <v>226</v>
      </c>
      <c r="B183" t="s">
        <v>120</v>
      </c>
      <c r="C183" t="s">
        <v>25</v>
      </c>
      <c r="D183">
        <v>44882.2</v>
      </c>
      <c r="E183">
        <v>1</v>
      </c>
      <c r="F183">
        <v>44882.2</v>
      </c>
      <c r="G183" s="1">
        <v>45423</v>
      </c>
      <c r="H183" t="s">
        <v>42</v>
      </c>
      <c r="I183">
        <v>1.3</v>
      </c>
    </row>
    <row r="184" spans="1:9" x14ac:dyDescent="0.3">
      <c r="A184" t="s">
        <v>227</v>
      </c>
      <c r="B184" t="s">
        <v>120</v>
      </c>
      <c r="C184" t="s">
        <v>25</v>
      </c>
      <c r="D184">
        <v>47002.720000000001</v>
      </c>
      <c r="E184">
        <v>3</v>
      </c>
      <c r="F184">
        <v>141008.16</v>
      </c>
      <c r="G184" s="1">
        <v>45356</v>
      </c>
      <c r="H184" t="s">
        <v>12</v>
      </c>
      <c r="I184">
        <v>4.0999999999999996</v>
      </c>
    </row>
    <row r="185" spans="1:9" x14ac:dyDescent="0.3">
      <c r="A185" t="s">
        <v>228</v>
      </c>
      <c r="B185" t="s">
        <v>40</v>
      </c>
      <c r="C185" t="s">
        <v>19</v>
      </c>
      <c r="D185">
        <v>33659.67</v>
      </c>
      <c r="E185">
        <v>4</v>
      </c>
      <c r="F185">
        <v>134638.68</v>
      </c>
      <c r="G185" s="1">
        <v>45478</v>
      </c>
      <c r="H185" t="s">
        <v>28</v>
      </c>
      <c r="I185">
        <v>3.3</v>
      </c>
    </row>
    <row r="186" spans="1:9" x14ac:dyDescent="0.3">
      <c r="A186" t="s">
        <v>229</v>
      </c>
      <c r="B186" t="s">
        <v>120</v>
      </c>
      <c r="C186" t="s">
        <v>25</v>
      </c>
      <c r="D186">
        <v>13011.44</v>
      </c>
      <c r="E186">
        <v>2</v>
      </c>
      <c r="F186">
        <v>26022.880000000001</v>
      </c>
      <c r="G186" s="1">
        <v>45468</v>
      </c>
      <c r="H186" t="s">
        <v>28</v>
      </c>
      <c r="I186">
        <v>4.9000000000000004</v>
      </c>
    </row>
    <row r="187" spans="1:9" x14ac:dyDescent="0.3">
      <c r="A187" t="s">
        <v>230</v>
      </c>
      <c r="B187" t="s">
        <v>44</v>
      </c>
      <c r="C187" t="s">
        <v>22</v>
      </c>
      <c r="D187">
        <v>21990.25</v>
      </c>
      <c r="E187">
        <v>3</v>
      </c>
      <c r="F187">
        <v>65970.75</v>
      </c>
      <c r="G187" s="1">
        <v>45669</v>
      </c>
      <c r="H187" t="s">
        <v>28</v>
      </c>
      <c r="I187">
        <v>4.2</v>
      </c>
    </row>
    <row r="188" spans="1:9" x14ac:dyDescent="0.3">
      <c r="A188" t="s">
        <v>231</v>
      </c>
      <c r="B188" t="s">
        <v>38</v>
      </c>
      <c r="C188" t="s">
        <v>19</v>
      </c>
      <c r="D188">
        <v>1927.38</v>
      </c>
      <c r="E188">
        <v>3</v>
      </c>
      <c r="F188">
        <v>5782.14</v>
      </c>
      <c r="G188" s="1">
        <v>45535</v>
      </c>
      <c r="H188" t="s">
        <v>12</v>
      </c>
      <c r="I188">
        <v>2.9</v>
      </c>
    </row>
    <row r="189" spans="1:9" x14ac:dyDescent="0.3">
      <c r="A189" t="s">
        <v>232</v>
      </c>
      <c r="B189" t="s">
        <v>71</v>
      </c>
      <c r="C189" t="s">
        <v>22</v>
      </c>
      <c r="D189">
        <v>21741.53</v>
      </c>
      <c r="E189">
        <v>3</v>
      </c>
      <c r="F189">
        <v>65224.59</v>
      </c>
      <c r="G189" s="1">
        <v>45628</v>
      </c>
      <c r="H189" t="s">
        <v>42</v>
      </c>
      <c r="I189">
        <v>3.5</v>
      </c>
    </row>
    <row r="190" spans="1:9" x14ac:dyDescent="0.3">
      <c r="A190" t="s">
        <v>233</v>
      </c>
      <c r="B190" t="s">
        <v>30</v>
      </c>
      <c r="C190" t="s">
        <v>15</v>
      </c>
      <c r="D190">
        <v>23638.720000000001</v>
      </c>
      <c r="E190">
        <v>1</v>
      </c>
      <c r="F190">
        <v>23638.720000000001</v>
      </c>
      <c r="G190" s="1">
        <v>45559</v>
      </c>
      <c r="H190" t="s">
        <v>47</v>
      </c>
      <c r="I190">
        <v>1.5</v>
      </c>
    </row>
    <row r="191" spans="1:9" x14ac:dyDescent="0.3">
      <c r="A191" t="s">
        <v>234</v>
      </c>
      <c r="B191" t="s">
        <v>69</v>
      </c>
      <c r="C191" t="s">
        <v>19</v>
      </c>
      <c r="D191">
        <v>39372.11</v>
      </c>
      <c r="E191">
        <v>1</v>
      </c>
      <c r="F191">
        <v>39372.11</v>
      </c>
      <c r="G191" s="1">
        <v>45395</v>
      </c>
      <c r="H191" t="s">
        <v>28</v>
      </c>
      <c r="I191">
        <v>4.0999999999999996</v>
      </c>
    </row>
    <row r="192" spans="1:9" x14ac:dyDescent="0.3">
      <c r="A192" t="s">
        <v>235</v>
      </c>
      <c r="B192" t="s">
        <v>93</v>
      </c>
      <c r="C192" t="s">
        <v>11</v>
      </c>
      <c r="D192">
        <v>49088.13</v>
      </c>
      <c r="E192">
        <v>4</v>
      </c>
      <c r="F192">
        <v>196352.52</v>
      </c>
      <c r="G192" s="1">
        <v>45357</v>
      </c>
      <c r="H192" t="s">
        <v>28</v>
      </c>
      <c r="I192">
        <v>2.2999999999999998</v>
      </c>
    </row>
    <row r="193" spans="1:9" x14ac:dyDescent="0.3">
      <c r="A193" t="s">
        <v>236</v>
      </c>
      <c r="B193" t="s">
        <v>24</v>
      </c>
      <c r="C193" t="s">
        <v>25</v>
      </c>
      <c r="D193">
        <v>4524.63</v>
      </c>
      <c r="E193">
        <v>3</v>
      </c>
      <c r="F193">
        <v>13573.89</v>
      </c>
      <c r="G193" s="1">
        <v>45645</v>
      </c>
      <c r="H193" t="s">
        <v>16</v>
      </c>
      <c r="I193">
        <v>2.4</v>
      </c>
    </row>
    <row r="194" spans="1:9" x14ac:dyDescent="0.3">
      <c r="A194" t="s">
        <v>237</v>
      </c>
      <c r="B194" t="s">
        <v>30</v>
      </c>
      <c r="C194" t="s">
        <v>15</v>
      </c>
      <c r="D194">
        <v>1507.01</v>
      </c>
      <c r="E194">
        <v>3</v>
      </c>
      <c r="F194">
        <v>4521.03</v>
      </c>
      <c r="G194" s="1">
        <v>45506</v>
      </c>
      <c r="H194" t="s">
        <v>56</v>
      </c>
      <c r="I194">
        <v>2.5</v>
      </c>
    </row>
    <row r="195" spans="1:9" x14ac:dyDescent="0.3">
      <c r="A195" t="s">
        <v>238</v>
      </c>
      <c r="B195" t="s">
        <v>36</v>
      </c>
      <c r="C195" t="s">
        <v>22</v>
      </c>
      <c r="D195">
        <v>39699.85</v>
      </c>
      <c r="E195">
        <v>3</v>
      </c>
      <c r="F195">
        <v>119099.55</v>
      </c>
      <c r="G195" s="1">
        <v>45426</v>
      </c>
      <c r="H195" t="s">
        <v>28</v>
      </c>
      <c r="I195">
        <v>3.9</v>
      </c>
    </row>
    <row r="196" spans="1:9" x14ac:dyDescent="0.3">
      <c r="A196" t="s">
        <v>239</v>
      </c>
      <c r="B196" t="s">
        <v>18</v>
      </c>
      <c r="C196" t="s">
        <v>19</v>
      </c>
      <c r="D196">
        <v>37494.129999999997</v>
      </c>
      <c r="E196">
        <v>5</v>
      </c>
      <c r="F196">
        <v>187470.65</v>
      </c>
      <c r="G196" s="1">
        <v>45566</v>
      </c>
      <c r="H196" t="s">
        <v>42</v>
      </c>
      <c r="I196">
        <v>1.8</v>
      </c>
    </row>
    <row r="197" spans="1:9" x14ac:dyDescent="0.3">
      <c r="A197" t="s">
        <v>240</v>
      </c>
      <c r="B197" t="s">
        <v>44</v>
      </c>
      <c r="C197" t="s">
        <v>22</v>
      </c>
      <c r="D197">
        <v>5850.81</v>
      </c>
      <c r="E197">
        <v>5</v>
      </c>
      <c r="F197">
        <v>29254.05</v>
      </c>
      <c r="G197" s="1">
        <v>45624</v>
      </c>
      <c r="H197" t="s">
        <v>42</v>
      </c>
      <c r="I197">
        <v>1.3</v>
      </c>
    </row>
    <row r="198" spans="1:9" x14ac:dyDescent="0.3">
      <c r="A198" t="s">
        <v>241</v>
      </c>
      <c r="B198" t="s">
        <v>100</v>
      </c>
      <c r="C198" t="s">
        <v>11</v>
      </c>
      <c r="D198">
        <v>16448.740000000002</v>
      </c>
      <c r="E198">
        <v>4</v>
      </c>
      <c r="F198">
        <v>65794.960000000006</v>
      </c>
      <c r="G198" s="1">
        <v>45539</v>
      </c>
      <c r="H198" t="s">
        <v>56</v>
      </c>
      <c r="I198">
        <v>4.5999999999999996</v>
      </c>
    </row>
    <row r="199" spans="1:9" x14ac:dyDescent="0.3">
      <c r="A199" t="s">
        <v>242</v>
      </c>
      <c r="B199" t="s">
        <v>21</v>
      </c>
      <c r="C199" t="s">
        <v>22</v>
      </c>
      <c r="D199">
        <v>11103.44</v>
      </c>
      <c r="E199">
        <v>1</v>
      </c>
      <c r="F199">
        <v>11103.44</v>
      </c>
      <c r="G199" s="1">
        <v>45421</v>
      </c>
      <c r="H199" t="s">
        <v>28</v>
      </c>
      <c r="I199">
        <v>1.1000000000000001</v>
      </c>
    </row>
    <row r="200" spans="1:9" x14ac:dyDescent="0.3">
      <c r="A200" t="s">
        <v>243</v>
      </c>
      <c r="B200" t="s">
        <v>100</v>
      </c>
      <c r="C200" t="s">
        <v>11</v>
      </c>
      <c r="D200">
        <v>34255.39</v>
      </c>
      <c r="E200">
        <v>2</v>
      </c>
      <c r="F200">
        <v>68510.78</v>
      </c>
      <c r="G200" s="1">
        <v>45340</v>
      </c>
      <c r="H200" t="s">
        <v>16</v>
      </c>
      <c r="I200">
        <v>2.9</v>
      </c>
    </row>
    <row r="201" spans="1:9" x14ac:dyDescent="0.3">
      <c r="A201" t="s">
        <v>244</v>
      </c>
      <c r="B201" t="s">
        <v>21</v>
      </c>
      <c r="C201" t="s">
        <v>22</v>
      </c>
      <c r="D201">
        <v>18304.18</v>
      </c>
      <c r="E201">
        <v>2</v>
      </c>
      <c r="F201">
        <v>36608.36</v>
      </c>
      <c r="G201" s="1">
        <v>45565</v>
      </c>
      <c r="H201" t="s">
        <v>12</v>
      </c>
      <c r="I201">
        <v>1.6</v>
      </c>
    </row>
    <row r="202" spans="1:9" x14ac:dyDescent="0.3">
      <c r="A202" t="s">
        <v>245</v>
      </c>
      <c r="B202" t="s">
        <v>32</v>
      </c>
      <c r="C202" t="s">
        <v>25</v>
      </c>
      <c r="D202">
        <v>12771.91</v>
      </c>
      <c r="E202">
        <v>2</v>
      </c>
      <c r="F202">
        <v>25543.82</v>
      </c>
      <c r="G202" s="1">
        <v>45484</v>
      </c>
      <c r="H202" t="s">
        <v>28</v>
      </c>
      <c r="I202">
        <v>3.2</v>
      </c>
    </row>
    <row r="203" spans="1:9" x14ac:dyDescent="0.3">
      <c r="A203" t="s">
        <v>246</v>
      </c>
      <c r="B203" t="s">
        <v>46</v>
      </c>
      <c r="C203" t="s">
        <v>11</v>
      </c>
      <c r="D203">
        <v>2275.09</v>
      </c>
      <c r="E203">
        <v>2</v>
      </c>
      <c r="F203">
        <v>4550.18</v>
      </c>
      <c r="G203" s="1">
        <v>45470</v>
      </c>
      <c r="H203" t="s">
        <v>12</v>
      </c>
      <c r="I203">
        <v>1.5</v>
      </c>
    </row>
    <row r="204" spans="1:9" x14ac:dyDescent="0.3">
      <c r="A204" t="s">
        <v>247</v>
      </c>
      <c r="B204" t="s">
        <v>30</v>
      </c>
      <c r="C204" t="s">
        <v>15</v>
      </c>
      <c r="D204">
        <v>16468.59</v>
      </c>
      <c r="E204">
        <v>4</v>
      </c>
      <c r="F204">
        <v>65874.36</v>
      </c>
      <c r="G204" s="1">
        <v>45589</v>
      </c>
      <c r="H204" t="s">
        <v>56</v>
      </c>
      <c r="I204">
        <v>4.5</v>
      </c>
    </row>
    <row r="205" spans="1:9" x14ac:dyDescent="0.3">
      <c r="A205" t="s">
        <v>248</v>
      </c>
      <c r="B205" t="s">
        <v>24</v>
      </c>
      <c r="C205" t="s">
        <v>25</v>
      </c>
      <c r="D205">
        <v>4934.99</v>
      </c>
      <c r="E205">
        <v>3</v>
      </c>
      <c r="F205">
        <v>14804.97</v>
      </c>
      <c r="G205" s="1">
        <v>45581</v>
      </c>
      <c r="H205" t="s">
        <v>47</v>
      </c>
      <c r="I205">
        <v>4.5999999999999996</v>
      </c>
    </row>
    <row r="206" spans="1:9" x14ac:dyDescent="0.3">
      <c r="A206" t="s">
        <v>249</v>
      </c>
      <c r="B206" t="s">
        <v>32</v>
      </c>
      <c r="C206" t="s">
        <v>25</v>
      </c>
      <c r="D206">
        <v>5258.29</v>
      </c>
      <c r="E206">
        <v>5</v>
      </c>
      <c r="F206">
        <v>26291.45</v>
      </c>
      <c r="G206" s="1">
        <v>45527</v>
      </c>
      <c r="H206" t="s">
        <v>28</v>
      </c>
      <c r="I206">
        <v>2.5</v>
      </c>
    </row>
    <row r="207" spans="1:9" x14ac:dyDescent="0.3">
      <c r="A207" t="s">
        <v>250</v>
      </c>
      <c r="B207" t="s">
        <v>69</v>
      </c>
      <c r="C207" t="s">
        <v>19</v>
      </c>
      <c r="D207">
        <v>32580</v>
      </c>
      <c r="E207">
        <v>5</v>
      </c>
      <c r="F207">
        <v>162900</v>
      </c>
      <c r="G207" s="1">
        <v>45378</v>
      </c>
      <c r="H207" t="s">
        <v>42</v>
      </c>
      <c r="I207">
        <v>2.7</v>
      </c>
    </row>
    <row r="208" spans="1:9" x14ac:dyDescent="0.3">
      <c r="A208" t="s">
        <v>251</v>
      </c>
      <c r="B208" t="s">
        <v>120</v>
      </c>
      <c r="C208" t="s">
        <v>25</v>
      </c>
      <c r="D208">
        <v>40298.9</v>
      </c>
      <c r="E208">
        <v>1</v>
      </c>
      <c r="F208">
        <v>40298.9</v>
      </c>
      <c r="G208" s="1">
        <v>45460</v>
      </c>
      <c r="H208" t="s">
        <v>12</v>
      </c>
      <c r="I208">
        <v>1.2</v>
      </c>
    </row>
    <row r="209" spans="1:9" x14ac:dyDescent="0.3">
      <c r="A209" t="s">
        <v>252</v>
      </c>
      <c r="B209" t="s">
        <v>36</v>
      </c>
      <c r="C209" t="s">
        <v>22</v>
      </c>
      <c r="D209">
        <v>11236.19</v>
      </c>
      <c r="E209">
        <v>3</v>
      </c>
      <c r="F209">
        <v>33708.57</v>
      </c>
      <c r="G209" s="1">
        <v>45598</v>
      </c>
      <c r="H209" t="s">
        <v>42</v>
      </c>
      <c r="I209">
        <v>2.6</v>
      </c>
    </row>
    <row r="210" spans="1:9" x14ac:dyDescent="0.3">
      <c r="A210" t="s">
        <v>253</v>
      </c>
      <c r="B210" t="s">
        <v>100</v>
      </c>
      <c r="C210" t="s">
        <v>11</v>
      </c>
      <c r="D210">
        <v>32537.46</v>
      </c>
      <c r="E210">
        <v>5</v>
      </c>
      <c r="F210">
        <v>162687.29999999999</v>
      </c>
      <c r="G210" s="1">
        <v>45593</v>
      </c>
      <c r="H210" t="s">
        <v>16</v>
      </c>
      <c r="I210">
        <v>3.4</v>
      </c>
    </row>
    <row r="211" spans="1:9" x14ac:dyDescent="0.3">
      <c r="A211" t="s">
        <v>254</v>
      </c>
      <c r="B211" t="s">
        <v>14</v>
      </c>
      <c r="C211" t="s">
        <v>15</v>
      </c>
      <c r="D211">
        <v>6953.88</v>
      </c>
      <c r="E211">
        <v>1</v>
      </c>
      <c r="F211">
        <v>6953.88</v>
      </c>
      <c r="G211" s="1">
        <v>45426</v>
      </c>
      <c r="H211" t="s">
        <v>16</v>
      </c>
      <c r="I211">
        <v>2.9</v>
      </c>
    </row>
    <row r="212" spans="1:9" x14ac:dyDescent="0.3">
      <c r="A212" t="s">
        <v>255</v>
      </c>
      <c r="B212" t="s">
        <v>60</v>
      </c>
      <c r="C212" t="s">
        <v>25</v>
      </c>
      <c r="D212">
        <v>32824.050000000003</v>
      </c>
      <c r="E212">
        <v>3</v>
      </c>
      <c r="F212">
        <v>98472.15</v>
      </c>
      <c r="G212" s="1">
        <v>45537</v>
      </c>
      <c r="H212" t="s">
        <v>47</v>
      </c>
      <c r="I212">
        <v>3.6</v>
      </c>
    </row>
    <row r="213" spans="1:9" x14ac:dyDescent="0.3">
      <c r="A213" t="s">
        <v>256</v>
      </c>
      <c r="B213" t="s">
        <v>30</v>
      </c>
      <c r="C213" t="s">
        <v>15</v>
      </c>
      <c r="D213">
        <v>34459.99</v>
      </c>
      <c r="E213">
        <v>3</v>
      </c>
      <c r="F213">
        <v>103379.97</v>
      </c>
      <c r="G213" s="1">
        <v>45570</v>
      </c>
      <c r="H213" t="s">
        <v>12</v>
      </c>
      <c r="I213">
        <v>1.4</v>
      </c>
    </row>
    <row r="214" spans="1:9" x14ac:dyDescent="0.3">
      <c r="A214" t="s">
        <v>257</v>
      </c>
      <c r="B214" t="s">
        <v>10</v>
      </c>
      <c r="C214" t="s">
        <v>11</v>
      </c>
      <c r="D214">
        <v>13608.58</v>
      </c>
      <c r="E214">
        <v>3</v>
      </c>
      <c r="F214">
        <v>40825.74</v>
      </c>
      <c r="G214" s="1">
        <v>45387</v>
      </c>
      <c r="H214" t="s">
        <v>16</v>
      </c>
      <c r="I214">
        <v>4.5999999999999996</v>
      </c>
    </row>
    <row r="215" spans="1:9" x14ac:dyDescent="0.3">
      <c r="A215" t="s">
        <v>258</v>
      </c>
      <c r="B215" t="s">
        <v>27</v>
      </c>
      <c r="C215" t="s">
        <v>25</v>
      </c>
      <c r="D215">
        <v>32630.83</v>
      </c>
      <c r="E215">
        <v>2</v>
      </c>
      <c r="F215">
        <v>65261.66</v>
      </c>
      <c r="G215" s="1">
        <v>45648</v>
      </c>
      <c r="H215" t="s">
        <v>16</v>
      </c>
      <c r="I215">
        <v>4.7</v>
      </c>
    </row>
    <row r="216" spans="1:9" x14ac:dyDescent="0.3">
      <c r="A216" t="s">
        <v>259</v>
      </c>
      <c r="B216" t="s">
        <v>71</v>
      </c>
      <c r="C216" t="s">
        <v>22</v>
      </c>
      <c r="D216">
        <v>24818.77</v>
      </c>
      <c r="E216">
        <v>4</v>
      </c>
      <c r="F216">
        <v>99275.08</v>
      </c>
      <c r="G216" s="1">
        <v>45610</v>
      </c>
      <c r="H216" t="s">
        <v>12</v>
      </c>
      <c r="I216">
        <v>2.2999999999999998</v>
      </c>
    </row>
    <row r="217" spans="1:9" x14ac:dyDescent="0.3">
      <c r="A217" t="s">
        <v>260</v>
      </c>
      <c r="B217" t="s">
        <v>50</v>
      </c>
      <c r="C217" t="s">
        <v>11</v>
      </c>
      <c r="D217">
        <v>36645.35</v>
      </c>
      <c r="E217">
        <v>3</v>
      </c>
      <c r="F217">
        <v>109936.05</v>
      </c>
      <c r="G217" s="1">
        <v>45652</v>
      </c>
      <c r="H217" t="s">
        <v>12</v>
      </c>
      <c r="I217">
        <v>2.5</v>
      </c>
    </row>
    <row r="218" spans="1:9" x14ac:dyDescent="0.3">
      <c r="A218" t="s">
        <v>261</v>
      </c>
      <c r="B218" t="s">
        <v>14</v>
      </c>
      <c r="C218" t="s">
        <v>15</v>
      </c>
      <c r="D218">
        <v>25668.959999999999</v>
      </c>
      <c r="E218">
        <v>3</v>
      </c>
      <c r="F218">
        <v>77006.880000000005</v>
      </c>
      <c r="G218" s="1">
        <v>45451</v>
      </c>
      <c r="H218" t="s">
        <v>12</v>
      </c>
      <c r="I218">
        <v>4.8</v>
      </c>
    </row>
    <row r="219" spans="1:9" x14ac:dyDescent="0.3">
      <c r="A219" t="s">
        <v>262</v>
      </c>
      <c r="B219" t="s">
        <v>151</v>
      </c>
      <c r="C219" t="s">
        <v>15</v>
      </c>
      <c r="D219">
        <v>44241.68</v>
      </c>
      <c r="E219">
        <v>4</v>
      </c>
      <c r="F219">
        <v>176966.72</v>
      </c>
      <c r="G219" s="1">
        <v>45553</v>
      </c>
      <c r="H219" t="s">
        <v>42</v>
      </c>
      <c r="I219">
        <v>1.4</v>
      </c>
    </row>
    <row r="220" spans="1:9" x14ac:dyDescent="0.3">
      <c r="A220" t="s">
        <v>263</v>
      </c>
      <c r="B220" t="s">
        <v>82</v>
      </c>
      <c r="C220" t="s">
        <v>22</v>
      </c>
      <c r="D220">
        <v>39749.19</v>
      </c>
      <c r="E220">
        <v>1</v>
      </c>
      <c r="F220">
        <v>39749.19</v>
      </c>
      <c r="G220" s="1">
        <v>45492</v>
      </c>
      <c r="H220" t="s">
        <v>42</v>
      </c>
      <c r="I220">
        <v>3.5</v>
      </c>
    </row>
    <row r="221" spans="1:9" x14ac:dyDescent="0.3">
      <c r="A221" t="s">
        <v>264</v>
      </c>
      <c r="B221" t="s">
        <v>36</v>
      </c>
      <c r="C221" t="s">
        <v>22</v>
      </c>
      <c r="D221">
        <v>37578.46</v>
      </c>
      <c r="E221">
        <v>2</v>
      </c>
      <c r="F221">
        <v>75156.92</v>
      </c>
      <c r="G221" s="1">
        <v>45451</v>
      </c>
      <c r="H221" t="s">
        <v>56</v>
      </c>
      <c r="I221">
        <v>4.4000000000000004</v>
      </c>
    </row>
    <row r="222" spans="1:9" x14ac:dyDescent="0.3">
      <c r="A222" t="s">
        <v>265</v>
      </c>
      <c r="B222" t="s">
        <v>44</v>
      </c>
      <c r="C222" t="s">
        <v>22</v>
      </c>
      <c r="D222">
        <v>37203.65</v>
      </c>
      <c r="E222">
        <v>4</v>
      </c>
      <c r="F222">
        <v>148814.6</v>
      </c>
      <c r="G222" s="1">
        <v>45426</v>
      </c>
      <c r="H222" t="s">
        <v>28</v>
      </c>
      <c r="I222">
        <v>3.5</v>
      </c>
    </row>
    <row r="223" spans="1:9" x14ac:dyDescent="0.3">
      <c r="A223" t="s">
        <v>266</v>
      </c>
      <c r="B223" t="s">
        <v>100</v>
      </c>
      <c r="C223" t="s">
        <v>11</v>
      </c>
      <c r="D223">
        <v>22851.63</v>
      </c>
      <c r="E223">
        <v>1</v>
      </c>
      <c r="F223">
        <v>22851.63</v>
      </c>
      <c r="G223" s="1">
        <v>45426</v>
      </c>
      <c r="H223" t="s">
        <v>28</v>
      </c>
      <c r="I223">
        <v>1</v>
      </c>
    </row>
    <row r="224" spans="1:9" x14ac:dyDescent="0.3">
      <c r="A224" t="s">
        <v>267</v>
      </c>
      <c r="B224" t="s">
        <v>69</v>
      </c>
      <c r="C224" t="s">
        <v>19</v>
      </c>
      <c r="D224">
        <v>27627.84</v>
      </c>
      <c r="E224">
        <v>4</v>
      </c>
      <c r="F224">
        <v>110511.36</v>
      </c>
      <c r="G224" s="1">
        <v>45381</v>
      </c>
      <c r="H224" t="s">
        <v>16</v>
      </c>
      <c r="I224">
        <v>1.8</v>
      </c>
    </row>
    <row r="225" spans="1:9" x14ac:dyDescent="0.3">
      <c r="A225" t="s">
        <v>268</v>
      </c>
      <c r="B225" t="s">
        <v>100</v>
      </c>
      <c r="C225" t="s">
        <v>11</v>
      </c>
      <c r="D225">
        <v>31333.95</v>
      </c>
      <c r="E225">
        <v>3</v>
      </c>
      <c r="F225">
        <v>94001.85</v>
      </c>
      <c r="G225" s="1">
        <v>45525</v>
      </c>
      <c r="H225" t="s">
        <v>12</v>
      </c>
      <c r="I225">
        <v>1.7</v>
      </c>
    </row>
    <row r="226" spans="1:9" x14ac:dyDescent="0.3">
      <c r="A226" t="s">
        <v>269</v>
      </c>
      <c r="B226" t="s">
        <v>60</v>
      </c>
      <c r="C226" t="s">
        <v>25</v>
      </c>
      <c r="D226">
        <v>30911.439999999999</v>
      </c>
      <c r="E226">
        <v>5</v>
      </c>
      <c r="F226">
        <v>154557.20000000001</v>
      </c>
      <c r="G226" s="1">
        <v>45388</v>
      </c>
      <c r="H226" t="s">
        <v>12</v>
      </c>
      <c r="I226">
        <v>3</v>
      </c>
    </row>
    <row r="227" spans="1:9" x14ac:dyDescent="0.3">
      <c r="A227" t="s">
        <v>270</v>
      </c>
      <c r="B227" t="s">
        <v>71</v>
      </c>
      <c r="C227" t="s">
        <v>22</v>
      </c>
      <c r="D227">
        <v>11518.23</v>
      </c>
      <c r="E227">
        <v>1</v>
      </c>
      <c r="F227">
        <v>11518.23</v>
      </c>
      <c r="G227" s="1">
        <v>45687</v>
      </c>
      <c r="H227" t="s">
        <v>12</v>
      </c>
      <c r="I227">
        <v>4.4000000000000004</v>
      </c>
    </row>
    <row r="228" spans="1:9" x14ac:dyDescent="0.3">
      <c r="A228" t="s">
        <v>271</v>
      </c>
      <c r="B228" t="s">
        <v>14</v>
      </c>
      <c r="C228" t="s">
        <v>15</v>
      </c>
      <c r="D228">
        <v>43304.55</v>
      </c>
      <c r="E228">
        <v>5</v>
      </c>
      <c r="F228">
        <v>216522.75</v>
      </c>
      <c r="G228" s="1">
        <v>45654</v>
      </c>
      <c r="H228" t="s">
        <v>16</v>
      </c>
      <c r="I228">
        <v>2.6</v>
      </c>
    </row>
    <row r="229" spans="1:9" x14ac:dyDescent="0.3">
      <c r="A229" t="s">
        <v>272</v>
      </c>
      <c r="B229" t="s">
        <v>100</v>
      </c>
      <c r="C229" t="s">
        <v>11</v>
      </c>
      <c r="D229">
        <v>3710.07</v>
      </c>
      <c r="E229">
        <v>3</v>
      </c>
      <c r="F229">
        <v>11130.21</v>
      </c>
      <c r="G229" s="1">
        <v>45342</v>
      </c>
      <c r="H229" t="s">
        <v>47</v>
      </c>
      <c r="I229">
        <v>4.2</v>
      </c>
    </row>
    <row r="230" spans="1:9" x14ac:dyDescent="0.3">
      <c r="A230" t="s">
        <v>273</v>
      </c>
      <c r="B230" t="s">
        <v>38</v>
      </c>
      <c r="C230" t="s">
        <v>19</v>
      </c>
      <c r="D230">
        <v>34621.21</v>
      </c>
      <c r="E230">
        <v>2</v>
      </c>
      <c r="F230">
        <v>69242.42</v>
      </c>
      <c r="G230" s="1">
        <v>45663</v>
      </c>
      <c r="H230" t="s">
        <v>28</v>
      </c>
      <c r="I230">
        <v>1.8</v>
      </c>
    </row>
    <row r="231" spans="1:9" x14ac:dyDescent="0.3">
      <c r="A231" t="s">
        <v>274</v>
      </c>
      <c r="B231" t="s">
        <v>82</v>
      </c>
      <c r="C231" t="s">
        <v>22</v>
      </c>
      <c r="D231">
        <v>41742.29</v>
      </c>
      <c r="E231">
        <v>5</v>
      </c>
      <c r="F231">
        <v>208711.45</v>
      </c>
      <c r="G231" s="1">
        <v>45488</v>
      </c>
      <c r="H231" t="s">
        <v>42</v>
      </c>
      <c r="I231">
        <v>2.6</v>
      </c>
    </row>
    <row r="232" spans="1:9" x14ac:dyDescent="0.3">
      <c r="A232" t="s">
        <v>275</v>
      </c>
      <c r="B232" t="s">
        <v>60</v>
      </c>
      <c r="C232" t="s">
        <v>25</v>
      </c>
      <c r="D232">
        <v>46858.63</v>
      </c>
      <c r="E232">
        <v>1</v>
      </c>
      <c r="F232">
        <v>46858.63</v>
      </c>
      <c r="G232" s="1">
        <v>45598</v>
      </c>
      <c r="H232" t="s">
        <v>12</v>
      </c>
      <c r="I232">
        <v>3.5</v>
      </c>
    </row>
    <row r="233" spans="1:9" x14ac:dyDescent="0.3">
      <c r="A233" t="s">
        <v>276</v>
      </c>
      <c r="B233" t="s">
        <v>21</v>
      </c>
      <c r="C233" t="s">
        <v>22</v>
      </c>
      <c r="D233">
        <v>5413.09</v>
      </c>
      <c r="E233">
        <v>1</v>
      </c>
      <c r="F233">
        <v>5413.09</v>
      </c>
      <c r="G233" s="1">
        <v>45432</v>
      </c>
      <c r="H233" t="s">
        <v>16</v>
      </c>
      <c r="I233">
        <v>3.4</v>
      </c>
    </row>
    <row r="234" spans="1:9" x14ac:dyDescent="0.3">
      <c r="A234" t="s">
        <v>277</v>
      </c>
      <c r="B234" t="s">
        <v>71</v>
      </c>
      <c r="C234" t="s">
        <v>22</v>
      </c>
      <c r="D234">
        <v>5880.45</v>
      </c>
      <c r="E234">
        <v>1</v>
      </c>
      <c r="F234">
        <v>5880.45</v>
      </c>
      <c r="G234" s="1">
        <v>45544</v>
      </c>
      <c r="H234" t="s">
        <v>56</v>
      </c>
      <c r="I234">
        <v>2</v>
      </c>
    </row>
    <row r="235" spans="1:9" x14ac:dyDescent="0.3">
      <c r="A235" t="s">
        <v>278</v>
      </c>
      <c r="B235" t="s">
        <v>46</v>
      </c>
      <c r="C235" t="s">
        <v>11</v>
      </c>
      <c r="D235">
        <v>35665.26</v>
      </c>
      <c r="E235">
        <v>3</v>
      </c>
      <c r="F235">
        <v>106995.78</v>
      </c>
      <c r="G235" s="1">
        <v>45381</v>
      </c>
      <c r="H235" t="s">
        <v>28</v>
      </c>
      <c r="I235">
        <v>1.2</v>
      </c>
    </row>
    <row r="236" spans="1:9" x14ac:dyDescent="0.3">
      <c r="A236" t="s">
        <v>279</v>
      </c>
      <c r="B236" t="s">
        <v>82</v>
      </c>
      <c r="C236" t="s">
        <v>22</v>
      </c>
      <c r="D236">
        <v>42981.89</v>
      </c>
      <c r="E236">
        <v>5</v>
      </c>
      <c r="F236">
        <v>214909.45</v>
      </c>
      <c r="G236" s="1">
        <v>45659</v>
      </c>
      <c r="H236" t="s">
        <v>47</v>
      </c>
      <c r="I236">
        <v>1.8</v>
      </c>
    </row>
    <row r="237" spans="1:9" x14ac:dyDescent="0.3">
      <c r="A237" t="s">
        <v>280</v>
      </c>
      <c r="B237" t="s">
        <v>46</v>
      </c>
      <c r="C237" t="s">
        <v>11</v>
      </c>
      <c r="D237">
        <v>25629.88</v>
      </c>
      <c r="E237">
        <v>3</v>
      </c>
      <c r="F237">
        <v>76889.64</v>
      </c>
      <c r="G237" s="1">
        <v>45538</v>
      </c>
      <c r="H237" t="s">
        <v>12</v>
      </c>
      <c r="I237">
        <v>2.9</v>
      </c>
    </row>
    <row r="238" spans="1:9" x14ac:dyDescent="0.3">
      <c r="A238" t="s">
        <v>281</v>
      </c>
      <c r="B238" t="s">
        <v>38</v>
      </c>
      <c r="C238" t="s">
        <v>19</v>
      </c>
      <c r="D238">
        <v>22475.94</v>
      </c>
      <c r="E238">
        <v>4</v>
      </c>
      <c r="F238">
        <v>89903.76</v>
      </c>
      <c r="G238" s="1">
        <v>45335</v>
      </c>
      <c r="H238" t="s">
        <v>12</v>
      </c>
      <c r="I238">
        <v>3.5</v>
      </c>
    </row>
    <row r="239" spans="1:9" x14ac:dyDescent="0.3">
      <c r="A239" t="s">
        <v>282</v>
      </c>
      <c r="B239" t="s">
        <v>120</v>
      </c>
      <c r="C239" t="s">
        <v>25</v>
      </c>
      <c r="D239">
        <v>33250.699999999997</v>
      </c>
      <c r="E239">
        <v>5</v>
      </c>
      <c r="F239">
        <v>166253.5</v>
      </c>
      <c r="G239" s="1">
        <v>45584</v>
      </c>
      <c r="H239" t="s">
        <v>28</v>
      </c>
      <c r="I239">
        <v>4.3</v>
      </c>
    </row>
    <row r="240" spans="1:9" x14ac:dyDescent="0.3">
      <c r="A240" t="s">
        <v>283</v>
      </c>
      <c r="B240" t="s">
        <v>50</v>
      </c>
      <c r="C240" t="s">
        <v>11</v>
      </c>
      <c r="D240">
        <v>45045.03</v>
      </c>
      <c r="E240">
        <v>5</v>
      </c>
      <c r="F240">
        <v>225225.15</v>
      </c>
      <c r="G240" s="1">
        <v>45659</v>
      </c>
      <c r="H240" t="s">
        <v>56</v>
      </c>
      <c r="I240">
        <v>3.8</v>
      </c>
    </row>
    <row r="241" spans="1:9" x14ac:dyDescent="0.3">
      <c r="A241" t="s">
        <v>284</v>
      </c>
      <c r="B241" t="s">
        <v>60</v>
      </c>
      <c r="C241" t="s">
        <v>25</v>
      </c>
      <c r="D241">
        <v>3955.86</v>
      </c>
      <c r="E241">
        <v>5</v>
      </c>
      <c r="F241">
        <v>19779.3</v>
      </c>
      <c r="G241" s="1">
        <v>45461</v>
      </c>
      <c r="H241" t="s">
        <v>56</v>
      </c>
      <c r="I241">
        <v>4.7</v>
      </c>
    </row>
    <row r="242" spans="1:9" x14ac:dyDescent="0.3">
      <c r="A242" t="s">
        <v>285</v>
      </c>
      <c r="B242" t="s">
        <v>38</v>
      </c>
      <c r="C242" t="s">
        <v>19</v>
      </c>
      <c r="D242">
        <v>28169.11</v>
      </c>
      <c r="E242">
        <v>5</v>
      </c>
      <c r="F242">
        <v>140845.54999999999</v>
      </c>
      <c r="G242" s="1">
        <v>45416</v>
      </c>
      <c r="H242" t="s">
        <v>16</v>
      </c>
      <c r="I242">
        <v>2.7</v>
      </c>
    </row>
    <row r="243" spans="1:9" x14ac:dyDescent="0.3">
      <c r="A243" t="s">
        <v>286</v>
      </c>
      <c r="B243" t="s">
        <v>18</v>
      </c>
      <c r="C243" t="s">
        <v>19</v>
      </c>
      <c r="D243">
        <v>42785.51</v>
      </c>
      <c r="E243">
        <v>4</v>
      </c>
      <c r="F243">
        <v>171142.04</v>
      </c>
      <c r="G243" s="1">
        <v>45609</v>
      </c>
      <c r="H243" t="s">
        <v>42</v>
      </c>
      <c r="I243">
        <v>1.7</v>
      </c>
    </row>
    <row r="244" spans="1:9" x14ac:dyDescent="0.3">
      <c r="A244" t="s">
        <v>287</v>
      </c>
      <c r="B244" t="s">
        <v>44</v>
      </c>
      <c r="C244" t="s">
        <v>22</v>
      </c>
      <c r="D244">
        <v>25614.35</v>
      </c>
      <c r="E244">
        <v>2</v>
      </c>
      <c r="F244">
        <v>51228.7</v>
      </c>
      <c r="G244" s="1">
        <v>45516</v>
      </c>
      <c r="H244" t="s">
        <v>28</v>
      </c>
      <c r="I244">
        <v>3.5</v>
      </c>
    </row>
    <row r="245" spans="1:9" x14ac:dyDescent="0.3">
      <c r="A245" t="s">
        <v>288</v>
      </c>
      <c r="B245" t="s">
        <v>27</v>
      </c>
      <c r="C245" t="s">
        <v>25</v>
      </c>
      <c r="D245">
        <v>7771.58</v>
      </c>
      <c r="E245">
        <v>5</v>
      </c>
      <c r="F245">
        <v>38857.9</v>
      </c>
      <c r="G245" s="1">
        <v>45521</v>
      </c>
      <c r="H245" t="s">
        <v>12</v>
      </c>
      <c r="I245">
        <v>3.6</v>
      </c>
    </row>
    <row r="246" spans="1:9" x14ac:dyDescent="0.3">
      <c r="A246" t="s">
        <v>289</v>
      </c>
      <c r="B246" t="s">
        <v>50</v>
      </c>
      <c r="C246" t="s">
        <v>11</v>
      </c>
      <c r="D246">
        <v>31059.47</v>
      </c>
      <c r="E246">
        <v>3</v>
      </c>
      <c r="F246">
        <v>93178.41</v>
      </c>
      <c r="G246" s="1">
        <v>45427</v>
      </c>
      <c r="H246" t="s">
        <v>28</v>
      </c>
      <c r="I246">
        <v>4.8</v>
      </c>
    </row>
    <row r="247" spans="1:9" x14ac:dyDescent="0.3">
      <c r="A247" t="s">
        <v>290</v>
      </c>
      <c r="B247" t="s">
        <v>10</v>
      </c>
      <c r="C247" t="s">
        <v>11</v>
      </c>
      <c r="D247">
        <v>14506.11</v>
      </c>
      <c r="E247">
        <v>5</v>
      </c>
      <c r="F247">
        <v>72530.55</v>
      </c>
      <c r="G247" s="1">
        <v>45459</v>
      </c>
      <c r="H247" t="s">
        <v>12</v>
      </c>
      <c r="I247">
        <v>3.5</v>
      </c>
    </row>
    <row r="248" spans="1:9" x14ac:dyDescent="0.3">
      <c r="A248" t="s">
        <v>291</v>
      </c>
      <c r="B248" t="s">
        <v>21</v>
      </c>
      <c r="C248" t="s">
        <v>22</v>
      </c>
      <c r="D248">
        <v>16272.38</v>
      </c>
      <c r="E248">
        <v>3</v>
      </c>
      <c r="F248">
        <v>48817.14</v>
      </c>
      <c r="G248" s="1">
        <v>45458</v>
      </c>
      <c r="H248" t="s">
        <v>12</v>
      </c>
      <c r="I248">
        <v>1.4</v>
      </c>
    </row>
    <row r="249" spans="1:9" x14ac:dyDescent="0.3">
      <c r="A249" t="s">
        <v>292</v>
      </c>
      <c r="B249" t="s">
        <v>54</v>
      </c>
      <c r="C249" t="s">
        <v>15</v>
      </c>
      <c r="D249">
        <v>29222.92</v>
      </c>
      <c r="E249">
        <v>3</v>
      </c>
      <c r="F249">
        <v>87668.76</v>
      </c>
      <c r="G249" s="1">
        <v>45581</v>
      </c>
      <c r="H249" t="s">
        <v>12</v>
      </c>
      <c r="I249">
        <v>2.7</v>
      </c>
    </row>
    <row r="250" spans="1:9" x14ac:dyDescent="0.3">
      <c r="A250" t="s">
        <v>293</v>
      </c>
      <c r="B250" t="s">
        <v>10</v>
      </c>
      <c r="C250" t="s">
        <v>11</v>
      </c>
      <c r="D250">
        <v>1483.5</v>
      </c>
      <c r="E250">
        <v>5</v>
      </c>
      <c r="F250">
        <v>7417.5</v>
      </c>
      <c r="G250" s="1">
        <v>45600</v>
      </c>
      <c r="H250" t="s">
        <v>12</v>
      </c>
      <c r="I250">
        <v>4.3</v>
      </c>
    </row>
    <row r="251" spans="1:9" x14ac:dyDescent="0.3">
      <c r="A251" t="s">
        <v>294</v>
      </c>
      <c r="B251" t="s">
        <v>100</v>
      </c>
      <c r="C251" t="s">
        <v>11</v>
      </c>
      <c r="D251">
        <v>35629.550000000003</v>
      </c>
      <c r="E251">
        <v>2</v>
      </c>
      <c r="F251">
        <v>71259.100000000006</v>
      </c>
      <c r="G251" s="1">
        <v>45689</v>
      </c>
      <c r="H251" t="s">
        <v>28</v>
      </c>
      <c r="I251">
        <v>2</v>
      </c>
    </row>
    <row r="252" spans="1:9" x14ac:dyDescent="0.3">
      <c r="A252" t="s">
        <v>295</v>
      </c>
      <c r="B252" t="s">
        <v>34</v>
      </c>
      <c r="C252" t="s">
        <v>15</v>
      </c>
      <c r="D252">
        <v>1987.98</v>
      </c>
      <c r="E252">
        <v>4</v>
      </c>
      <c r="F252">
        <v>7951.92</v>
      </c>
      <c r="G252" s="1">
        <v>45345</v>
      </c>
      <c r="H252" t="s">
        <v>16</v>
      </c>
      <c r="I252">
        <v>3.3</v>
      </c>
    </row>
    <row r="253" spans="1:9" x14ac:dyDescent="0.3">
      <c r="A253" t="s">
        <v>296</v>
      </c>
      <c r="B253" t="s">
        <v>10</v>
      </c>
      <c r="C253" t="s">
        <v>11</v>
      </c>
      <c r="D253">
        <v>37590.44</v>
      </c>
      <c r="E253">
        <v>4</v>
      </c>
      <c r="F253">
        <v>150361.76</v>
      </c>
      <c r="G253" s="1">
        <v>45379</v>
      </c>
      <c r="H253" t="s">
        <v>28</v>
      </c>
      <c r="I253">
        <v>1.8</v>
      </c>
    </row>
    <row r="254" spans="1:9" x14ac:dyDescent="0.3">
      <c r="A254" t="s">
        <v>297</v>
      </c>
      <c r="B254" t="s">
        <v>27</v>
      </c>
      <c r="C254" t="s">
        <v>25</v>
      </c>
      <c r="D254">
        <v>31759.49</v>
      </c>
      <c r="E254">
        <v>4</v>
      </c>
      <c r="F254">
        <v>127037.96</v>
      </c>
      <c r="G254" s="1">
        <v>45637</v>
      </c>
      <c r="H254" t="s">
        <v>16</v>
      </c>
      <c r="I254">
        <v>2</v>
      </c>
    </row>
    <row r="255" spans="1:9" x14ac:dyDescent="0.3">
      <c r="A255" t="s">
        <v>298</v>
      </c>
      <c r="B255" t="s">
        <v>75</v>
      </c>
      <c r="C255" t="s">
        <v>19</v>
      </c>
      <c r="D255">
        <v>18787.05</v>
      </c>
      <c r="E255">
        <v>4</v>
      </c>
      <c r="F255">
        <v>75148.2</v>
      </c>
      <c r="G255" s="1">
        <v>45684</v>
      </c>
      <c r="H255" t="s">
        <v>47</v>
      </c>
      <c r="I255">
        <v>1.1000000000000001</v>
      </c>
    </row>
    <row r="256" spans="1:9" x14ac:dyDescent="0.3">
      <c r="A256" t="s">
        <v>299</v>
      </c>
      <c r="B256" t="s">
        <v>10</v>
      </c>
      <c r="C256" t="s">
        <v>11</v>
      </c>
      <c r="D256">
        <v>17066.16</v>
      </c>
      <c r="E256">
        <v>1</v>
      </c>
      <c r="F256">
        <v>17066.16</v>
      </c>
      <c r="G256" s="1">
        <v>45550</v>
      </c>
      <c r="H256" t="s">
        <v>28</v>
      </c>
      <c r="I256">
        <v>2.8</v>
      </c>
    </row>
    <row r="257" spans="1:9" x14ac:dyDescent="0.3">
      <c r="A257" t="s">
        <v>300</v>
      </c>
      <c r="B257" t="s">
        <v>34</v>
      </c>
      <c r="C257" t="s">
        <v>15</v>
      </c>
      <c r="D257">
        <v>15068.72</v>
      </c>
      <c r="E257">
        <v>4</v>
      </c>
      <c r="F257">
        <v>60274.879999999997</v>
      </c>
      <c r="G257" s="1">
        <v>45374</v>
      </c>
      <c r="H257" t="s">
        <v>12</v>
      </c>
      <c r="I257">
        <v>1.4</v>
      </c>
    </row>
    <row r="258" spans="1:9" x14ac:dyDescent="0.3">
      <c r="A258" t="s">
        <v>301</v>
      </c>
      <c r="B258" t="s">
        <v>44</v>
      </c>
      <c r="C258" t="s">
        <v>22</v>
      </c>
      <c r="D258">
        <v>44334.11</v>
      </c>
      <c r="E258">
        <v>3</v>
      </c>
      <c r="F258">
        <v>133002.32999999999</v>
      </c>
      <c r="G258" s="1">
        <v>45346</v>
      </c>
      <c r="H258" t="s">
        <v>28</v>
      </c>
      <c r="I258">
        <v>2.6</v>
      </c>
    </row>
    <row r="259" spans="1:9" x14ac:dyDescent="0.3">
      <c r="A259" t="s">
        <v>302</v>
      </c>
      <c r="B259" t="s">
        <v>44</v>
      </c>
      <c r="C259" t="s">
        <v>22</v>
      </c>
      <c r="D259">
        <v>11183.75</v>
      </c>
      <c r="E259">
        <v>1</v>
      </c>
      <c r="F259">
        <v>11183.75</v>
      </c>
      <c r="G259" s="1">
        <v>45611</v>
      </c>
      <c r="H259" t="s">
        <v>47</v>
      </c>
      <c r="I259">
        <v>4.9000000000000004</v>
      </c>
    </row>
    <row r="260" spans="1:9" x14ac:dyDescent="0.3">
      <c r="A260" t="s">
        <v>303</v>
      </c>
      <c r="B260" t="s">
        <v>24</v>
      </c>
      <c r="C260" t="s">
        <v>25</v>
      </c>
      <c r="D260">
        <v>2923.95</v>
      </c>
      <c r="E260">
        <v>5</v>
      </c>
      <c r="F260">
        <v>14619.75</v>
      </c>
      <c r="G260" s="1">
        <v>45520</v>
      </c>
      <c r="H260" t="s">
        <v>56</v>
      </c>
      <c r="I260">
        <v>1.1000000000000001</v>
      </c>
    </row>
    <row r="261" spans="1:9" x14ac:dyDescent="0.3">
      <c r="A261" t="s">
        <v>304</v>
      </c>
      <c r="B261" t="s">
        <v>75</v>
      </c>
      <c r="C261" t="s">
        <v>19</v>
      </c>
      <c r="D261">
        <v>7339.66</v>
      </c>
      <c r="E261">
        <v>2</v>
      </c>
      <c r="F261">
        <v>14679.32</v>
      </c>
      <c r="G261" s="1">
        <v>45625</v>
      </c>
      <c r="H261" t="s">
        <v>56</v>
      </c>
      <c r="I261">
        <v>1.1000000000000001</v>
      </c>
    </row>
    <row r="262" spans="1:9" x14ac:dyDescent="0.3">
      <c r="A262" t="s">
        <v>305</v>
      </c>
      <c r="B262" t="s">
        <v>32</v>
      </c>
      <c r="C262" t="s">
        <v>25</v>
      </c>
      <c r="D262">
        <v>41405.370000000003</v>
      </c>
      <c r="E262">
        <v>2</v>
      </c>
      <c r="F262">
        <v>82810.740000000005</v>
      </c>
      <c r="G262" s="1">
        <v>45571</v>
      </c>
      <c r="H262" t="s">
        <v>28</v>
      </c>
      <c r="I262">
        <v>4.5999999999999996</v>
      </c>
    </row>
    <row r="263" spans="1:9" x14ac:dyDescent="0.3">
      <c r="A263" t="s">
        <v>306</v>
      </c>
      <c r="B263" t="s">
        <v>27</v>
      </c>
      <c r="C263" t="s">
        <v>25</v>
      </c>
      <c r="D263">
        <v>36114.379999999997</v>
      </c>
      <c r="E263">
        <v>1</v>
      </c>
      <c r="F263">
        <v>36114.379999999997</v>
      </c>
      <c r="G263" s="1">
        <v>45536</v>
      </c>
      <c r="H263" t="s">
        <v>56</v>
      </c>
      <c r="I263">
        <v>4.5999999999999996</v>
      </c>
    </row>
    <row r="264" spans="1:9" x14ac:dyDescent="0.3">
      <c r="A264" t="s">
        <v>307</v>
      </c>
      <c r="B264" t="s">
        <v>44</v>
      </c>
      <c r="C264" t="s">
        <v>22</v>
      </c>
      <c r="D264">
        <v>19915.59</v>
      </c>
      <c r="E264">
        <v>5</v>
      </c>
      <c r="F264">
        <v>99577.95</v>
      </c>
      <c r="G264" s="1">
        <v>45541</v>
      </c>
      <c r="H264" t="s">
        <v>42</v>
      </c>
      <c r="I264">
        <v>1.2</v>
      </c>
    </row>
    <row r="265" spans="1:9" x14ac:dyDescent="0.3">
      <c r="A265" t="s">
        <v>308</v>
      </c>
      <c r="B265" t="s">
        <v>44</v>
      </c>
      <c r="C265" t="s">
        <v>22</v>
      </c>
      <c r="D265">
        <v>18366.97</v>
      </c>
      <c r="E265">
        <v>4</v>
      </c>
      <c r="F265">
        <v>73467.88</v>
      </c>
      <c r="G265" s="1">
        <v>45434</v>
      </c>
      <c r="H265" t="s">
        <v>42</v>
      </c>
      <c r="I265">
        <v>1.2</v>
      </c>
    </row>
    <row r="266" spans="1:9" x14ac:dyDescent="0.3">
      <c r="A266" t="s">
        <v>309</v>
      </c>
      <c r="B266" t="s">
        <v>44</v>
      </c>
      <c r="C266" t="s">
        <v>22</v>
      </c>
      <c r="D266">
        <v>8563.14</v>
      </c>
      <c r="E266">
        <v>2</v>
      </c>
      <c r="F266">
        <v>17126.28</v>
      </c>
      <c r="G266" s="1">
        <v>45354</v>
      </c>
      <c r="H266" t="s">
        <v>42</v>
      </c>
      <c r="I266">
        <v>3.1</v>
      </c>
    </row>
    <row r="267" spans="1:9" x14ac:dyDescent="0.3">
      <c r="A267" t="s">
        <v>310</v>
      </c>
      <c r="B267" t="s">
        <v>69</v>
      </c>
      <c r="C267" t="s">
        <v>19</v>
      </c>
      <c r="D267">
        <v>40461.79</v>
      </c>
      <c r="E267">
        <v>1</v>
      </c>
      <c r="F267">
        <v>40461.79</v>
      </c>
      <c r="G267" s="1">
        <v>45431</v>
      </c>
      <c r="H267" t="s">
        <v>47</v>
      </c>
      <c r="I267">
        <v>4.9000000000000004</v>
      </c>
    </row>
    <row r="268" spans="1:9" x14ac:dyDescent="0.3">
      <c r="A268" t="s">
        <v>311</v>
      </c>
      <c r="B268" t="s">
        <v>34</v>
      </c>
      <c r="C268" t="s">
        <v>15</v>
      </c>
      <c r="D268">
        <v>6943.4</v>
      </c>
      <c r="E268">
        <v>5</v>
      </c>
      <c r="F268">
        <v>34717</v>
      </c>
      <c r="G268" s="1">
        <v>45489</v>
      </c>
      <c r="H268" t="s">
        <v>12</v>
      </c>
      <c r="I268">
        <v>1.5</v>
      </c>
    </row>
    <row r="269" spans="1:9" x14ac:dyDescent="0.3">
      <c r="A269" t="s">
        <v>312</v>
      </c>
      <c r="B269" t="s">
        <v>75</v>
      </c>
      <c r="C269" t="s">
        <v>19</v>
      </c>
      <c r="D269">
        <v>14517.08</v>
      </c>
      <c r="E269">
        <v>1</v>
      </c>
      <c r="F269">
        <v>14517.08</v>
      </c>
      <c r="G269" s="1">
        <v>45431</v>
      </c>
      <c r="H269" t="s">
        <v>16</v>
      </c>
      <c r="I269">
        <v>3</v>
      </c>
    </row>
    <row r="270" spans="1:9" x14ac:dyDescent="0.3">
      <c r="A270" t="s">
        <v>313</v>
      </c>
      <c r="B270" t="s">
        <v>36</v>
      </c>
      <c r="C270" t="s">
        <v>22</v>
      </c>
      <c r="D270">
        <v>4248.25</v>
      </c>
      <c r="E270">
        <v>5</v>
      </c>
      <c r="F270">
        <v>21241.25</v>
      </c>
      <c r="G270" s="1">
        <v>45492</v>
      </c>
      <c r="H270" t="s">
        <v>28</v>
      </c>
      <c r="I270">
        <v>4.0999999999999996</v>
      </c>
    </row>
    <row r="271" spans="1:9" x14ac:dyDescent="0.3">
      <c r="A271" t="s">
        <v>314</v>
      </c>
      <c r="B271" t="s">
        <v>27</v>
      </c>
      <c r="C271" t="s">
        <v>25</v>
      </c>
      <c r="D271">
        <v>43118.73</v>
      </c>
      <c r="E271">
        <v>5</v>
      </c>
      <c r="F271">
        <v>215593.65</v>
      </c>
      <c r="G271" s="1">
        <v>45638</v>
      </c>
      <c r="H271" t="s">
        <v>12</v>
      </c>
      <c r="I271">
        <v>3.1</v>
      </c>
    </row>
    <row r="272" spans="1:9" x14ac:dyDescent="0.3">
      <c r="A272" t="s">
        <v>315</v>
      </c>
      <c r="B272" t="s">
        <v>151</v>
      </c>
      <c r="C272" t="s">
        <v>15</v>
      </c>
      <c r="D272">
        <v>10086.76</v>
      </c>
      <c r="E272">
        <v>2</v>
      </c>
      <c r="F272">
        <v>20173.52</v>
      </c>
      <c r="G272" s="1">
        <v>45377</v>
      </c>
      <c r="H272" t="s">
        <v>28</v>
      </c>
      <c r="I272">
        <v>1.9</v>
      </c>
    </row>
    <row r="273" spans="1:9" x14ac:dyDescent="0.3">
      <c r="A273" t="s">
        <v>316</v>
      </c>
      <c r="B273" t="s">
        <v>18</v>
      </c>
      <c r="C273" t="s">
        <v>19</v>
      </c>
      <c r="D273">
        <v>35373.5</v>
      </c>
      <c r="E273">
        <v>4</v>
      </c>
      <c r="F273">
        <v>141494</v>
      </c>
      <c r="G273" s="1">
        <v>45513</v>
      </c>
      <c r="H273" t="s">
        <v>47</v>
      </c>
      <c r="I273">
        <v>2.9</v>
      </c>
    </row>
    <row r="274" spans="1:9" x14ac:dyDescent="0.3">
      <c r="A274" t="s">
        <v>317</v>
      </c>
      <c r="B274" t="s">
        <v>32</v>
      </c>
      <c r="C274" t="s">
        <v>25</v>
      </c>
      <c r="D274">
        <v>43002.68</v>
      </c>
      <c r="E274">
        <v>3</v>
      </c>
      <c r="F274">
        <v>129008.04</v>
      </c>
      <c r="G274" s="1">
        <v>45387</v>
      </c>
      <c r="H274" t="s">
        <v>16</v>
      </c>
      <c r="I274">
        <v>4.2</v>
      </c>
    </row>
    <row r="275" spans="1:9" x14ac:dyDescent="0.3">
      <c r="A275" t="s">
        <v>318</v>
      </c>
      <c r="B275" t="s">
        <v>71</v>
      </c>
      <c r="C275" t="s">
        <v>22</v>
      </c>
      <c r="D275">
        <v>46388.81</v>
      </c>
      <c r="E275">
        <v>1</v>
      </c>
      <c r="F275">
        <v>46388.81</v>
      </c>
      <c r="G275" s="1">
        <v>45343</v>
      </c>
      <c r="H275" t="s">
        <v>42</v>
      </c>
      <c r="I275">
        <v>4.4000000000000004</v>
      </c>
    </row>
    <row r="276" spans="1:9" x14ac:dyDescent="0.3">
      <c r="A276" t="s">
        <v>319</v>
      </c>
      <c r="B276" t="s">
        <v>50</v>
      </c>
      <c r="C276" t="s">
        <v>11</v>
      </c>
      <c r="D276">
        <v>47384.51</v>
      </c>
      <c r="E276">
        <v>3</v>
      </c>
      <c r="F276">
        <v>142153.53</v>
      </c>
      <c r="G276" s="1">
        <v>45441</v>
      </c>
      <c r="H276" t="s">
        <v>56</v>
      </c>
      <c r="I276">
        <v>1.5</v>
      </c>
    </row>
    <row r="277" spans="1:9" x14ac:dyDescent="0.3">
      <c r="A277" t="s">
        <v>320</v>
      </c>
      <c r="B277" t="s">
        <v>34</v>
      </c>
      <c r="C277" t="s">
        <v>15</v>
      </c>
      <c r="D277">
        <v>15826.47</v>
      </c>
      <c r="E277">
        <v>2</v>
      </c>
      <c r="F277">
        <v>31652.94</v>
      </c>
      <c r="G277" s="1">
        <v>45486</v>
      </c>
      <c r="H277" t="s">
        <v>56</v>
      </c>
      <c r="I277">
        <v>4.4000000000000004</v>
      </c>
    </row>
    <row r="278" spans="1:9" x14ac:dyDescent="0.3">
      <c r="A278" t="s">
        <v>321</v>
      </c>
      <c r="B278" t="s">
        <v>75</v>
      </c>
      <c r="C278" t="s">
        <v>19</v>
      </c>
      <c r="D278">
        <v>33927.57</v>
      </c>
      <c r="E278">
        <v>5</v>
      </c>
      <c r="F278">
        <v>169637.85</v>
      </c>
      <c r="G278" s="1">
        <v>45690</v>
      </c>
      <c r="H278" t="s">
        <v>28</v>
      </c>
      <c r="I278">
        <v>2.6</v>
      </c>
    </row>
    <row r="279" spans="1:9" x14ac:dyDescent="0.3">
      <c r="A279" t="s">
        <v>322</v>
      </c>
      <c r="B279" t="s">
        <v>36</v>
      </c>
      <c r="C279" t="s">
        <v>22</v>
      </c>
      <c r="D279">
        <v>27400.84</v>
      </c>
      <c r="E279">
        <v>1</v>
      </c>
      <c r="F279">
        <v>27400.84</v>
      </c>
      <c r="G279" s="1">
        <v>45695</v>
      </c>
      <c r="H279" t="s">
        <v>56</v>
      </c>
      <c r="I279">
        <v>3.6</v>
      </c>
    </row>
    <row r="280" spans="1:9" x14ac:dyDescent="0.3">
      <c r="A280" t="s">
        <v>323</v>
      </c>
      <c r="B280" t="s">
        <v>36</v>
      </c>
      <c r="C280" t="s">
        <v>22</v>
      </c>
      <c r="D280">
        <v>37684.28</v>
      </c>
      <c r="E280">
        <v>4</v>
      </c>
      <c r="F280">
        <v>150737.12</v>
      </c>
      <c r="G280" s="1">
        <v>45384</v>
      </c>
      <c r="H280" t="s">
        <v>42</v>
      </c>
      <c r="I280">
        <v>3.2</v>
      </c>
    </row>
    <row r="281" spans="1:9" x14ac:dyDescent="0.3">
      <c r="A281" t="s">
        <v>324</v>
      </c>
      <c r="B281" t="s">
        <v>30</v>
      </c>
      <c r="C281" t="s">
        <v>15</v>
      </c>
      <c r="D281">
        <v>22968.18</v>
      </c>
      <c r="E281">
        <v>4</v>
      </c>
      <c r="F281">
        <v>91872.72</v>
      </c>
      <c r="G281" s="1">
        <v>45680</v>
      </c>
      <c r="H281" t="s">
        <v>56</v>
      </c>
      <c r="I281">
        <v>4.0999999999999996</v>
      </c>
    </row>
    <row r="282" spans="1:9" x14ac:dyDescent="0.3">
      <c r="A282" t="s">
        <v>325</v>
      </c>
      <c r="B282" t="s">
        <v>120</v>
      </c>
      <c r="C282" t="s">
        <v>25</v>
      </c>
      <c r="D282">
        <v>43444.93</v>
      </c>
      <c r="E282">
        <v>1</v>
      </c>
      <c r="F282">
        <v>43444.93</v>
      </c>
      <c r="G282" s="1">
        <v>45667</v>
      </c>
      <c r="H282" t="s">
        <v>28</v>
      </c>
      <c r="I282">
        <v>4</v>
      </c>
    </row>
    <row r="283" spans="1:9" x14ac:dyDescent="0.3">
      <c r="A283" t="s">
        <v>326</v>
      </c>
      <c r="B283" t="s">
        <v>82</v>
      </c>
      <c r="C283" t="s">
        <v>22</v>
      </c>
      <c r="D283">
        <v>36083.22</v>
      </c>
      <c r="E283">
        <v>3</v>
      </c>
      <c r="F283">
        <v>108249.66</v>
      </c>
      <c r="G283" s="1">
        <v>45498</v>
      </c>
      <c r="H283" t="s">
        <v>47</v>
      </c>
      <c r="I283">
        <v>2.9</v>
      </c>
    </row>
    <row r="284" spans="1:9" x14ac:dyDescent="0.3">
      <c r="A284" t="s">
        <v>327</v>
      </c>
      <c r="B284" t="s">
        <v>24</v>
      </c>
      <c r="C284" t="s">
        <v>25</v>
      </c>
      <c r="D284">
        <v>43043.82</v>
      </c>
      <c r="E284">
        <v>5</v>
      </c>
      <c r="F284">
        <v>215219.1</v>
      </c>
      <c r="G284" s="1">
        <v>45605</v>
      </c>
      <c r="H284" t="s">
        <v>28</v>
      </c>
      <c r="I284">
        <v>4.0999999999999996</v>
      </c>
    </row>
    <row r="285" spans="1:9" x14ac:dyDescent="0.3">
      <c r="A285" t="s">
        <v>328</v>
      </c>
      <c r="B285" t="s">
        <v>21</v>
      </c>
      <c r="C285" t="s">
        <v>22</v>
      </c>
      <c r="D285">
        <v>1517.63</v>
      </c>
      <c r="E285">
        <v>4</v>
      </c>
      <c r="F285">
        <v>6070.52</v>
      </c>
      <c r="G285" s="1">
        <v>45606</v>
      </c>
      <c r="H285" t="s">
        <v>42</v>
      </c>
      <c r="I285">
        <v>2</v>
      </c>
    </row>
    <row r="286" spans="1:9" x14ac:dyDescent="0.3">
      <c r="A286" t="s">
        <v>329</v>
      </c>
      <c r="B286" t="s">
        <v>93</v>
      </c>
      <c r="C286" t="s">
        <v>11</v>
      </c>
      <c r="D286">
        <v>1626.1</v>
      </c>
      <c r="E286">
        <v>5</v>
      </c>
      <c r="F286">
        <v>8130.5</v>
      </c>
      <c r="G286" s="1">
        <v>45611</v>
      </c>
      <c r="H286" t="s">
        <v>47</v>
      </c>
      <c r="I286">
        <v>2.8</v>
      </c>
    </row>
    <row r="287" spans="1:9" x14ac:dyDescent="0.3">
      <c r="A287" t="s">
        <v>330</v>
      </c>
      <c r="B287" t="s">
        <v>54</v>
      </c>
      <c r="C287" t="s">
        <v>15</v>
      </c>
      <c r="D287">
        <v>40384.620000000003</v>
      </c>
      <c r="E287">
        <v>1</v>
      </c>
      <c r="F287">
        <v>40384.620000000003</v>
      </c>
      <c r="G287" s="1">
        <v>45409</v>
      </c>
      <c r="H287" t="s">
        <v>16</v>
      </c>
      <c r="I287">
        <v>4.2</v>
      </c>
    </row>
    <row r="288" spans="1:9" x14ac:dyDescent="0.3">
      <c r="A288" t="s">
        <v>331</v>
      </c>
      <c r="B288" t="s">
        <v>54</v>
      </c>
      <c r="C288" t="s">
        <v>15</v>
      </c>
      <c r="D288">
        <v>37295.08</v>
      </c>
      <c r="E288">
        <v>1</v>
      </c>
      <c r="F288">
        <v>37295.08</v>
      </c>
      <c r="G288" s="1">
        <v>45694</v>
      </c>
      <c r="H288" t="s">
        <v>16</v>
      </c>
      <c r="I288">
        <v>4</v>
      </c>
    </row>
    <row r="289" spans="1:9" x14ac:dyDescent="0.3">
      <c r="A289" t="s">
        <v>332</v>
      </c>
      <c r="B289" t="s">
        <v>30</v>
      </c>
      <c r="C289" t="s">
        <v>15</v>
      </c>
      <c r="D289">
        <v>13915.5</v>
      </c>
      <c r="E289">
        <v>3</v>
      </c>
      <c r="F289">
        <v>41746.5</v>
      </c>
      <c r="G289" s="1">
        <v>45475</v>
      </c>
      <c r="H289" t="s">
        <v>56</v>
      </c>
      <c r="I289">
        <v>3.9</v>
      </c>
    </row>
    <row r="290" spans="1:9" x14ac:dyDescent="0.3">
      <c r="A290" t="s">
        <v>333</v>
      </c>
      <c r="B290" t="s">
        <v>44</v>
      </c>
      <c r="C290" t="s">
        <v>22</v>
      </c>
      <c r="D290">
        <v>23625.05</v>
      </c>
      <c r="E290">
        <v>2</v>
      </c>
      <c r="F290">
        <v>47250.1</v>
      </c>
      <c r="G290" s="1">
        <v>45480</v>
      </c>
      <c r="H290" t="s">
        <v>12</v>
      </c>
      <c r="I290">
        <v>2</v>
      </c>
    </row>
    <row r="291" spans="1:9" x14ac:dyDescent="0.3">
      <c r="A291" t="s">
        <v>334</v>
      </c>
      <c r="B291" t="s">
        <v>27</v>
      </c>
      <c r="C291" t="s">
        <v>25</v>
      </c>
      <c r="D291">
        <v>464.18</v>
      </c>
      <c r="E291">
        <v>3</v>
      </c>
      <c r="F291">
        <v>1392.54</v>
      </c>
      <c r="G291" s="1">
        <v>45506</v>
      </c>
      <c r="H291" t="s">
        <v>12</v>
      </c>
      <c r="I291">
        <v>4.0999999999999996</v>
      </c>
    </row>
    <row r="292" spans="1:9" x14ac:dyDescent="0.3">
      <c r="A292" t="s">
        <v>335</v>
      </c>
      <c r="B292" t="s">
        <v>54</v>
      </c>
      <c r="C292" t="s">
        <v>15</v>
      </c>
      <c r="D292">
        <v>26667.15</v>
      </c>
      <c r="E292">
        <v>2</v>
      </c>
      <c r="F292">
        <v>53334.3</v>
      </c>
      <c r="G292" s="1">
        <v>45601</v>
      </c>
      <c r="H292" t="s">
        <v>47</v>
      </c>
      <c r="I292">
        <v>1.9</v>
      </c>
    </row>
    <row r="293" spans="1:9" x14ac:dyDescent="0.3">
      <c r="A293" t="s">
        <v>336</v>
      </c>
      <c r="B293" t="s">
        <v>93</v>
      </c>
      <c r="C293" t="s">
        <v>11</v>
      </c>
      <c r="D293">
        <v>29093.02</v>
      </c>
      <c r="E293">
        <v>2</v>
      </c>
      <c r="F293">
        <v>58186.04</v>
      </c>
      <c r="G293" s="1">
        <v>45597</v>
      </c>
      <c r="H293" t="s">
        <v>12</v>
      </c>
      <c r="I293">
        <v>3.7</v>
      </c>
    </row>
    <row r="294" spans="1:9" x14ac:dyDescent="0.3">
      <c r="A294" t="s">
        <v>337</v>
      </c>
      <c r="B294" t="s">
        <v>34</v>
      </c>
      <c r="C294" t="s">
        <v>15</v>
      </c>
      <c r="D294">
        <v>44770.65</v>
      </c>
      <c r="E294">
        <v>3</v>
      </c>
      <c r="F294">
        <v>134311.95000000001</v>
      </c>
      <c r="G294" s="1">
        <v>45638</v>
      </c>
      <c r="H294" t="s">
        <v>28</v>
      </c>
      <c r="I294">
        <v>3.5</v>
      </c>
    </row>
    <row r="295" spans="1:9" x14ac:dyDescent="0.3">
      <c r="A295" t="s">
        <v>338</v>
      </c>
      <c r="B295" t="s">
        <v>60</v>
      </c>
      <c r="C295" t="s">
        <v>25</v>
      </c>
      <c r="D295">
        <v>32749.9</v>
      </c>
      <c r="E295">
        <v>1</v>
      </c>
      <c r="F295">
        <v>32749.9</v>
      </c>
      <c r="G295" s="1">
        <v>45506</v>
      </c>
      <c r="H295" t="s">
        <v>56</v>
      </c>
      <c r="I295">
        <v>3.8</v>
      </c>
    </row>
    <row r="296" spans="1:9" x14ac:dyDescent="0.3">
      <c r="A296" t="s">
        <v>339</v>
      </c>
      <c r="B296" t="s">
        <v>10</v>
      </c>
      <c r="C296" t="s">
        <v>11</v>
      </c>
      <c r="D296">
        <v>4990.66</v>
      </c>
      <c r="E296">
        <v>3</v>
      </c>
      <c r="F296">
        <v>14971.98</v>
      </c>
      <c r="G296" s="1">
        <v>45442</v>
      </c>
      <c r="H296" t="s">
        <v>28</v>
      </c>
      <c r="I296">
        <v>4.5999999999999996</v>
      </c>
    </row>
    <row r="297" spans="1:9" x14ac:dyDescent="0.3">
      <c r="A297" t="s">
        <v>340</v>
      </c>
      <c r="B297" t="s">
        <v>54</v>
      </c>
      <c r="C297" t="s">
        <v>15</v>
      </c>
      <c r="D297">
        <v>11044.89</v>
      </c>
      <c r="E297">
        <v>3</v>
      </c>
      <c r="F297">
        <v>33134.67</v>
      </c>
      <c r="G297" s="1">
        <v>45621</v>
      </c>
      <c r="H297" t="s">
        <v>28</v>
      </c>
      <c r="I297">
        <v>1.5</v>
      </c>
    </row>
    <row r="298" spans="1:9" x14ac:dyDescent="0.3">
      <c r="A298" t="s">
        <v>341</v>
      </c>
      <c r="B298" t="s">
        <v>93</v>
      </c>
      <c r="C298" t="s">
        <v>11</v>
      </c>
      <c r="D298">
        <v>46032.160000000003</v>
      </c>
      <c r="E298">
        <v>5</v>
      </c>
      <c r="F298">
        <v>230160.8</v>
      </c>
      <c r="G298" s="1">
        <v>45634</v>
      </c>
      <c r="H298" t="s">
        <v>12</v>
      </c>
      <c r="I298">
        <v>4.4000000000000004</v>
      </c>
    </row>
    <row r="299" spans="1:9" x14ac:dyDescent="0.3">
      <c r="A299" t="s">
        <v>342</v>
      </c>
      <c r="B299" t="s">
        <v>10</v>
      </c>
      <c r="C299" t="s">
        <v>11</v>
      </c>
      <c r="D299">
        <v>43965.67</v>
      </c>
      <c r="E299">
        <v>3</v>
      </c>
      <c r="F299">
        <v>131897.01</v>
      </c>
      <c r="G299" s="1">
        <v>45529</v>
      </c>
      <c r="H299" t="s">
        <v>12</v>
      </c>
      <c r="I299">
        <v>1.1000000000000001</v>
      </c>
    </row>
    <row r="300" spans="1:9" x14ac:dyDescent="0.3">
      <c r="A300" t="s">
        <v>343</v>
      </c>
      <c r="B300" t="s">
        <v>54</v>
      </c>
      <c r="C300" t="s">
        <v>15</v>
      </c>
      <c r="D300">
        <v>6037.98</v>
      </c>
      <c r="E300">
        <v>2</v>
      </c>
      <c r="F300">
        <v>12075.96</v>
      </c>
      <c r="G300" s="1">
        <v>45437</v>
      </c>
      <c r="H300" t="s">
        <v>42</v>
      </c>
      <c r="I300">
        <v>3.6</v>
      </c>
    </row>
    <row r="301" spans="1:9" x14ac:dyDescent="0.3">
      <c r="A301" t="s">
        <v>344</v>
      </c>
      <c r="B301" t="s">
        <v>46</v>
      </c>
      <c r="C301" t="s">
        <v>11</v>
      </c>
      <c r="D301">
        <v>22747.82</v>
      </c>
      <c r="E301">
        <v>3</v>
      </c>
      <c r="F301">
        <v>68243.460000000006</v>
      </c>
      <c r="G301" s="1">
        <v>45555</v>
      </c>
      <c r="H301" t="s">
        <v>12</v>
      </c>
      <c r="I301">
        <v>4.5</v>
      </c>
    </row>
    <row r="302" spans="1:9" x14ac:dyDescent="0.3">
      <c r="A302" t="s">
        <v>345</v>
      </c>
      <c r="B302" t="s">
        <v>82</v>
      </c>
      <c r="C302" t="s">
        <v>22</v>
      </c>
      <c r="D302">
        <v>26615.919999999998</v>
      </c>
      <c r="E302">
        <v>2</v>
      </c>
      <c r="F302">
        <v>53231.839999999997</v>
      </c>
      <c r="G302" s="1">
        <v>45464</v>
      </c>
      <c r="H302" t="s">
        <v>42</v>
      </c>
      <c r="I302">
        <v>2.2999999999999998</v>
      </c>
    </row>
    <row r="303" spans="1:9" x14ac:dyDescent="0.3">
      <c r="A303" t="s">
        <v>346</v>
      </c>
      <c r="B303" t="s">
        <v>18</v>
      </c>
      <c r="C303" t="s">
        <v>19</v>
      </c>
      <c r="D303">
        <v>48234.31</v>
      </c>
      <c r="E303">
        <v>2</v>
      </c>
      <c r="F303">
        <v>96468.62</v>
      </c>
      <c r="G303" s="1">
        <v>45481</v>
      </c>
      <c r="H303" t="s">
        <v>12</v>
      </c>
      <c r="I303">
        <v>1.8</v>
      </c>
    </row>
    <row r="304" spans="1:9" x14ac:dyDescent="0.3">
      <c r="A304" t="s">
        <v>347</v>
      </c>
      <c r="B304" t="s">
        <v>32</v>
      </c>
      <c r="C304" t="s">
        <v>25</v>
      </c>
      <c r="D304">
        <v>24172.560000000001</v>
      </c>
      <c r="E304">
        <v>1</v>
      </c>
      <c r="F304">
        <v>24172.560000000001</v>
      </c>
      <c r="G304" s="1">
        <v>45646</v>
      </c>
      <c r="H304" t="s">
        <v>16</v>
      </c>
      <c r="I304">
        <v>3.1</v>
      </c>
    </row>
    <row r="305" spans="1:9" x14ac:dyDescent="0.3">
      <c r="A305" t="s">
        <v>348</v>
      </c>
      <c r="B305" t="s">
        <v>93</v>
      </c>
      <c r="C305" t="s">
        <v>11</v>
      </c>
      <c r="D305">
        <v>16385.37</v>
      </c>
      <c r="E305">
        <v>3</v>
      </c>
      <c r="F305">
        <v>49156.11</v>
      </c>
      <c r="G305" s="1">
        <v>45346</v>
      </c>
      <c r="H305" t="s">
        <v>28</v>
      </c>
      <c r="I305">
        <v>1.6</v>
      </c>
    </row>
    <row r="306" spans="1:9" x14ac:dyDescent="0.3">
      <c r="A306" t="s">
        <v>349</v>
      </c>
      <c r="B306" t="s">
        <v>54</v>
      </c>
      <c r="C306" t="s">
        <v>15</v>
      </c>
      <c r="D306">
        <v>29527.22</v>
      </c>
      <c r="E306">
        <v>3</v>
      </c>
      <c r="F306">
        <v>88581.66</v>
      </c>
      <c r="G306" s="1">
        <v>45381</v>
      </c>
      <c r="H306" t="s">
        <v>42</v>
      </c>
      <c r="I306">
        <v>1.2</v>
      </c>
    </row>
    <row r="307" spans="1:9" x14ac:dyDescent="0.3">
      <c r="A307" t="s">
        <v>350</v>
      </c>
      <c r="B307" t="s">
        <v>32</v>
      </c>
      <c r="C307" t="s">
        <v>25</v>
      </c>
      <c r="D307">
        <v>42516.65</v>
      </c>
      <c r="E307">
        <v>3</v>
      </c>
      <c r="F307">
        <v>127549.95</v>
      </c>
      <c r="G307" s="1">
        <v>45410</v>
      </c>
      <c r="H307" t="s">
        <v>56</v>
      </c>
      <c r="I307">
        <v>1.8</v>
      </c>
    </row>
    <row r="308" spans="1:9" x14ac:dyDescent="0.3">
      <c r="A308" t="s">
        <v>351</v>
      </c>
      <c r="B308" t="s">
        <v>46</v>
      </c>
      <c r="C308" t="s">
        <v>11</v>
      </c>
      <c r="D308">
        <v>27175.37</v>
      </c>
      <c r="E308">
        <v>5</v>
      </c>
      <c r="F308">
        <v>135876.85</v>
      </c>
      <c r="G308" s="1">
        <v>45506</v>
      </c>
      <c r="H308" t="s">
        <v>42</v>
      </c>
      <c r="I308">
        <v>3.9</v>
      </c>
    </row>
    <row r="309" spans="1:9" x14ac:dyDescent="0.3">
      <c r="A309" t="s">
        <v>352</v>
      </c>
      <c r="B309" t="s">
        <v>151</v>
      </c>
      <c r="C309" t="s">
        <v>15</v>
      </c>
      <c r="D309">
        <v>25379.68</v>
      </c>
      <c r="E309">
        <v>4</v>
      </c>
      <c r="F309">
        <v>101518.72</v>
      </c>
      <c r="G309" s="1">
        <v>45571</v>
      </c>
      <c r="H309" t="s">
        <v>28</v>
      </c>
      <c r="I309">
        <v>3.5</v>
      </c>
    </row>
    <row r="310" spans="1:9" x14ac:dyDescent="0.3">
      <c r="A310" t="s">
        <v>353</v>
      </c>
      <c r="B310" t="s">
        <v>10</v>
      </c>
      <c r="C310" t="s">
        <v>11</v>
      </c>
      <c r="D310">
        <v>29568.18</v>
      </c>
      <c r="E310">
        <v>3</v>
      </c>
      <c r="F310">
        <v>88704.54</v>
      </c>
      <c r="G310" s="1">
        <v>45669</v>
      </c>
      <c r="H310" t="s">
        <v>47</v>
      </c>
      <c r="I310">
        <v>1.3</v>
      </c>
    </row>
    <row r="311" spans="1:9" x14ac:dyDescent="0.3">
      <c r="A311" t="s">
        <v>354</v>
      </c>
      <c r="B311" t="s">
        <v>93</v>
      </c>
      <c r="C311" t="s">
        <v>11</v>
      </c>
      <c r="D311">
        <v>23562.27</v>
      </c>
      <c r="E311">
        <v>2</v>
      </c>
      <c r="F311">
        <v>47124.54</v>
      </c>
      <c r="G311" s="1">
        <v>45649</v>
      </c>
      <c r="H311" t="s">
        <v>47</v>
      </c>
      <c r="I311">
        <v>4.9000000000000004</v>
      </c>
    </row>
    <row r="312" spans="1:9" x14ac:dyDescent="0.3">
      <c r="A312" t="s">
        <v>355</v>
      </c>
      <c r="B312" t="s">
        <v>151</v>
      </c>
      <c r="C312" t="s">
        <v>15</v>
      </c>
      <c r="D312">
        <v>19134.259999999998</v>
      </c>
      <c r="E312">
        <v>2</v>
      </c>
      <c r="F312">
        <v>38268.519999999997</v>
      </c>
      <c r="G312" s="1">
        <v>45334</v>
      </c>
      <c r="H312" t="s">
        <v>42</v>
      </c>
      <c r="I312">
        <v>4.5999999999999996</v>
      </c>
    </row>
    <row r="313" spans="1:9" x14ac:dyDescent="0.3">
      <c r="A313" t="s">
        <v>356</v>
      </c>
      <c r="B313" t="s">
        <v>93</v>
      </c>
      <c r="C313" t="s">
        <v>11</v>
      </c>
      <c r="D313">
        <v>10176.11</v>
      </c>
      <c r="E313">
        <v>5</v>
      </c>
      <c r="F313">
        <v>50880.55</v>
      </c>
      <c r="G313" s="1">
        <v>45521</v>
      </c>
      <c r="H313" t="s">
        <v>56</v>
      </c>
      <c r="I313">
        <v>2.1</v>
      </c>
    </row>
    <row r="314" spans="1:9" x14ac:dyDescent="0.3">
      <c r="A314" t="s">
        <v>357</v>
      </c>
      <c r="B314" t="s">
        <v>71</v>
      </c>
      <c r="C314" t="s">
        <v>22</v>
      </c>
      <c r="D314">
        <v>48177.16</v>
      </c>
      <c r="E314">
        <v>3</v>
      </c>
      <c r="F314">
        <v>144531.48000000001</v>
      </c>
      <c r="G314" s="1">
        <v>45356</v>
      </c>
      <c r="H314" t="s">
        <v>56</v>
      </c>
      <c r="I314">
        <v>1.7</v>
      </c>
    </row>
    <row r="315" spans="1:9" x14ac:dyDescent="0.3">
      <c r="A315" t="s">
        <v>358</v>
      </c>
      <c r="B315" t="s">
        <v>27</v>
      </c>
      <c r="C315" t="s">
        <v>25</v>
      </c>
      <c r="D315">
        <v>6119.31</v>
      </c>
      <c r="E315">
        <v>5</v>
      </c>
      <c r="F315">
        <v>30596.55</v>
      </c>
      <c r="G315" s="1">
        <v>45358</v>
      </c>
      <c r="H315" t="s">
        <v>56</v>
      </c>
      <c r="I315">
        <v>1.5</v>
      </c>
    </row>
    <row r="316" spans="1:9" x14ac:dyDescent="0.3">
      <c r="A316" t="s">
        <v>359</v>
      </c>
      <c r="B316" t="s">
        <v>75</v>
      </c>
      <c r="C316" t="s">
        <v>19</v>
      </c>
      <c r="D316">
        <v>6015.13</v>
      </c>
      <c r="E316">
        <v>1</v>
      </c>
      <c r="F316">
        <v>6015.13</v>
      </c>
      <c r="G316" s="1">
        <v>45530</v>
      </c>
      <c r="H316" t="s">
        <v>47</v>
      </c>
      <c r="I316">
        <v>1.9</v>
      </c>
    </row>
    <row r="317" spans="1:9" x14ac:dyDescent="0.3">
      <c r="A317" t="s">
        <v>360</v>
      </c>
      <c r="B317" t="s">
        <v>54</v>
      </c>
      <c r="C317" t="s">
        <v>15</v>
      </c>
      <c r="D317">
        <v>41198.839999999997</v>
      </c>
      <c r="E317">
        <v>4</v>
      </c>
      <c r="F317">
        <v>164795.35999999999</v>
      </c>
      <c r="G317" s="1">
        <v>45390</v>
      </c>
      <c r="H317" t="s">
        <v>47</v>
      </c>
      <c r="I317">
        <v>3</v>
      </c>
    </row>
    <row r="318" spans="1:9" x14ac:dyDescent="0.3">
      <c r="A318" t="s">
        <v>361</v>
      </c>
      <c r="B318" t="s">
        <v>50</v>
      </c>
      <c r="C318" t="s">
        <v>11</v>
      </c>
      <c r="D318">
        <v>11527.7</v>
      </c>
      <c r="E318">
        <v>3</v>
      </c>
      <c r="F318">
        <v>34583.1</v>
      </c>
      <c r="G318" s="1">
        <v>45626</v>
      </c>
      <c r="H318" t="s">
        <v>56</v>
      </c>
      <c r="I318">
        <v>1.8</v>
      </c>
    </row>
    <row r="319" spans="1:9" x14ac:dyDescent="0.3">
      <c r="A319" t="s">
        <v>362</v>
      </c>
      <c r="B319" t="s">
        <v>21</v>
      </c>
      <c r="C319" t="s">
        <v>22</v>
      </c>
      <c r="D319">
        <v>27749.19</v>
      </c>
      <c r="E319">
        <v>4</v>
      </c>
      <c r="F319">
        <v>110996.76</v>
      </c>
      <c r="G319" s="1">
        <v>45679</v>
      </c>
      <c r="H319" t="s">
        <v>28</v>
      </c>
      <c r="I319">
        <v>2.5</v>
      </c>
    </row>
    <row r="320" spans="1:9" x14ac:dyDescent="0.3">
      <c r="A320" t="s">
        <v>363</v>
      </c>
      <c r="B320" t="s">
        <v>44</v>
      </c>
      <c r="C320" t="s">
        <v>22</v>
      </c>
      <c r="D320">
        <v>14014.82</v>
      </c>
      <c r="E320">
        <v>1</v>
      </c>
      <c r="F320">
        <v>14014.82</v>
      </c>
      <c r="G320" s="1">
        <v>45619</v>
      </c>
      <c r="H320" t="s">
        <v>47</v>
      </c>
      <c r="I320">
        <v>4.5999999999999996</v>
      </c>
    </row>
    <row r="321" spans="1:9" x14ac:dyDescent="0.3">
      <c r="A321" t="s">
        <v>364</v>
      </c>
      <c r="B321" t="s">
        <v>44</v>
      </c>
      <c r="C321" t="s">
        <v>22</v>
      </c>
      <c r="D321">
        <v>23293.14</v>
      </c>
      <c r="E321">
        <v>2</v>
      </c>
      <c r="F321">
        <v>46586.28</v>
      </c>
      <c r="G321" s="1">
        <v>45451</v>
      </c>
      <c r="H321" t="s">
        <v>16</v>
      </c>
      <c r="I321">
        <v>4.0999999999999996</v>
      </c>
    </row>
    <row r="322" spans="1:9" x14ac:dyDescent="0.3">
      <c r="A322" t="s">
        <v>365</v>
      </c>
      <c r="B322" t="s">
        <v>30</v>
      </c>
      <c r="C322" t="s">
        <v>15</v>
      </c>
      <c r="D322">
        <v>38592.49</v>
      </c>
      <c r="E322">
        <v>5</v>
      </c>
      <c r="F322">
        <v>192962.45</v>
      </c>
      <c r="G322" s="1">
        <v>45578</v>
      </c>
      <c r="H322" t="s">
        <v>28</v>
      </c>
      <c r="I322">
        <v>3.2</v>
      </c>
    </row>
    <row r="323" spans="1:9" x14ac:dyDescent="0.3">
      <c r="A323" t="s">
        <v>366</v>
      </c>
      <c r="B323" t="s">
        <v>44</v>
      </c>
      <c r="C323" t="s">
        <v>22</v>
      </c>
      <c r="D323">
        <v>39898.86</v>
      </c>
      <c r="E323">
        <v>1</v>
      </c>
      <c r="F323">
        <v>39898.86</v>
      </c>
      <c r="G323" s="1">
        <v>45446</v>
      </c>
      <c r="H323" t="s">
        <v>28</v>
      </c>
      <c r="I323">
        <v>1.8</v>
      </c>
    </row>
    <row r="324" spans="1:9" x14ac:dyDescent="0.3">
      <c r="A324" t="s">
        <v>367</v>
      </c>
      <c r="B324" t="s">
        <v>10</v>
      </c>
      <c r="C324" t="s">
        <v>11</v>
      </c>
      <c r="D324">
        <v>39842.5</v>
      </c>
      <c r="E324">
        <v>2</v>
      </c>
      <c r="F324">
        <v>79685</v>
      </c>
      <c r="G324" s="1">
        <v>45575</v>
      </c>
      <c r="H324" t="s">
        <v>12</v>
      </c>
      <c r="I324">
        <v>4.4000000000000004</v>
      </c>
    </row>
    <row r="325" spans="1:9" x14ac:dyDescent="0.3">
      <c r="A325" t="s">
        <v>368</v>
      </c>
      <c r="B325" t="s">
        <v>93</v>
      </c>
      <c r="C325" t="s">
        <v>11</v>
      </c>
      <c r="D325">
        <v>30395.25</v>
      </c>
      <c r="E325">
        <v>1</v>
      </c>
      <c r="F325">
        <v>30395.25</v>
      </c>
      <c r="G325" s="1">
        <v>45389</v>
      </c>
      <c r="H325" t="s">
        <v>42</v>
      </c>
      <c r="I325">
        <v>1.1000000000000001</v>
      </c>
    </row>
    <row r="326" spans="1:9" x14ac:dyDescent="0.3">
      <c r="A326" t="s">
        <v>369</v>
      </c>
      <c r="B326" t="s">
        <v>18</v>
      </c>
      <c r="C326" t="s">
        <v>19</v>
      </c>
      <c r="D326">
        <v>36560.32</v>
      </c>
      <c r="E326">
        <v>5</v>
      </c>
      <c r="F326">
        <v>182801.6</v>
      </c>
      <c r="G326" s="1">
        <v>45658</v>
      </c>
      <c r="H326" t="s">
        <v>56</v>
      </c>
      <c r="I326">
        <v>2.5</v>
      </c>
    </row>
    <row r="327" spans="1:9" x14ac:dyDescent="0.3">
      <c r="A327" t="s">
        <v>370</v>
      </c>
      <c r="B327" t="s">
        <v>24</v>
      </c>
      <c r="C327" t="s">
        <v>25</v>
      </c>
      <c r="D327">
        <v>44248.09</v>
      </c>
      <c r="E327">
        <v>1</v>
      </c>
      <c r="F327">
        <v>44248.09</v>
      </c>
      <c r="G327" s="1">
        <v>45341</v>
      </c>
      <c r="H327" t="s">
        <v>56</v>
      </c>
      <c r="I327">
        <v>3.1</v>
      </c>
    </row>
    <row r="328" spans="1:9" x14ac:dyDescent="0.3">
      <c r="A328" t="s">
        <v>371</v>
      </c>
      <c r="B328" t="s">
        <v>36</v>
      </c>
      <c r="C328" t="s">
        <v>22</v>
      </c>
      <c r="D328">
        <v>18386.259999999998</v>
      </c>
      <c r="E328">
        <v>1</v>
      </c>
      <c r="F328">
        <v>18386.259999999998</v>
      </c>
      <c r="G328" s="1">
        <v>45571</v>
      </c>
      <c r="H328" t="s">
        <v>47</v>
      </c>
      <c r="I328">
        <v>1.4</v>
      </c>
    </row>
    <row r="329" spans="1:9" x14ac:dyDescent="0.3">
      <c r="A329" t="s">
        <v>372</v>
      </c>
      <c r="B329" t="s">
        <v>34</v>
      </c>
      <c r="C329" t="s">
        <v>15</v>
      </c>
      <c r="D329">
        <v>33683.4</v>
      </c>
      <c r="E329">
        <v>1</v>
      </c>
      <c r="F329">
        <v>33683.4</v>
      </c>
      <c r="G329" s="1">
        <v>45665</v>
      </c>
      <c r="H329" t="s">
        <v>12</v>
      </c>
      <c r="I329">
        <v>3.8</v>
      </c>
    </row>
    <row r="330" spans="1:9" x14ac:dyDescent="0.3">
      <c r="A330" t="s">
        <v>373</v>
      </c>
      <c r="B330" t="s">
        <v>69</v>
      </c>
      <c r="C330" t="s">
        <v>19</v>
      </c>
      <c r="D330">
        <v>49561.57</v>
      </c>
      <c r="E330">
        <v>3</v>
      </c>
      <c r="F330">
        <v>148684.71</v>
      </c>
      <c r="G330" s="1">
        <v>45385</v>
      </c>
      <c r="H330" t="s">
        <v>56</v>
      </c>
      <c r="I330">
        <v>3.5</v>
      </c>
    </row>
    <row r="331" spans="1:9" x14ac:dyDescent="0.3">
      <c r="A331" t="s">
        <v>374</v>
      </c>
      <c r="B331" t="s">
        <v>18</v>
      </c>
      <c r="C331" t="s">
        <v>19</v>
      </c>
      <c r="D331">
        <v>18551.650000000001</v>
      </c>
      <c r="E331">
        <v>2</v>
      </c>
      <c r="F331">
        <v>37103.300000000003</v>
      </c>
      <c r="G331" s="1">
        <v>45381</v>
      </c>
      <c r="H331" t="s">
        <v>47</v>
      </c>
      <c r="I331">
        <v>2.6</v>
      </c>
    </row>
    <row r="332" spans="1:9" x14ac:dyDescent="0.3">
      <c r="A332" t="s">
        <v>375</v>
      </c>
      <c r="B332" t="s">
        <v>82</v>
      </c>
      <c r="C332" t="s">
        <v>22</v>
      </c>
      <c r="D332">
        <v>12249.35</v>
      </c>
      <c r="E332">
        <v>5</v>
      </c>
      <c r="F332">
        <v>61246.75</v>
      </c>
      <c r="G332" s="1">
        <v>45686</v>
      </c>
      <c r="H332" t="s">
        <v>28</v>
      </c>
      <c r="I332">
        <v>2.9</v>
      </c>
    </row>
    <row r="333" spans="1:9" x14ac:dyDescent="0.3">
      <c r="A333" t="s">
        <v>376</v>
      </c>
      <c r="B333" t="s">
        <v>14</v>
      </c>
      <c r="C333" t="s">
        <v>15</v>
      </c>
      <c r="D333">
        <v>35305.39</v>
      </c>
      <c r="E333">
        <v>1</v>
      </c>
      <c r="F333">
        <v>35305.39</v>
      </c>
      <c r="G333" s="1">
        <v>45453</v>
      </c>
      <c r="H333" t="s">
        <v>16</v>
      </c>
      <c r="I333">
        <v>2.2000000000000002</v>
      </c>
    </row>
    <row r="334" spans="1:9" x14ac:dyDescent="0.3">
      <c r="A334" t="s">
        <v>377</v>
      </c>
      <c r="B334" t="s">
        <v>21</v>
      </c>
      <c r="C334" t="s">
        <v>22</v>
      </c>
      <c r="D334">
        <v>16790.46</v>
      </c>
      <c r="E334">
        <v>5</v>
      </c>
      <c r="F334">
        <v>83952.3</v>
      </c>
      <c r="G334" s="1">
        <v>45531</v>
      </c>
      <c r="H334" t="s">
        <v>56</v>
      </c>
      <c r="I334">
        <v>4.3</v>
      </c>
    </row>
    <row r="335" spans="1:9" x14ac:dyDescent="0.3">
      <c r="A335" t="s">
        <v>378</v>
      </c>
      <c r="B335" t="s">
        <v>34</v>
      </c>
      <c r="C335" t="s">
        <v>15</v>
      </c>
      <c r="D335">
        <v>26096.959999999999</v>
      </c>
      <c r="E335">
        <v>4</v>
      </c>
      <c r="F335">
        <v>104387.84</v>
      </c>
      <c r="G335" s="1">
        <v>45379</v>
      </c>
      <c r="H335" t="s">
        <v>12</v>
      </c>
      <c r="I335">
        <v>3.5</v>
      </c>
    </row>
    <row r="336" spans="1:9" x14ac:dyDescent="0.3">
      <c r="A336" t="s">
        <v>379</v>
      </c>
      <c r="B336" t="s">
        <v>100</v>
      </c>
      <c r="C336" t="s">
        <v>11</v>
      </c>
      <c r="D336">
        <v>34361.96</v>
      </c>
      <c r="E336">
        <v>5</v>
      </c>
      <c r="F336">
        <v>171809.8</v>
      </c>
      <c r="G336" s="1">
        <v>45373</v>
      </c>
      <c r="H336" t="s">
        <v>56</v>
      </c>
      <c r="I336">
        <v>4.4000000000000004</v>
      </c>
    </row>
    <row r="337" spans="1:9" x14ac:dyDescent="0.3">
      <c r="A337" t="s">
        <v>380</v>
      </c>
      <c r="B337" t="s">
        <v>32</v>
      </c>
      <c r="C337" t="s">
        <v>25</v>
      </c>
      <c r="D337">
        <v>46079.49</v>
      </c>
      <c r="E337">
        <v>5</v>
      </c>
      <c r="F337">
        <v>230397.45</v>
      </c>
      <c r="G337" s="1">
        <v>45350</v>
      </c>
      <c r="H337" t="s">
        <v>56</v>
      </c>
      <c r="I337">
        <v>3.7</v>
      </c>
    </row>
    <row r="338" spans="1:9" x14ac:dyDescent="0.3">
      <c r="A338" t="s">
        <v>381</v>
      </c>
      <c r="B338" t="s">
        <v>27</v>
      </c>
      <c r="C338" t="s">
        <v>25</v>
      </c>
      <c r="D338">
        <v>47053.440000000002</v>
      </c>
      <c r="E338">
        <v>2</v>
      </c>
      <c r="F338">
        <v>94106.880000000005</v>
      </c>
      <c r="G338" s="1">
        <v>45448</v>
      </c>
      <c r="H338" t="s">
        <v>42</v>
      </c>
      <c r="I338">
        <v>3</v>
      </c>
    </row>
    <row r="339" spans="1:9" x14ac:dyDescent="0.3">
      <c r="A339" t="s">
        <v>382</v>
      </c>
      <c r="B339" t="s">
        <v>36</v>
      </c>
      <c r="C339" t="s">
        <v>22</v>
      </c>
      <c r="D339">
        <v>18905.939999999999</v>
      </c>
      <c r="E339">
        <v>3</v>
      </c>
      <c r="F339">
        <v>56717.82</v>
      </c>
      <c r="G339" s="1">
        <v>45518</v>
      </c>
      <c r="H339" t="s">
        <v>16</v>
      </c>
      <c r="I339">
        <v>4.5</v>
      </c>
    </row>
    <row r="340" spans="1:9" x14ac:dyDescent="0.3">
      <c r="A340" t="s">
        <v>383</v>
      </c>
      <c r="B340" t="s">
        <v>69</v>
      </c>
      <c r="C340" t="s">
        <v>19</v>
      </c>
      <c r="D340">
        <v>30977.18</v>
      </c>
      <c r="E340">
        <v>3</v>
      </c>
      <c r="F340">
        <v>92931.54</v>
      </c>
      <c r="G340" s="1">
        <v>45604</v>
      </c>
      <c r="H340" t="s">
        <v>16</v>
      </c>
      <c r="I340">
        <v>3.3</v>
      </c>
    </row>
    <row r="341" spans="1:9" x14ac:dyDescent="0.3">
      <c r="A341" t="s">
        <v>384</v>
      </c>
      <c r="B341" t="s">
        <v>32</v>
      </c>
      <c r="C341" t="s">
        <v>25</v>
      </c>
      <c r="D341">
        <v>41841.57</v>
      </c>
      <c r="E341">
        <v>2</v>
      </c>
      <c r="F341">
        <v>83683.14</v>
      </c>
      <c r="G341" s="1">
        <v>45439</v>
      </c>
      <c r="H341" t="s">
        <v>42</v>
      </c>
      <c r="I341">
        <v>1.1000000000000001</v>
      </c>
    </row>
    <row r="342" spans="1:9" x14ac:dyDescent="0.3">
      <c r="A342" t="s">
        <v>385</v>
      </c>
      <c r="B342" t="s">
        <v>71</v>
      </c>
      <c r="C342" t="s">
        <v>22</v>
      </c>
      <c r="D342">
        <v>4277.1499999999996</v>
      </c>
      <c r="E342">
        <v>4</v>
      </c>
      <c r="F342">
        <v>17108.599999999999</v>
      </c>
      <c r="G342" s="1">
        <v>45516</v>
      </c>
      <c r="H342" t="s">
        <v>42</v>
      </c>
      <c r="I342">
        <v>2.1</v>
      </c>
    </row>
    <row r="343" spans="1:9" x14ac:dyDescent="0.3">
      <c r="A343" t="s">
        <v>386</v>
      </c>
      <c r="B343" t="s">
        <v>120</v>
      </c>
      <c r="C343" t="s">
        <v>25</v>
      </c>
      <c r="D343">
        <v>15648.85</v>
      </c>
      <c r="E343">
        <v>2</v>
      </c>
      <c r="F343">
        <v>31297.7</v>
      </c>
      <c r="G343" s="1">
        <v>45691</v>
      </c>
      <c r="H343" t="s">
        <v>47</v>
      </c>
      <c r="I343">
        <v>4.4000000000000004</v>
      </c>
    </row>
    <row r="344" spans="1:9" x14ac:dyDescent="0.3">
      <c r="A344" t="s">
        <v>387</v>
      </c>
      <c r="B344" t="s">
        <v>82</v>
      </c>
      <c r="C344" t="s">
        <v>22</v>
      </c>
      <c r="D344">
        <v>26992.720000000001</v>
      </c>
      <c r="E344">
        <v>3</v>
      </c>
      <c r="F344">
        <v>80978.16</v>
      </c>
      <c r="G344" s="1">
        <v>45337</v>
      </c>
      <c r="H344" t="s">
        <v>28</v>
      </c>
      <c r="I344">
        <v>1.1000000000000001</v>
      </c>
    </row>
    <row r="345" spans="1:9" x14ac:dyDescent="0.3">
      <c r="A345" t="s">
        <v>388</v>
      </c>
      <c r="B345" t="s">
        <v>82</v>
      </c>
      <c r="C345" t="s">
        <v>22</v>
      </c>
      <c r="D345">
        <v>49586.31</v>
      </c>
      <c r="E345">
        <v>4</v>
      </c>
      <c r="F345">
        <v>198345.24</v>
      </c>
      <c r="G345" s="1">
        <v>45415</v>
      </c>
      <c r="H345" t="s">
        <v>16</v>
      </c>
      <c r="I345">
        <v>4.3</v>
      </c>
    </row>
    <row r="346" spans="1:9" x14ac:dyDescent="0.3">
      <c r="A346" t="s">
        <v>389</v>
      </c>
      <c r="B346" t="s">
        <v>36</v>
      </c>
      <c r="C346" t="s">
        <v>22</v>
      </c>
      <c r="D346">
        <v>37181.040000000001</v>
      </c>
      <c r="E346">
        <v>1</v>
      </c>
      <c r="F346">
        <v>37181.040000000001</v>
      </c>
      <c r="G346" s="1">
        <v>45372</v>
      </c>
      <c r="H346" t="s">
        <v>28</v>
      </c>
      <c r="I346">
        <v>1.2</v>
      </c>
    </row>
    <row r="347" spans="1:9" x14ac:dyDescent="0.3">
      <c r="A347" t="s">
        <v>390</v>
      </c>
      <c r="B347" t="s">
        <v>30</v>
      </c>
      <c r="C347" t="s">
        <v>15</v>
      </c>
      <c r="D347">
        <v>46090.65</v>
      </c>
      <c r="E347">
        <v>4</v>
      </c>
      <c r="F347">
        <v>184362.6</v>
      </c>
      <c r="G347" s="1">
        <v>45682</v>
      </c>
      <c r="H347" t="s">
        <v>16</v>
      </c>
      <c r="I347">
        <v>3.3</v>
      </c>
    </row>
    <row r="348" spans="1:9" x14ac:dyDescent="0.3">
      <c r="A348" t="s">
        <v>391</v>
      </c>
      <c r="B348" t="s">
        <v>10</v>
      </c>
      <c r="C348" t="s">
        <v>11</v>
      </c>
      <c r="D348">
        <v>48151.09</v>
      </c>
      <c r="E348">
        <v>4</v>
      </c>
      <c r="F348">
        <v>192604.36</v>
      </c>
      <c r="G348" s="1">
        <v>45496</v>
      </c>
      <c r="H348" t="s">
        <v>16</v>
      </c>
      <c r="I348">
        <v>2.9</v>
      </c>
    </row>
    <row r="349" spans="1:9" x14ac:dyDescent="0.3">
      <c r="A349" t="s">
        <v>392</v>
      </c>
      <c r="B349" t="s">
        <v>21</v>
      </c>
      <c r="C349" t="s">
        <v>22</v>
      </c>
      <c r="D349">
        <v>8197.4699999999993</v>
      </c>
      <c r="E349">
        <v>2</v>
      </c>
      <c r="F349">
        <v>16394.939999999999</v>
      </c>
      <c r="G349" s="1">
        <v>45563</v>
      </c>
      <c r="H349" t="s">
        <v>28</v>
      </c>
      <c r="I349">
        <v>3</v>
      </c>
    </row>
    <row r="350" spans="1:9" x14ac:dyDescent="0.3">
      <c r="A350" t="s">
        <v>393</v>
      </c>
      <c r="B350" t="s">
        <v>24</v>
      </c>
      <c r="C350" t="s">
        <v>25</v>
      </c>
      <c r="D350">
        <v>40679.29</v>
      </c>
      <c r="E350">
        <v>2</v>
      </c>
      <c r="F350">
        <v>81358.58</v>
      </c>
      <c r="G350" s="1">
        <v>45486</v>
      </c>
      <c r="H350" t="s">
        <v>28</v>
      </c>
      <c r="I350">
        <v>1.5</v>
      </c>
    </row>
    <row r="351" spans="1:9" x14ac:dyDescent="0.3">
      <c r="A351" t="s">
        <v>394</v>
      </c>
      <c r="B351" t="s">
        <v>38</v>
      </c>
      <c r="C351" t="s">
        <v>19</v>
      </c>
      <c r="D351">
        <v>45012.71</v>
      </c>
      <c r="E351">
        <v>3</v>
      </c>
      <c r="F351">
        <v>135038.13</v>
      </c>
      <c r="G351" s="1">
        <v>45580</v>
      </c>
      <c r="H351" t="s">
        <v>16</v>
      </c>
      <c r="I351">
        <v>4.9000000000000004</v>
      </c>
    </row>
    <row r="352" spans="1:9" x14ac:dyDescent="0.3">
      <c r="A352" t="s">
        <v>395</v>
      </c>
      <c r="B352" t="s">
        <v>38</v>
      </c>
      <c r="C352" t="s">
        <v>19</v>
      </c>
      <c r="D352">
        <v>5127.0200000000004</v>
      </c>
      <c r="E352">
        <v>3</v>
      </c>
      <c r="F352">
        <v>15381.06</v>
      </c>
      <c r="G352" s="1">
        <v>45695</v>
      </c>
      <c r="H352" t="s">
        <v>12</v>
      </c>
      <c r="I352">
        <v>4.5</v>
      </c>
    </row>
    <row r="353" spans="1:9" x14ac:dyDescent="0.3">
      <c r="A353" t="s">
        <v>396</v>
      </c>
      <c r="B353" t="s">
        <v>71</v>
      </c>
      <c r="C353" t="s">
        <v>22</v>
      </c>
      <c r="D353">
        <v>13954.48</v>
      </c>
      <c r="E353">
        <v>3</v>
      </c>
      <c r="F353">
        <v>41863.440000000002</v>
      </c>
      <c r="G353" s="1">
        <v>45669</v>
      </c>
      <c r="H353" t="s">
        <v>16</v>
      </c>
      <c r="I353">
        <v>1.5</v>
      </c>
    </row>
    <row r="354" spans="1:9" x14ac:dyDescent="0.3">
      <c r="A354" t="s">
        <v>397</v>
      </c>
      <c r="B354" t="s">
        <v>54</v>
      </c>
      <c r="C354" t="s">
        <v>15</v>
      </c>
      <c r="D354">
        <v>26166.89</v>
      </c>
      <c r="E354">
        <v>4</v>
      </c>
      <c r="F354">
        <v>104667.56</v>
      </c>
      <c r="G354" s="1">
        <v>45541</v>
      </c>
      <c r="H354" t="s">
        <v>47</v>
      </c>
      <c r="I354">
        <v>3.7</v>
      </c>
    </row>
    <row r="355" spans="1:9" x14ac:dyDescent="0.3">
      <c r="A355" t="s">
        <v>398</v>
      </c>
      <c r="B355" t="s">
        <v>69</v>
      </c>
      <c r="C355" t="s">
        <v>19</v>
      </c>
      <c r="D355">
        <v>45072.69</v>
      </c>
      <c r="E355">
        <v>2</v>
      </c>
      <c r="F355">
        <v>90145.38</v>
      </c>
      <c r="G355" s="1">
        <v>45656</v>
      </c>
      <c r="H355" t="s">
        <v>28</v>
      </c>
      <c r="I355">
        <v>2.6</v>
      </c>
    </row>
    <row r="356" spans="1:9" x14ac:dyDescent="0.3">
      <c r="A356" t="s">
        <v>399</v>
      </c>
      <c r="B356" t="s">
        <v>54</v>
      </c>
      <c r="C356" t="s">
        <v>15</v>
      </c>
      <c r="D356">
        <v>33543.19</v>
      </c>
      <c r="E356">
        <v>2</v>
      </c>
      <c r="F356">
        <v>67086.38</v>
      </c>
      <c r="G356" s="1">
        <v>45360</v>
      </c>
      <c r="H356" t="s">
        <v>16</v>
      </c>
      <c r="I356">
        <v>3.7</v>
      </c>
    </row>
    <row r="357" spans="1:9" x14ac:dyDescent="0.3">
      <c r="A357" t="s">
        <v>400</v>
      </c>
      <c r="B357" t="s">
        <v>100</v>
      </c>
      <c r="C357" t="s">
        <v>11</v>
      </c>
      <c r="D357">
        <v>34116.230000000003</v>
      </c>
      <c r="E357">
        <v>3</v>
      </c>
      <c r="F357">
        <v>102348.69</v>
      </c>
      <c r="G357" s="1">
        <v>45371</v>
      </c>
      <c r="H357" t="s">
        <v>28</v>
      </c>
      <c r="I357">
        <v>1.4</v>
      </c>
    </row>
    <row r="358" spans="1:9" x14ac:dyDescent="0.3">
      <c r="A358" t="s">
        <v>401</v>
      </c>
      <c r="B358" t="s">
        <v>100</v>
      </c>
      <c r="C358" t="s">
        <v>11</v>
      </c>
      <c r="D358">
        <v>15466.4</v>
      </c>
      <c r="E358">
        <v>5</v>
      </c>
      <c r="F358">
        <v>77332</v>
      </c>
      <c r="G358" s="1">
        <v>45502</v>
      </c>
      <c r="H358" t="s">
        <v>28</v>
      </c>
      <c r="I358">
        <v>2.9</v>
      </c>
    </row>
    <row r="359" spans="1:9" x14ac:dyDescent="0.3">
      <c r="A359" t="s">
        <v>402</v>
      </c>
      <c r="B359" t="s">
        <v>71</v>
      </c>
      <c r="C359" t="s">
        <v>22</v>
      </c>
      <c r="D359">
        <v>19879.400000000001</v>
      </c>
      <c r="E359">
        <v>4</v>
      </c>
      <c r="F359">
        <v>79517.600000000006</v>
      </c>
      <c r="G359" s="1">
        <v>45366</v>
      </c>
      <c r="H359" t="s">
        <v>12</v>
      </c>
      <c r="I359">
        <v>3.2</v>
      </c>
    </row>
    <row r="360" spans="1:9" x14ac:dyDescent="0.3">
      <c r="A360" t="s">
        <v>403</v>
      </c>
      <c r="B360" t="s">
        <v>120</v>
      </c>
      <c r="C360" t="s">
        <v>25</v>
      </c>
      <c r="D360">
        <v>11914.15</v>
      </c>
      <c r="E360">
        <v>2</v>
      </c>
      <c r="F360">
        <v>23828.3</v>
      </c>
      <c r="G360" s="1">
        <v>45453</v>
      </c>
      <c r="H360" t="s">
        <v>28</v>
      </c>
      <c r="I360">
        <v>2.4</v>
      </c>
    </row>
    <row r="361" spans="1:9" x14ac:dyDescent="0.3">
      <c r="A361" t="s">
        <v>404</v>
      </c>
      <c r="B361" t="s">
        <v>151</v>
      </c>
      <c r="C361" t="s">
        <v>15</v>
      </c>
      <c r="D361">
        <v>7936.32</v>
      </c>
      <c r="E361">
        <v>4</v>
      </c>
      <c r="F361">
        <v>31745.279999999999</v>
      </c>
      <c r="G361" s="1">
        <v>45556</v>
      </c>
      <c r="H361" t="s">
        <v>47</v>
      </c>
      <c r="I361">
        <v>1.5</v>
      </c>
    </row>
    <row r="362" spans="1:9" x14ac:dyDescent="0.3">
      <c r="A362" t="s">
        <v>405</v>
      </c>
      <c r="B362" t="s">
        <v>10</v>
      </c>
      <c r="C362" t="s">
        <v>11</v>
      </c>
      <c r="D362">
        <v>7633.85</v>
      </c>
      <c r="E362">
        <v>2</v>
      </c>
      <c r="F362">
        <v>15267.7</v>
      </c>
      <c r="G362" s="1">
        <v>45536</v>
      </c>
      <c r="H362" t="s">
        <v>56</v>
      </c>
      <c r="I362">
        <v>3.8</v>
      </c>
    </row>
    <row r="363" spans="1:9" x14ac:dyDescent="0.3">
      <c r="A363" t="s">
        <v>406</v>
      </c>
      <c r="B363" t="s">
        <v>18</v>
      </c>
      <c r="C363" t="s">
        <v>19</v>
      </c>
      <c r="D363">
        <v>2470.8200000000002</v>
      </c>
      <c r="E363">
        <v>4</v>
      </c>
      <c r="F363">
        <v>9883.2800000000007</v>
      </c>
      <c r="G363" s="1">
        <v>45438</v>
      </c>
      <c r="H363" t="s">
        <v>16</v>
      </c>
      <c r="I363">
        <v>2</v>
      </c>
    </row>
    <row r="364" spans="1:9" x14ac:dyDescent="0.3">
      <c r="A364" t="s">
        <v>407</v>
      </c>
      <c r="B364" t="s">
        <v>120</v>
      </c>
      <c r="C364" t="s">
        <v>25</v>
      </c>
      <c r="D364">
        <v>908.47</v>
      </c>
      <c r="E364">
        <v>3</v>
      </c>
      <c r="F364">
        <v>2725.41</v>
      </c>
      <c r="G364" s="1">
        <v>45562</v>
      </c>
      <c r="H364" t="s">
        <v>42</v>
      </c>
      <c r="I364">
        <v>4.5999999999999996</v>
      </c>
    </row>
    <row r="365" spans="1:9" x14ac:dyDescent="0.3">
      <c r="A365" t="s">
        <v>408</v>
      </c>
      <c r="B365" t="s">
        <v>32</v>
      </c>
      <c r="C365" t="s">
        <v>25</v>
      </c>
      <c r="D365">
        <v>14102.56</v>
      </c>
      <c r="E365">
        <v>4</v>
      </c>
      <c r="F365">
        <v>56410.239999999998</v>
      </c>
      <c r="G365" s="1">
        <v>45555</v>
      </c>
      <c r="H365" t="s">
        <v>42</v>
      </c>
      <c r="I365">
        <v>2.9</v>
      </c>
    </row>
    <row r="366" spans="1:9" x14ac:dyDescent="0.3">
      <c r="A366" t="s">
        <v>409</v>
      </c>
      <c r="B366" t="s">
        <v>71</v>
      </c>
      <c r="C366" t="s">
        <v>22</v>
      </c>
      <c r="D366">
        <v>23287.93</v>
      </c>
      <c r="E366">
        <v>4</v>
      </c>
      <c r="F366">
        <v>93151.72</v>
      </c>
      <c r="G366" s="1">
        <v>45518</v>
      </c>
      <c r="H366" t="s">
        <v>12</v>
      </c>
      <c r="I366">
        <v>2</v>
      </c>
    </row>
    <row r="367" spans="1:9" x14ac:dyDescent="0.3">
      <c r="A367" t="s">
        <v>410</v>
      </c>
      <c r="B367" t="s">
        <v>27</v>
      </c>
      <c r="C367" t="s">
        <v>25</v>
      </c>
      <c r="D367">
        <v>41333.21</v>
      </c>
      <c r="E367">
        <v>1</v>
      </c>
      <c r="F367">
        <v>41333.21</v>
      </c>
      <c r="G367" s="1">
        <v>45685</v>
      </c>
      <c r="H367" t="s">
        <v>56</v>
      </c>
      <c r="I367">
        <v>4</v>
      </c>
    </row>
    <row r="368" spans="1:9" x14ac:dyDescent="0.3">
      <c r="A368" t="s">
        <v>411</v>
      </c>
      <c r="B368" t="s">
        <v>10</v>
      </c>
      <c r="C368" t="s">
        <v>11</v>
      </c>
      <c r="D368">
        <v>35304.99</v>
      </c>
      <c r="E368">
        <v>1</v>
      </c>
      <c r="F368">
        <v>35304.99</v>
      </c>
      <c r="G368" s="1">
        <v>45510</v>
      </c>
      <c r="H368" t="s">
        <v>42</v>
      </c>
      <c r="I368">
        <v>2</v>
      </c>
    </row>
    <row r="369" spans="1:9" x14ac:dyDescent="0.3">
      <c r="A369" t="s">
        <v>412</v>
      </c>
      <c r="B369" t="s">
        <v>14</v>
      </c>
      <c r="C369" t="s">
        <v>15</v>
      </c>
      <c r="D369">
        <v>22335.58</v>
      </c>
      <c r="E369">
        <v>2</v>
      </c>
      <c r="F369">
        <v>44671.16</v>
      </c>
      <c r="G369" s="1">
        <v>45504</v>
      </c>
      <c r="H369" t="s">
        <v>28</v>
      </c>
      <c r="I369">
        <v>3.8</v>
      </c>
    </row>
    <row r="370" spans="1:9" x14ac:dyDescent="0.3">
      <c r="A370" t="s">
        <v>413</v>
      </c>
      <c r="B370" t="s">
        <v>24</v>
      </c>
      <c r="C370" t="s">
        <v>25</v>
      </c>
      <c r="D370">
        <v>40486.080000000002</v>
      </c>
      <c r="E370">
        <v>5</v>
      </c>
      <c r="F370">
        <v>202430.4</v>
      </c>
      <c r="G370" s="1">
        <v>45622</v>
      </c>
      <c r="H370" t="s">
        <v>28</v>
      </c>
      <c r="I370">
        <v>3.6</v>
      </c>
    </row>
    <row r="371" spans="1:9" x14ac:dyDescent="0.3">
      <c r="A371" t="s">
        <v>414</v>
      </c>
      <c r="B371" t="s">
        <v>10</v>
      </c>
      <c r="C371" t="s">
        <v>11</v>
      </c>
      <c r="D371">
        <v>20353.400000000001</v>
      </c>
      <c r="E371">
        <v>1</v>
      </c>
      <c r="F371">
        <v>20353.400000000001</v>
      </c>
      <c r="G371" s="1">
        <v>45480</v>
      </c>
      <c r="H371" t="s">
        <v>16</v>
      </c>
      <c r="I371">
        <v>2.9</v>
      </c>
    </row>
    <row r="372" spans="1:9" x14ac:dyDescent="0.3">
      <c r="A372" t="s">
        <v>415</v>
      </c>
      <c r="B372" t="s">
        <v>71</v>
      </c>
      <c r="C372" t="s">
        <v>22</v>
      </c>
      <c r="D372">
        <v>2258.27</v>
      </c>
      <c r="E372">
        <v>3</v>
      </c>
      <c r="F372">
        <v>6774.81</v>
      </c>
      <c r="G372" s="1">
        <v>45589</v>
      </c>
      <c r="H372" t="s">
        <v>28</v>
      </c>
      <c r="I372">
        <v>4.8</v>
      </c>
    </row>
    <row r="373" spans="1:9" x14ac:dyDescent="0.3">
      <c r="A373" t="s">
        <v>416</v>
      </c>
      <c r="B373" t="s">
        <v>44</v>
      </c>
      <c r="C373" t="s">
        <v>22</v>
      </c>
      <c r="D373">
        <v>704.55</v>
      </c>
      <c r="E373">
        <v>5</v>
      </c>
      <c r="F373">
        <v>3522.75</v>
      </c>
      <c r="G373" s="1">
        <v>45440</v>
      </c>
      <c r="H373" t="s">
        <v>12</v>
      </c>
      <c r="I373">
        <v>4</v>
      </c>
    </row>
    <row r="374" spans="1:9" x14ac:dyDescent="0.3">
      <c r="A374" t="s">
        <v>417</v>
      </c>
      <c r="B374" t="s">
        <v>32</v>
      </c>
      <c r="C374" t="s">
        <v>25</v>
      </c>
      <c r="D374">
        <v>38629</v>
      </c>
      <c r="E374">
        <v>1</v>
      </c>
      <c r="F374">
        <v>38629</v>
      </c>
      <c r="G374" s="1">
        <v>45488</v>
      </c>
      <c r="H374" t="s">
        <v>56</v>
      </c>
      <c r="I374">
        <v>4</v>
      </c>
    </row>
    <row r="375" spans="1:9" x14ac:dyDescent="0.3">
      <c r="A375" t="s">
        <v>418</v>
      </c>
      <c r="B375" t="s">
        <v>93</v>
      </c>
      <c r="C375" t="s">
        <v>11</v>
      </c>
      <c r="D375">
        <v>37303.26</v>
      </c>
      <c r="E375">
        <v>4</v>
      </c>
      <c r="F375">
        <v>149213.04</v>
      </c>
      <c r="G375" s="1">
        <v>45664</v>
      </c>
      <c r="H375" t="s">
        <v>42</v>
      </c>
      <c r="I375">
        <v>2.9</v>
      </c>
    </row>
    <row r="376" spans="1:9" x14ac:dyDescent="0.3">
      <c r="A376" t="s">
        <v>419</v>
      </c>
      <c r="B376" t="s">
        <v>44</v>
      </c>
      <c r="C376" t="s">
        <v>22</v>
      </c>
      <c r="D376">
        <v>11507.22</v>
      </c>
      <c r="E376">
        <v>4</v>
      </c>
      <c r="F376">
        <v>46028.88</v>
      </c>
      <c r="G376" s="1">
        <v>45399</v>
      </c>
      <c r="H376" t="s">
        <v>12</v>
      </c>
      <c r="I376">
        <v>1.4</v>
      </c>
    </row>
    <row r="377" spans="1:9" x14ac:dyDescent="0.3">
      <c r="A377" t="s">
        <v>420</v>
      </c>
      <c r="B377" t="s">
        <v>32</v>
      </c>
      <c r="C377" t="s">
        <v>25</v>
      </c>
      <c r="D377">
        <v>48710.25</v>
      </c>
      <c r="E377">
        <v>1</v>
      </c>
      <c r="F377">
        <v>48710.25</v>
      </c>
      <c r="G377" s="1">
        <v>45571</v>
      </c>
      <c r="H377" t="s">
        <v>47</v>
      </c>
      <c r="I377">
        <v>1.7</v>
      </c>
    </row>
    <row r="378" spans="1:9" x14ac:dyDescent="0.3">
      <c r="A378" t="s">
        <v>421</v>
      </c>
      <c r="B378" t="s">
        <v>10</v>
      </c>
      <c r="C378" t="s">
        <v>11</v>
      </c>
      <c r="D378">
        <v>20075.810000000001</v>
      </c>
      <c r="E378">
        <v>1</v>
      </c>
      <c r="F378">
        <v>20075.810000000001</v>
      </c>
      <c r="G378" s="1">
        <v>45455</v>
      </c>
      <c r="H378" t="s">
        <v>12</v>
      </c>
      <c r="I378">
        <v>4.9000000000000004</v>
      </c>
    </row>
    <row r="379" spans="1:9" x14ac:dyDescent="0.3">
      <c r="A379" t="s">
        <v>422</v>
      </c>
      <c r="B379" t="s">
        <v>46</v>
      </c>
      <c r="C379" t="s">
        <v>11</v>
      </c>
      <c r="D379">
        <v>8448.77</v>
      </c>
      <c r="E379">
        <v>2</v>
      </c>
      <c r="F379">
        <v>16897.54</v>
      </c>
      <c r="G379" s="1">
        <v>45424</v>
      </c>
      <c r="H379" t="s">
        <v>16</v>
      </c>
      <c r="I379">
        <v>3.8</v>
      </c>
    </row>
    <row r="380" spans="1:9" x14ac:dyDescent="0.3">
      <c r="A380" t="s">
        <v>423</v>
      </c>
      <c r="B380" t="s">
        <v>30</v>
      </c>
      <c r="C380" t="s">
        <v>15</v>
      </c>
      <c r="D380">
        <v>29310.76</v>
      </c>
      <c r="E380">
        <v>4</v>
      </c>
      <c r="F380">
        <v>117243.04</v>
      </c>
      <c r="G380" s="1">
        <v>45476</v>
      </c>
      <c r="H380" t="s">
        <v>28</v>
      </c>
      <c r="I380">
        <v>4.4000000000000004</v>
      </c>
    </row>
    <row r="381" spans="1:9" x14ac:dyDescent="0.3">
      <c r="A381" t="s">
        <v>424</v>
      </c>
      <c r="B381" t="s">
        <v>10</v>
      </c>
      <c r="C381" t="s">
        <v>11</v>
      </c>
      <c r="D381">
        <v>708.78</v>
      </c>
      <c r="E381">
        <v>4</v>
      </c>
      <c r="F381">
        <v>2835.12</v>
      </c>
      <c r="G381" s="1">
        <v>45625</v>
      </c>
      <c r="H381" t="s">
        <v>42</v>
      </c>
      <c r="I381">
        <v>2</v>
      </c>
    </row>
    <row r="382" spans="1:9" x14ac:dyDescent="0.3">
      <c r="A382" t="s">
        <v>425</v>
      </c>
      <c r="B382" t="s">
        <v>34</v>
      </c>
      <c r="C382" t="s">
        <v>15</v>
      </c>
      <c r="D382">
        <v>24062.33</v>
      </c>
      <c r="E382">
        <v>4</v>
      </c>
      <c r="F382">
        <v>96249.32</v>
      </c>
      <c r="G382" s="1">
        <v>45676</v>
      </c>
      <c r="H382" t="s">
        <v>12</v>
      </c>
      <c r="I382">
        <v>1.1000000000000001</v>
      </c>
    </row>
    <row r="383" spans="1:9" x14ac:dyDescent="0.3">
      <c r="A383" t="s">
        <v>426</v>
      </c>
      <c r="B383" t="s">
        <v>30</v>
      </c>
      <c r="C383" t="s">
        <v>15</v>
      </c>
      <c r="D383">
        <v>27827.66</v>
      </c>
      <c r="E383">
        <v>1</v>
      </c>
      <c r="F383">
        <v>27827.66</v>
      </c>
      <c r="G383" s="1">
        <v>45461</v>
      </c>
      <c r="H383" t="s">
        <v>42</v>
      </c>
      <c r="I383">
        <v>4.5</v>
      </c>
    </row>
    <row r="384" spans="1:9" x14ac:dyDescent="0.3">
      <c r="A384" t="s">
        <v>427</v>
      </c>
      <c r="B384" t="s">
        <v>21</v>
      </c>
      <c r="C384" t="s">
        <v>22</v>
      </c>
      <c r="D384">
        <v>40862.870000000003</v>
      </c>
      <c r="E384">
        <v>2</v>
      </c>
      <c r="F384">
        <v>81725.740000000005</v>
      </c>
      <c r="G384" s="1">
        <v>45434</v>
      </c>
      <c r="H384" t="s">
        <v>12</v>
      </c>
      <c r="I384">
        <v>1.4</v>
      </c>
    </row>
    <row r="385" spans="1:9" x14ac:dyDescent="0.3">
      <c r="A385" t="s">
        <v>428</v>
      </c>
      <c r="B385" t="s">
        <v>30</v>
      </c>
      <c r="C385" t="s">
        <v>15</v>
      </c>
      <c r="D385">
        <v>11399.26</v>
      </c>
      <c r="E385">
        <v>2</v>
      </c>
      <c r="F385">
        <v>22798.52</v>
      </c>
      <c r="G385" s="1">
        <v>45339</v>
      </c>
      <c r="H385" t="s">
        <v>56</v>
      </c>
      <c r="I385">
        <v>1</v>
      </c>
    </row>
    <row r="386" spans="1:9" x14ac:dyDescent="0.3">
      <c r="A386" t="s">
        <v>429</v>
      </c>
      <c r="B386" t="s">
        <v>69</v>
      </c>
      <c r="C386" t="s">
        <v>19</v>
      </c>
      <c r="D386">
        <v>5463.13</v>
      </c>
      <c r="E386">
        <v>1</v>
      </c>
      <c r="F386">
        <v>5463.13</v>
      </c>
      <c r="G386" s="1">
        <v>45473</v>
      </c>
      <c r="H386" t="s">
        <v>12</v>
      </c>
      <c r="I386">
        <v>3.9</v>
      </c>
    </row>
    <row r="387" spans="1:9" x14ac:dyDescent="0.3">
      <c r="A387" t="s">
        <v>430</v>
      </c>
      <c r="B387" t="s">
        <v>46</v>
      </c>
      <c r="C387" t="s">
        <v>11</v>
      </c>
      <c r="D387">
        <v>8644.99</v>
      </c>
      <c r="E387">
        <v>5</v>
      </c>
      <c r="F387">
        <v>43224.95</v>
      </c>
      <c r="G387" s="1">
        <v>45490</v>
      </c>
      <c r="H387" t="s">
        <v>12</v>
      </c>
      <c r="I387">
        <v>4.3</v>
      </c>
    </row>
    <row r="388" spans="1:9" x14ac:dyDescent="0.3">
      <c r="A388" t="s">
        <v>431</v>
      </c>
      <c r="B388" t="s">
        <v>82</v>
      </c>
      <c r="C388" t="s">
        <v>22</v>
      </c>
      <c r="D388">
        <v>27481.15</v>
      </c>
      <c r="E388">
        <v>2</v>
      </c>
      <c r="F388">
        <v>54962.3</v>
      </c>
      <c r="G388" s="1">
        <v>45592</v>
      </c>
      <c r="H388" t="s">
        <v>42</v>
      </c>
      <c r="I388">
        <v>3.2</v>
      </c>
    </row>
    <row r="389" spans="1:9" x14ac:dyDescent="0.3">
      <c r="A389" t="s">
        <v>432</v>
      </c>
      <c r="B389" t="s">
        <v>100</v>
      </c>
      <c r="C389" t="s">
        <v>11</v>
      </c>
      <c r="D389">
        <v>47819.23</v>
      </c>
      <c r="E389">
        <v>4</v>
      </c>
      <c r="F389">
        <v>191276.92</v>
      </c>
      <c r="G389" s="1">
        <v>45446</v>
      </c>
      <c r="H389" t="s">
        <v>28</v>
      </c>
      <c r="I389">
        <v>1.1000000000000001</v>
      </c>
    </row>
    <row r="390" spans="1:9" x14ac:dyDescent="0.3">
      <c r="A390" t="s">
        <v>433</v>
      </c>
      <c r="B390" t="s">
        <v>40</v>
      </c>
      <c r="C390" t="s">
        <v>19</v>
      </c>
      <c r="D390">
        <v>7145.81</v>
      </c>
      <c r="E390">
        <v>4</v>
      </c>
      <c r="F390">
        <v>28583.24</v>
      </c>
      <c r="G390" s="1">
        <v>45360</v>
      </c>
      <c r="H390" t="s">
        <v>28</v>
      </c>
      <c r="I390">
        <v>1.9</v>
      </c>
    </row>
    <row r="391" spans="1:9" x14ac:dyDescent="0.3">
      <c r="A391" t="s">
        <v>434</v>
      </c>
      <c r="B391" t="s">
        <v>82</v>
      </c>
      <c r="C391" t="s">
        <v>22</v>
      </c>
      <c r="D391">
        <v>29847.4</v>
      </c>
      <c r="E391">
        <v>3</v>
      </c>
      <c r="F391">
        <v>89542.2</v>
      </c>
      <c r="G391" s="1">
        <v>45447</v>
      </c>
      <c r="H391" t="s">
        <v>12</v>
      </c>
      <c r="I391">
        <v>2.9</v>
      </c>
    </row>
    <row r="392" spans="1:9" x14ac:dyDescent="0.3">
      <c r="A392" t="s">
        <v>435</v>
      </c>
      <c r="B392" t="s">
        <v>40</v>
      </c>
      <c r="C392" t="s">
        <v>19</v>
      </c>
      <c r="D392">
        <v>11186.35</v>
      </c>
      <c r="E392">
        <v>2</v>
      </c>
      <c r="F392">
        <v>22372.7</v>
      </c>
      <c r="G392" s="1">
        <v>45593</v>
      </c>
      <c r="H392" t="s">
        <v>42</v>
      </c>
      <c r="I392">
        <v>1.1000000000000001</v>
      </c>
    </row>
    <row r="393" spans="1:9" x14ac:dyDescent="0.3">
      <c r="A393" t="s">
        <v>436</v>
      </c>
      <c r="B393" t="s">
        <v>10</v>
      </c>
      <c r="C393" t="s">
        <v>11</v>
      </c>
      <c r="D393">
        <v>36535.74</v>
      </c>
      <c r="E393">
        <v>3</v>
      </c>
      <c r="F393">
        <v>109607.22</v>
      </c>
      <c r="G393" s="1">
        <v>45475</v>
      </c>
      <c r="H393" t="s">
        <v>16</v>
      </c>
      <c r="I393">
        <v>1.2</v>
      </c>
    </row>
    <row r="394" spans="1:9" x14ac:dyDescent="0.3">
      <c r="A394" t="s">
        <v>437</v>
      </c>
      <c r="B394" t="s">
        <v>30</v>
      </c>
      <c r="C394" t="s">
        <v>15</v>
      </c>
      <c r="D394">
        <v>12046.9</v>
      </c>
      <c r="E394">
        <v>3</v>
      </c>
      <c r="F394">
        <v>36140.699999999997</v>
      </c>
      <c r="G394" s="1">
        <v>45662</v>
      </c>
      <c r="H394" t="s">
        <v>42</v>
      </c>
      <c r="I394">
        <v>3.2</v>
      </c>
    </row>
    <row r="395" spans="1:9" x14ac:dyDescent="0.3">
      <c r="A395" t="s">
        <v>438</v>
      </c>
      <c r="B395" t="s">
        <v>69</v>
      </c>
      <c r="C395" t="s">
        <v>19</v>
      </c>
      <c r="D395">
        <v>7043.51</v>
      </c>
      <c r="E395">
        <v>4</v>
      </c>
      <c r="F395">
        <v>28174.04</v>
      </c>
      <c r="G395" s="1">
        <v>45363</v>
      </c>
      <c r="H395" t="s">
        <v>16</v>
      </c>
      <c r="I395">
        <v>2.2999999999999998</v>
      </c>
    </row>
    <row r="396" spans="1:9" x14ac:dyDescent="0.3">
      <c r="A396" t="s">
        <v>439</v>
      </c>
      <c r="B396" t="s">
        <v>30</v>
      </c>
      <c r="C396" t="s">
        <v>15</v>
      </c>
      <c r="D396">
        <v>34369.57</v>
      </c>
      <c r="E396">
        <v>4</v>
      </c>
      <c r="F396">
        <v>137478.28</v>
      </c>
      <c r="G396" s="1">
        <v>45504</v>
      </c>
      <c r="H396" t="s">
        <v>56</v>
      </c>
      <c r="I396">
        <v>1.6</v>
      </c>
    </row>
    <row r="397" spans="1:9" x14ac:dyDescent="0.3">
      <c r="A397" t="s">
        <v>440</v>
      </c>
      <c r="B397" t="s">
        <v>30</v>
      </c>
      <c r="C397" t="s">
        <v>15</v>
      </c>
      <c r="D397">
        <v>4827.49</v>
      </c>
      <c r="E397">
        <v>3</v>
      </c>
      <c r="F397">
        <v>14482.47</v>
      </c>
      <c r="G397" s="1">
        <v>45361</v>
      </c>
      <c r="H397" t="s">
        <v>12</v>
      </c>
      <c r="I397">
        <v>4.2</v>
      </c>
    </row>
    <row r="398" spans="1:9" x14ac:dyDescent="0.3">
      <c r="A398" t="s">
        <v>441</v>
      </c>
      <c r="B398" t="s">
        <v>40</v>
      </c>
      <c r="C398" t="s">
        <v>19</v>
      </c>
      <c r="D398">
        <v>14851.66</v>
      </c>
      <c r="E398">
        <v>2</v>
      </c>
      <c r="F398">
        <v>29703.32</v>
      </c>
      <c r="G398" s="1">
        <v>45665</v>
      </c>
      <c r="H398" t="s">
        <v>12</v>
      </c>
      <c r="I398">
        <v>1.9</v>
      </c>
    </row>
    <row r="399" spans="1:9" x14ac:dyDescent="0.3">
      <c r="A399" t="s">
        <v>442</v>
      </c>
      <c r="B399" t="s">
        <v>34</v>
      </c>
      <c r="C399" t="s">
        <v>15</v>
      </c>
      <c r="D399">
        <v>40248.269999999997</v>
      </c>
      <c r="E399">
        <v>3</v>
      </c>
      <c r="F399">
        <v>120744.81</v>
      </c>
      <c r="G399" s="1">
        <v>45401</v>
      </c>
      <c r="H399" t="s">
        <v>28</v>
      </c>
      <c r="I399">
        <v>3.9</v>
      </c>
    </row>
    <row r="400" spans="1:9" x14ac:dyDescent="0.3">
      <c r="A400" t="s">
        <v>443</v>
      </c>
      <c r="B400" t="s">
        <v>14</v>
      </c>
      <c r="C400" t="s">
        <v>15</v>
      </c>
      <c r="D400">
        <v>37135.360000000001</v>
      </c>
      <c r="E400">
        <v>2</v>
      </c>
      <c r="F400">
        <v>74270.720000000001</v>
      </c>
      <c r="G400" s="1">
        <v>45649</v>
      </c>
      <c r="H400" t="s">
        <v>56</v>
      </c>
      <c r="I400">
        <v>3</v>
      </c>
    </row>
    <row r="401" spans="1:9" x14ac:dyDescent="0.3">
      <c r="A401" t="s">
        <v>444</v>
      </c>
      <c r="B401" t="s">
        <v>75</v>
      </c>
      <c r="C401" t="s">
        <v>19</v>
      </c>
      <c r="D401">
        <v>25794.78</v>
      </c>
      <c r="E401">
        <v>5</v>
      </c>
      <c r="F401">
        <v>128973.9</v>
      </c>
      <c r="G401" s="1">
        <v>45517</v>
      </c>
      <c r="H401" t="s">
        <v>12</v>
      </c>
      <c r="I401">
        <v>1</v>
      </c>
    </row>
    <row r="402" spans="1:9" x14ac:dyDescent="0.3">
      <c r="A402" t="s">
        <v>445</v>
      </c>
      <c r="B402" t="s">
        <v>75</v>
      </c>
      <c r="C402" t="s">
        <v>19</v>
      </c>
      <c r="D402">
        <v>47564.29</v>
      </c>
      <c r="E402">
        <v>3</v>
      </c>
      <c r="F402">
        <v>142692.87</v>
      </c>
      <c r="G402" s="1">
        <v>45435</v>
      </c>
      <c r="H402" t="s">
        <v>56</v>
      </c>
      <c r="I402">
        <v>3.5</v>
      </c>
    </row>
    <row r="403" spans="1:9" x14ac:dyDescent="0.3">
      <c r="A403" t="s">
        <v>446</v>
      </c>
      <c r="B403" t="s">
        <v>27</v>
      </c>
      <c r="C403" t="s">
        <v>25</v>
      </c>
      <c r="D403">
        <v>5500.92</v>
      </c>
      <c r="E403">
        <v>3</v>
      </c>
      <c r="F403">
        <v>16502.759999999998</v>
      </c>
      <c r="G403" s="1">
        <v>45500</v>
      </c>
      <c r="H403" t="s">
        <v>12</v>
      </c>
      <c r="I403">
        <v>2.2999999999999998</v>
      </c>
    </row>
    <row r="404" spans="1:9" x14ac:dyDescent="0.3">
      <c r="A404" t="s">
        <v>447</v>
      </c>
      <c r="B404" t="s">
        <v>46</v>
      </c>
      <c r="C404" t="s">
        <v>11</v>
      </c>
      <c r="D404">
        <v>904.29</v>
      </c>
      <c r="E404">
        <v>2</v>
      </c>
      <c r="F404">
        <v>1808.58</v>
      </c>
      <c r="G404" s="1">
        <v>45413</v>
      </c>
      <c r="H404" t="s">
        <v>12</v>
      </c>
      <c r="I404">
        <v>3.5</v>
      </c>
    </row>
    <row r="405" spans="1:9" x14ac:dyDescent="0.3">
      <c r="A405" t="s">
        <v>448</v>
      </c>
      <c r="B405" t="s">
        <v>21</v>
      </c>
      <c r="C405" t="s">
        <v>22</v>
      </c>
      <c r="D405">
        <v>25035.46</v>
      </c>
      <c r="E405">
        <v>2</v>
      </c>
      <c r="F405">
        <v>50070.92</v>
      </c>
      <c r="G405" s="1">
        <v>45397</v>
      </c>
      <c r="H405" t="s">
        <v>12</v>
      </c>
      <c r="I405">
        <v>4.5</v>
      </c>
    </row>
    <row r="406" spans="1:9" x14ac:dyDescent="0.3">
      <c r="A406" t="s">
        <v>449</v>
      </c>
      <c r="B406" t="s">
        <v>30</v>
      </c>
      <c r="C406" t="s">
        <v>15</v>
      </c>
      <c r="D406">
        <v>30156.36</v>
      </c>
      <c r="E406">
        <v>5</v>
      </c>
      <c r="F406">
        <v>150781.79999999999</v>
      </c>
      <c r="G406" s="1">
        <v>45663</v>
      </c>
      <c r="H406" t="s">
        <v>16</v>
      </c>
      <c r="I406">
        <v>4.4000000000000004</v>
      </c>
    </row>
    <row r="407" spans="1:9" x14ac:dyDescent="0.3">
      <c r="A407" t="s">
        <v>450</v>
      </c>
      <c r="B407" t="s">
        <v>34</v>
      </c>
      <c r="C407" t="s">
        <v>15</v>
      </c>
      <c r="D407">
        <v>42189.9</v>
      </c>
      <c r="E407">
        <v>1</v>
      </c>
      <c r="F407">
        <v>42189.9</v>
      </c>
      <c r="G407" s="1">
        <v>45669</v>
      </c>
      <c r="H407" t="s">
        <v>47</v>
      </c>
      <c r="I407">
        <v>3.4</v>
      </c>
    </row>
    <row r="408" spans="1:9" x14ac:dyDescent="0.3">
      <c r="A408" t="s">
        <v>451</v>
      </c>
      <c r="B408" t="s">
        <v>14</v>
      </c>
      <c r="C408" t="s">
        <v>15</v>
      </c>
      <c r="D408">
        <v>41122.81</v>
      </c>
      <c r="E408">
        <v>2</v>
      </c>
      <c r="F408">
        <v>82245.62</v>
      </c>
      <c r="G408" s="1">
        <v>45636</v>
      </c>
      <c r="H408" t="s">
        <v>56</v>
      </c>
      <c r="I408">
        <v>4.8</v>
      </c>
    </row>
    <row r="409" spans="1:9" x14ac:dyDescent="0.3">
      <c r="A409" t="s">
        <v>452</v>
      </c>
      <c r="B409" t="s">
        <v>54</v>
      </c>
      <c r="C409" t="s">
        <v>15</v>
      </c>
      <c r="D409">
        <v>21705.78</v>
      </c>
      <c r="E409">
        <v>1</v>
      </c>
      <c r="F409">
        <v>21705.78</v>
      </c>
      <c r="G409" s="1">
        <v>45570</v>
      </c>
      <c r="H409" t="s">
        <v>42</v>
      </c>
      <c r="I409">
        <v>1.1000000000000001</v>
      </c>
    </row>
    <row r="410" spans="1:9" x14ac:dyDescent="0.3">
      <c r="A410" t="s">
        <v>453</v>
      </c>
      <c r="B410" t="s">
        <v>82</v>
      </c>
      <c r="C410" t="s">
        <v>22</v>
      </c>
      <c r="D410">
        <v>28391.65</v>
      </c>
      <c r="E410">
        <v>3</v>
      </c>
      <c r="F410">
        <v>85174.95</v>
      </c>
      <c r="G410" s="1">
        <v>45637</v>
      </c>
      <c r="H410" t="s">
        <v>12</v>
      </c>
      <c r="I410">
        <v>2.5</v>
      </c>
    </row>
    <row r="411" spans="1:9" x14ac:dyDescent="0.3">
      <c r="A411" t="s">
        <v>454</v>
      </c>
      <c r="B411" t="s">
        <v>27</v>
      </c>
      <c r="C411" t="s">
        <v>25</v>
      </c>
      <c r="D411">
        <v>40031.86</v>
      </c>
      <c r="E411">
        <v>2</v>
      </c>
      <c r="F411">
        <v>80063.72</v>
      </c>
      <c r="G411" s="1">
        <v>45642</v>
      </c>
      <c r="H411" t="s">
        <v>42</v>
      </c>
      <c r="I411">
        <v>1.9</v>
      </c>
    </row>
    <row r="412" spans="1:9" x14ac:dyDescent="0.3">
      <c r="A412" t="s">
        <v>455</v>
      </c>
      <c r="B412" t="s">
        <v>27</v>
      </c>
      <c r="C412" t="s">
        <v>25</v>
      </c>
      <c r="D412">
        <v>41248.019999999997</v>
      </c>
      <c r="E412">
        <v>4</v>
      </c>
      <c r="F412">
        <v>164992.07999999999</v>
      </c>
      <c r="G412" s="1">
        <v>45669</v>
      </c>
      <c r="H412" t="s">
        <v>47</v>
      </c>
      <c r="I412">
        <v>2.6</v>
      </c>
    </row>
    <row r="413" spans="1:9" x14ac:dyDescent="0.3">
      <c r="A413" t="s">
        <v>456</v>
      </c>
      <c r="B413" t="s">
        <v>75</v>
      </c>
      <c r="C413" t="s">
        <v>19</v>
      </c>
      <c r="D413">
        <v>35325.379999999997</v>
      </c>
      <c r="E413">
        <v>2</v>
      </c>
      <c r="F413">
        <v>70650.759999999995</v>
      </c>
      <c r="G413" s="1">
        <v>45430</v>
      </c>
      <c r="H413" t="s">
        <v>16</v>
      </c>
      <c r="I413">
        <v>4.0999999999999996</v>
      </c>
    </row>
    <row r="414" spans="1:9" x14ac:dyDescent="0.3">
      <c r="A414" t="s">
        <v>457</v>
      </c>
      <c r="B414" t="s">
        <v>27</v>
      </c>
      <c r="C414" t="s">
        <v>25</v>
      </c>
      <c r="D414">
        <v>45866.22</v>
      </c>
      <c r="E414">
        <v>1</v>
      </c>
      <c r="F414">
        <v>45866.22</v>
      </c>
      <c r="G414" s="1">
        <v>45635</v>
      </c>
      <c r="H414" t="s">
        <v>42</v>
      </c>
      <c r="I414">
        <v>3.9</v>
      </c>
    </row>
    <row r="415" spans="1:9" x14ac:dyDescent="0.3">
      <c r="A415" t="s">
        <v>458</v>
      </c>
      <c r="B415" t="s">
        <v>151</v>
      </c>
      <c r="C415" t="s">
        <v>15</v>
      </c>
      <c r="D415">
        <v>42975.360000000001</v>
      </c>
      <c r="E415">
        <v>4</v>
      </c>
      <c r="F415">
        <v>171901.44</v>
      </c>
      <c r="G415" s="1">
        <v>45522</v>
      </c>
      <c r="H415" t="s">
        <v>42</v>
      </c>
      <c r="I415">
        <v>3.3</v>
      </c>
    </row>
    <row r="416" spans="1:9" x14ac:dyDescent="0.3">
      <c r="A416" t="s">
        <v>459</v>
      </c>
      <c r="B416" t="s">
        <v>36</v>
      </c>
      <c r="C416" t="s">
        <v>22</v>
      </c>
      <c r="D416">
        <v>7532.86</v>
      </c>
      <c r="E416">
        <v>5</v>
      </c>
      <c r="F416">
        <v>37664.300000000003</v>
      </c>
      <c r="G416" s="1">
        <v>45695</v>
      </c>
      <c r="H416" t="s">
        <v>16</v>
      </c>
      <c r="I416">
        <v>1.5</v>
      </c>
    </row>
    <row r="417" spans="1:9" x14ac:dyDescent="0.3">
      <c r="A417" t="s">
        <v>460</v>
      </c>
      <c r="B417" t="s">
        <v>18</v>
      </c>
      <c r="C417" t="s">
        <v>19</v>
      </c>
      <c r="D417">
        <v>39931.75</v>
      </c>
      <c r="E417">
        <v>4</v>
      </c>
      <c r="F417">
        <v>159727</v>
      </c>
      <c r="G417" s="1">
        <v>45401</v>
      </c>
      <c r="H417" t="s">
        <v>47</v>
      </c>
      <c r="I417">
        <v>2.4</v>
      </c>
    </row>
    <row r="418" spans="1:9" x14ac:dyDescent="0.3">
      <c r="A418" t="s">
        <v>461</v>
      </c>
      <c r="B418" t="s">
        <v>82</v>
      </c>
      <c r="C418" t="s">
        <v>22</v>
      </c>
      <c r="D418">
        <v>20760.439999999999</v>
      </c>
      <c r="E418">
        <v>4</v>
      </c>
      <c r="F418">
        <v>83041.759999999995</v>
      </c>
      <c r="G418" s="1">
        <v>45361</v>
      </c>
      <c r="H418" t="s">
        <v>42</v>
      </c>
      <c r="I418">
        <v>2.4</v>
      </c>
    </row>
    <row r="419" spans="1:9" x14ac:dyDescent="0.3">
      <c r="A419" t="s">
        <v>462</v>
      </c>
      <c r="B419" t="s">
        <v>54</v>
      </c>
      <c r="C419" t="s">
        <v>15</v>
      </c>
      <c r="D419">
        <v>29466.3</v>
      </c>
      <c r="E419">
        <v>5</v>
      </c>
      <c r="F419">
        <v>147331.5</v>
      </c>
      <c r="G419" s="1">
        <v>45496</v>
      </c>
      <c r="H419" t="s">
        <v>56</v>
      </c>
      <c r="I419">
        <v>1.3</v>
      </c>
    </row>
    <row r="420" spans="1:9" x14ac:dyDescent="0.3">
      <c r="A420" t="s">
        <v>463</v>
      </c>
      <c r="B420" t="s">
        <v>18</v>
      </c>
      <c r="C420" t="s">
        <v>19</v>
      </c>
      <c r="D420">
        <v>756.85</v>
      </c>
      <c r="E420">
        <v>3</v>
      </c>
      <c r="F420">
        <v>2270.5500000000002</v>
      </c>
      <c r="G420" s="1">
        <v>45600</v>
      </c>
      <c r="H420" t="s">
        <v>16</v>
      </c>
      <c r="I420">
        <v>4.8</v>
      </c>
    </row>
    <row r="421" spans="1:9" x14ac:dyDescent="0.3">
      <c r="A421" t="s">
        <v>464</v>
      </c>
      <c r="B421" t="s">
        <v>21</v>
      </c>
      <c r="C421" t="s">
        <v>22</v>
      </c>
      <c r="D421">
        <v>43711.45</v>
      </c>
      <c r="E421">
        <v>4</v>
      </c>
      <c r="F421">
        <v>174845.8</v>
      </c>
      <c r="G421" s="1">
        <v>45470</v>
      </c>
      <c r="H421" t="s">
        <v>28</v>
      </c>
      <c r="I421">
        <v>4.5</v>
      </c>
    </row>
    <row r="422" spans="1:9" x14ac:dyDescent="0.3">
      <c r="A422" t="s">
        <v>465</v>
      </c>
      <c r="B422" t="s">
        <v>46</v>
      </c>
      <c r="C422" t="s">
        <v>11</v>
      </c>
      <c r="D422">
        <v>1134.78</v>
      </c>
      <c r="E422">
        <v>2</v>
      </c>
      <c r="F422">
        <v>2269.56</v>
      </c>
      <c r="G422" s="1">
        <v>45452</v>
      </c>
      <c r="H422" t="s">
        <v>12</v>
      </c>
      <c r="I422">
        <v>3.9</v>
      </c>
    </row>
    <row r="423" spans="1:9" x14ac:dyDescent="0.3">
      <c r="A423" t="s">
        <v>466</v>
      </c>
      <c r="B423" t="s">
        <v>120</v>
      </c>
      <c r="C423" t="s">
        <v>25</v>
      </c>
      <c r="D423">
        <v>6859</v>
      </c>
      <c r="E423">
        <v>3</v>
      </c>
      <c r="F423">
        <v>20577</v>
      </c>
      <c r="G423" s="1">
        <v>45570</v>
      </c>
      <c r="H423" t="s">
        <v>56</v>
      </c>
      <c r="I423">
        <v>1.6</v>
      </c>
    </row>
    <row r="424" spans="1:9" x14ac:dyDescent="0.3">
      <c r="A424" t="s">
        <v>467</v>
      </c>
      <c r="B424" t="s">
        <v>100</v>
      </c>
      <c r="C424" t="s">
        <v>11</v>
      </c>
      <c r="D424">
        <v>28818.74</v>
      </c>
      <c r="E424">
        <v>3</v>
      </c>
      <c r="F424">
        <v>86456.22</v>
      </c>
      <c r="G424" s="1">
        <v>45470</v>
      </c>
      <c r="H424" t="s">
        <v>12</v>
      </c>
      <c r="I424">
        <v>1.4</v>
      </c>
    </row>
    <row r="425" spans="1:9" x14ac:dyDescent="0.3">
      <c r="A425" t="s">
        <v>468</v>
      </c>
      <c r="B425" t="s">
        <v>71</v>
      </c>
      <c r="C425" t="s">
        <v>22</v>
      </c>
      <c r="D425">
        <v>25233.95</v>
      </c>
      <c r="E425">
        <v>4</v>
      </c>
      <c r="F425">
        <v>100935.8</v>
      </c>
      <c r="G425" s="1">
        <v>45590</v>
      </c>
      <c r="H425" t="s">
        <v>42</v>
      </c>
      <c r="I425">
        <v>4.0999999999999996</v>
      </c>
    </row>
    <row r="426" spans="1:9" x14ac:dyDescent="0.3">
      <c r="A426" t="s">
        <v>469</v>
      </c>
      <c r="B426" t="s">
        <v>10</v>
      </c>
      <c r="C426" t="s">
        <v>11</v>
      </c>
      <c r="D426">
        <v>28577.34</v>
      </c>
      <c r="E426">
        <v>1</v>
      </c>
      <c r="F426">
        <v>28577.34</v>
      </c>
      <c r="G426" s="1">
        <v>45524</v>
      </c>
      <c r="H426" t="s">
        <v>16</v>
      </c>
      <c r="I426">
        <v>2.7</v>
      </c>
    </row>
    <row r="427" spans="1:9" x14ac:dyDescent="0.3">
      <c r="A427" t="s">
        <v>470</v>
      </c>
      <c r="B427" t="s">
        <v>60</v>
      </c>
      <c r="C427" t="s">
        <v>25</v>
      </c>
      <c r="D427">
        <v>7322.87</v>
      </c>
      <c r="E427">
        <v>3</v>
      </c>
      <c r="F427">
        <v>21968.61</v>
      </c>
      <c r="G427" s="1">
        <v>45344</v>
      </c>
      <c r="H427" t="s">
        <v>42</v>
      </c>
      <c r="I427">
        <v>5</v>
      </c>
    </row>
    <row r="428" spans="1:9" x14ac:dyDescent="0.3">
      <c r="A428" t="s">
        <v>471</v>
      </c>
      <c r="B428" t="s">
        <v>93</v>
      </c>
      <c r="C428" t="s">
        <v>11</v>
      </c>
      <c r="D428">
        <v>25144.48</v>
      </c>
      <c r="E428">
        <v>4</v>
      </c>
      <c r="F428">
        <v>100577.92</v>
      </c>
      <c r="G428" s="1">
        <v>45417</v>
      </c>
      <c r="H428" t="s">
        <v>56</v>
      </c>
      <c r="I428">
        <v>1.3</v>
      </c>
    </row>
    <row r="429" spans="1:9" x14ac:dyDescent="0.3">
      <c r="A429" t="s">
        <v>472</v>
      </c>
      <c r="B429" t="s">
        <v>27</v>
      </c>
      <c r="C429" t="s">
        <v>25</v>
      </c>
      <c r="D429">
        <v>16289.17</v>
      </c>
      <c r="E429">
        <v>5</v>
      </c>
      <c r="F429">
        <v>81445.850000000006</v>
      </c>
      <c r="G429" s="1">
        <v>45610</v>
      </c>
      <c r="H429" t="s">
        <v>56</v>
      </c>
      <c r="I429">
        <v>2.6</v>
      </c>
    </row>
    <row r="430" spans="1:9" x14ac:dyDescent="0.3">
      <c r="A430" t="s">
        <v>473</v>
      </c>
      <c r="B430" t="s">
        <v>46</v>
      </c>
      <c r="C430" t="s">
        <v>11</v>
      </c>
      <c r="D430">
        <v>24973.13</v>
      </c>
      <c r="E430">
        <v>3</v>
      </c>
      <c r="F430">
        <v>74919.39</v>
      </c>
      <c r="G430" s="1">
        <v>45634</v>
      </c>
      <c r="H430" t="s">
        <v>12</v>
      </c>
      <c r="I430">
        <v>3.2</v>
      </c>
    </row>
    <row r="431" spans="1:9" x14ac:dyDescent="0.3">
      <c r="A431" t="s">
        <v>474</v>
      </c>
      <c r="B431" t="s">
        <v>24</v>
      </c>
      <c r="C431" t="s">
        <v>25</v>
      </c>
      <c r="D431">
        <v>5804.38</v>
      </c>
      <c r="E431">
        <v>2</v>
      </c>
      <c r="F431">
        <v>11608.76</v>
      </c>
      <c r="G431" s="1">
        <v>45428</v>
      </c>
      <c r="H431" t="s">
        <v>42</v>
      </c>
      <c r="I431">
        <v>2.2000000000000002</v>
      </c>
    </row>
    <row r="432" spans="1:9" x14ac:dyDescent="0.3">
      <c r="A432" t="s">
        <v>475</v>
      </c>
      <c r="B432" t="s">
        <v>14</v>
      </c>
      <c r="C432" t="s">
        <v>15</v>
      </c>
      <c r="D432">
        <v>43502.85</v>
      </c>
      <c r="E432">
        <v>1</v>
      </c>
      <c r="F432">
        <v>43502.85</v>
      </c>
      <c r="G432" s="1">
        <v>45364</v>
      </c>
      <c r="H432" t="s">
        <v>56</v>
      </c>
      <c r="I432">
        <v>4.2</v>
      </c>
    </row>
    <row r="433" spans="1:9" x14ac:dyDescent="0.3">
      <c r="A433" t="s">
        <v>476</v>
      </c>
      <c r="B433" t="s">
        <v>44</v>
      </c>
      <c r="C433" t="s">
        <v>22</v>
      </c>
      <c r="D433">
        <v>46770.01</v>
      </c>
      <c r="E433">
        <v>5</v>
      </c>
      <c r="F433">
        <v>233850.05</v>
      </c>
      <c r="G433" s="1">
        <v>45392</v>
      </c>
      <c r="H433" t="s">
        <v>56</v>
      </c>
      <c r="I433">
        <v>2.9</v>
      </c>
    </row>
    <row r="434" spans="1:9" x14ac:dyDescent="0.3">
      <c r="A434" t="s">
        <v>477</v>
      </c>
      <c r="B434" t="s">
        <v>71</v>
      </c>
      <c r="C434" t="s">
        <v>22</v>
      </c>
      <c r="D434">
        <v>38160.980000000003</v>
      </c>
      <c r="E434">
        <v>2</v>
      </c>
      <c r="F434">
        <v>76321.960000000006</v>
      </c>
      <c r="G434" s="1">
        <v>45382</v>
      </c>
      <c r="H434" t="s">
        <v>12</v>
      </c>
      <c r="I434">
        <v>4</v>
      </c>
    </row>
    <row r="435" spans="1:9" x14ac:dyDescent="0.3">
      <c r="A435" t="s">
        <v>478</v>
      </c>
      <c r="B435" t="s">
        <v>82</v>
      </c>
      <c r="C435" t="s">
        <v>22</v>
      </c>
      <c r="D435">
        <v>14797.27</v>
      </c>
      <c r="E435">
        <v>2</v>
      </c>
      <c r="F435">
        <v>29594.54</v>
      </c>
      <c r="G435" s="1">
        <v>45682</v>
      </c>
      <c r="H435" t="s">
        <v>16</v>
      </c>
      <c r="I435">
        <v>3.4</v>
      </c>
    </row>
    <row r="436" spans="1:9" x14ac:dyDescent="0.3">
      <c r="A436" t="s">
        <v>479</v>
      </c>
      <c r="B436" t="s">
        <v>75</v>
      </c>
      <c r="C436" t="s">
        <v>19</v>
      </c>
      <c r="D436">
        <v>16951.57</v>
      </c>
      <c r="E436">
        <v>5</v>
      </c>
      <c r="F436">
        <v>84757.85</v>
      </c>
      <c r="G436" s="1">
        <v>45379</v>
      </c>
      <c r="H436" t="s">
        <v>28</v>
      </c>
      <c r="I436">
        <v>2</v>
      </c>
    </row>
    <row r="437" spans="1:9" x14ac:dyDescent="0.3">
      <c r="A437" t="s">
        <v>480</v>
      </c>
      <c r="B437" t="s">
        <v>44</v>
      </c>
      <c r="C437" t="s">
        <v>22</v>
      </c>
      <c r="D437">
        <v>20087.650000000001</v>
      </c>
      <c r="E437">
        <v>2</v>
      </c>
      <c r="F437">
        <v>40175.300000000003</v>
      </c>
      <c r="G437" s="1">
        <v>45592</v>
      </c>
      <c r="H437" t="s">
        <v>28</v>
      </c>
      <c r="I437">
        <v>2.7</v>
      </c>
    </row>
    <row r="438" spans="1:9" x14ac:dyDescent="0.3">
      <c r="A438" t="s">
        <v>481</v>
      </c>
      <c r="B438" t="s">
        <v>18</v>
      </c>
      <c r="C438" t="s">
        <v>19</v>
      </c>
      <c r="D438">
        <v>45544.54</v>
      </c>
      <c r="E438">
        <v>4</v>
      </c>
      <c r="F438">
        <v>182178.16</v>
      </c>
      <c r="G438" s="1">
        <v>45405</v>
      </c>
      <c r="H438" t="s">
        <v>42</v>
      </c>
      <c r="I438">
        <v>3</v>
      </c>
    </row>
    <row r="439" spans="1:9" x14ac:dyDescent="0.3">
      <c r="A439" t="s">
        <v>482</v>
      </c>
      <c r="B439" t="s">
        <v>75</v>
      </c>
      <c r="C439" t="s">
        <v>19</v>
      </c>
      <c r="D439">
        <v>4986.8999999999996</v>
      </c>
      <c r="E439">
        <v>1</v>
      </c>
      <c r="F439">
        <v>4986.8999999999996</v>
      </c>
      <c r="G439" s="1">
        <v>45649</v>
      </c>
      <c r="H439" t="s">
        <v>42</v>
      </c>
      <c r="I439">
        <v>4.4000000000000004</v>
      </c>
    </row>
    <row r="440" spans="1:9" x14ac:dyDescent="0.3">
      <c r="A440" t="s">
        <v>483</v>
      </c>
      <c r="B440" t="s">
        <v>60</v>
      </c>
      <c r="C440" t="s">
        <v>25</v>
      </c>
      <c r="D440">
        <v>37890.559999999998</v>
      </c>
      <c r="E440">
        <v>1</v>
      </c>
      <c r="F440">
        <v>37890.559999999998</v>
      </c>
      <c r="G440" s="1">
        <v>45473</v>
      </c>
      <c r="H440" t="s">
        <v>42</v>
      </c>
      <c r="I440">
        <v>2.4</v>
      </c>
    </row>
    <row r="441" spans="1:9" x14ac:dyDescent="0.3">
      <c r="A441" t="s">
        <v>484</v>
      </c>
      <c r="B441" t="s">
        <v>36</v>
      </c>
      <c r="C441" t="s">
        <v>22</v>
      </c>
      <c r="D441">
        <v>26947.54</v>
      </c>
      <c r="E441">
        <v>2</v>
      </c>
      <c r="F441">
        <v>53895.08</v>
      </c>
      <c r="G441" s="1">
        <v>45448</v>
      </c>
      <c r="H441" t="s">
        <v>56</v>
      </c>
      <c r="I441">
        <v>4.0999999999999996</v>
      </c>
    </row>
    <row r="442" spans="1:9" x14ac:dyDescent="0.3">
      <c r="A442" t="s">
        <v>485</v>
      </c>
      <c r="B442" t="s">
        <v>82</v>
      </c>
      <c r="C442" t="s">
        <v>22</v>
      </c>
      <c r="D442">
        <v>16929.740000000002</v>
      </c>
      <c r="E442">
        <v>3</v>
      </c>
      <c r="F442">
        <v>50789.22</v>
      </c>
      <c r="G442" s="1">
        <v>45368</v>
      </c>
      <c r="H442" t="s">
        <v>28</v>
      </c>
      <c r="I442">
        <v>1.5</v>
      </c>
    </row>
    <row r="443" spans="1:9" x14ac:dyDescent="0.3">
      <c r="A443" t="s">
        <v>486</v>
      </c>
      <c r="B443" t="s">
        <v>44</v>
      </c>
      <c r="C443" t="s">
        <v>22</v>
      </c>
      <c r="D443">
        <v>30310.92</v>
      </c>
      <c r="E443">
        <v>3</v>
      </c>
      <c r="F443">
        <v>90932.76</v>
      </c>
      <c r="G443" s="1">
        <v>45402</v>
      </c>
      <c r="H443" t="s">
        <v>16</v>
      </c>
      <c r="I443">
        <v>3.5</v>
      </c>
    </row>
    <row r="444" spans="1:9" x14ac:dyDescent="0.3">
      <c r="A444" t="s">
        <v>487</v>
      </c>
      <c r="B444" t="s">
        <v>10</v>
      </c>
      <c r="C444" t="s">
        <v>11</v>
      </c>
      <c r="D444">
        <v>33643.5</v>
      </c>
      <c r="E444">
        <v>5</v>
      </c>
      <c r="F444">
        <v>168217.5</v>
      </c>
      <c r="G444" s="1">
        <v>45459</v>
      </c>
      <c r="H444" t="s">
        <v>16</v>
      </c>
      <c r="I444">
        <v>4.2</v>
      </c>
    </row>
    <row r="445" spans="1:9" x14ac:dyDescent="0.3">
      <c r="A445" t="s">
        <v>488</v>
      </c>
      <c r="B445" t="s">
        <v>50</v>
      </c>
      <c r="C445" t="s">
        <v>11</v>
      </c>
      <c r="D445">
        <v>27847.81</v>
      </c>
      <c r="E445">
        <v>3</v>
      </c>
      <c r="F445">
        <v>83543.429999999993</v>
      </c>
      <c r="G445" s="1">
        <v>45551</v>
      </c>
      <c r="H445" t="s">
        <v>56</v>
      </c>
      <c r="I445">
        <v>4.3</v>
      </c>
    </row>
    <row r="446" spans="1:9" x14ac:dyDescent="0.3">
      <c r="A446" t="s">
        <v>489</v>
      </c>
      <c r="B446" t="s">
        <v>10</v>
      </c>
      <c r="C446" t="s">
        <v>11</v>
      </c>
      <c r="D446">
        <v>19055.03</v>
      </c>
      <c r="E446">
        <v>3</v>
      </c>
      <c r="F446">
        <v>57165.09</v>
      </c>
      <c r="G446" s="1">
        <v>45529</v>
      </c>
      <c r="H446" t="s">
        <v>47</v>
      </c>
      <c r="I446">
        <v>4.3</v>
      </c>
    </row>
    <row r="447" spans="1:9" x14ac:dyDescent="0.3">
      <c r="A447" t="s">
        <v>490</v>
      </c>
      <c r="B447" t="s">
        <v>100</v>
      </c>
      <c r="C447" t="s">
        <v>11</v>
      </c>
      <c r="D447">
        <v>24012.7</v>
      </c>
      <c r="E447">
        <v>1</v>
      </c>
      <c r="F447">
        <v>24012.7</v>
      </c>
      <c r="G447" s="1">
        <v>45622</v>
      </c>
      <c r="H447" t="s">
        <v>47</v>
      </c>
      <c r="I447">
        <v>4.8</v>
      </c>
    </row>
    <row r="448" spans="1:9" x14ac:dyDescent="0.3">
      <c r="A448" t="s">
        <v>491</v>
      </c>
      <c r="B448" t="s">
        <v>30</v>
      </c>
      <c r="C448" t="s">
        <v>15</v>
      </c>
      <c r="D448">
        <v>8182.19</v>
      </c>
      <c r="E448">
        <v>2</v>
      </c>
      <c r="F448">
        <v>16364.38</v>
      </c>
      <c r="G448" s="1">
        <v>45508</v>
      </c>
      <c r="H448" t="s">
        <v>42</v>
      </c>
      <c r="I448">
        <v>4.2</v>
      </c>
    </row>
    <row r="449" spans="1:9" x14ac:dyDescent="0.3">
      <c r="A449" t="s">
        <v>492</v>
      </c>
      <c r="B449" t="s">
        <v>69</v>
      </c>
      <c r="C449" t="s">
        <v>19</v>
      </c>
      <c r="D449">
        <v>35810.629999999997</v>
      </c>
      <c r="E449">
        <v>4</v>
      </c>
      <c r="F449">
        <v>143242.51999999999</v>
      </c>
      <c r="G449" s="1">
        <v>45388</v>
      </c>
      <c r="H449" t="s">
        <v>16</v>
      </c>
      <c r="I449">
        <v>1.2</v>
      </c>
    </row>
    <row r="450" spans="1:9" x14ac:dyDescent="0.3">
      <c r="A450" t="s">
        <v>493</v>
      </c>
      <c r="B450" t="s">
        <v>54</v>
      </c>
      <c r="C450" t="s">
        <v>15</v>
      </c>
      <c r="D450">
        <v>23433.86</v>
      </c>
      <c r="E450">
        <v>1</v>
      </c>
      <c r="F450">
        <v>23433.86</v>
      </c>
      <c r="G450" s="1">
        <v>45521</v>
      </c>
      <c r="H450" t="s">
        <v>42</v>
      </c>
      <c r="I450">
        <v>3.8</v>
      </c>
    </row>
    <row r="451" spans="1:9" x14ac:dyDescent="0.3">
      <c r="A451" t="s">
        <v>494</v>
      </c>
      <c r="B451" t="s">
        <v>36</v>
      </c>
      <c r="C451" t="s">
        <v>22</v>
      </c>
      <c r="D451">
        <v>42946.11</v>
      </c>
      <c r="E451">
        <v>4</v>
      </c>
      <c r="F451">
        <v>171784.44</v>
      </c>
      <c r="G451" s="1">
        <v>45535</v>
      </c>
      <c r="H451" t="s">
        <v>16</v>
      </c>
      <c r="I451">
        <v>3.2</v>
      </c>
    </row>
    <row r="452" spans="1:9" x14ac:dyDescent="0.3">
      <c r="A452" t="s">
        <v>495</v>
      </c>
      <c r="B452" t="s">
        <v>30</v>
      </c>
      <c r="C452" t="s">
        <v>15</v>
      </c>
      <c r="D452">
        <v>3995.44</v>
      </c>
      <c r="E452">
        <v>4</v>
      </c>
      <c r="F452">
        <v>15981.76</v>
      </c>
      <c r="G452" s="1">
        <v>45438</v>
      </c>
      <c r="H452" t="s">
        <v>12</v>
      </c>
      <c r="I452">
        <v>4</v>
      </c>
    </row>
    <row r="453" spans="1:9" x14ac:dyDescent="0.3">
      <c r="A453" t="s">
        <v>496</v>
      </c>
      <c r="B453" t="s">
        <v>18</v>
      </c>
      <c r="C453" t="s">
        <v>19</v>
      </c>
      <c r="D453">
        <v>38728.75</v>
      </c>
      <c r="E453">
        <v>1</v>
      </c>
      <c r="F453">
        <v>38728.75</v>
      </c>
      <c r="G453" s="1">
        <v>45570</v>
      </c>
      <c r="H453" t="s">
        <v>28</v>
      </c>
      <c r="I453">
        <v>4</v>
      </c>
    </row>
    <row r="454" spans="1:9" x14ac:dyDescent="0.3">
      <c r="A454" t="s">
        <v>497</v>
      </c>
      <c r="B454" t="s">
        <v>34</v>
      </c>
      <c r="C454" t="s">
        <v>15</v>
      </c>
      <c r="D454">
        <v>46205.47</v>
      </c>
      <c r="E454">
        <v>3</v>
      </c>
      <c r="F454">
        <v>138616.41</v>
      </c>
      <c r="G454" s="1">
        <v>45542</v>
      </c>
      <c r="H454" t="s">
        <v>47</v>
      </c>
      <c r="I454">
        <v>2.7</v>
      </c>
    </row>
    <row r="455" spans="1:9" x14ac:dyDescent="0.3">
      <c r="A455" t="s">
        <v>498</v>
      </c>
      <c r="B455" t="s">
        <v>14</v>
      </c>
      <c r="C455" t="s">
        <v>15</v>
      </c>
      <c r="D455">
        <v>7631.48</v>
      </c>
      <c r="E455">
        <v>3</v>
      </c>
      <c r="F455">
        <v>22894.44</v>
      </c>
      <c r="G455" s="1">
        <v>45491</v>
      </c>
      <c r="H455" t="s">
        <v>12</v>
      </c>
      <c r="I455">
        <v>3</v>
      </c>
    </row>
    <row r="456" spans="1:9" x14ac:dyDescent="0.3">
      <c r="A456" t="s">
        <v>499</v>
      </c>
      <c r="B456" t="s">
        <v>46</v>
      </c>
      <c r="C456" t="s">
        <v>11</v>
      </c>
      <c r="D456">
        <v>4581.7299999999996</v>
      </c>
      <c r="E456">
        <v>4</v>
      </c>
      <c r="F456">
        <v>18326.919999999998</v>
      </c>
      <c r="G456" s="1">
        <v>45436</v>
      </c>
      <c r="H456" t="s">
        <v>47</v>
      </c>
      <c r="I456">
        <v>3.4</v>
      </c>
    </row>
    <row r="457" spans="1:9" x14ac:dyDescent="0.3">
      <c r="A457" t="s">
        <v>500</v>
      </c>
      <c r="B457" t="s">
        <v>36</v>
      </c>
      <c r="C457" t="s">
        <v>22</v>
      </c>
      <c r="D457">
        <v>9761.64</v>
      </c>
      <c r="E457">
        <v>3</v>
      </c>
      <c r="F457">
        <v>29284.92</v>
      </c>
      <c r="G457" s="1">
        <v>45531</v>
      </c>
      <c r="H457" t="s">
        <v>28</v>
      </c>
      <c r="I457">
        <v>2.5</v>
      </c>
    </row>
    <row r="458" spans="1:9" x14ac:dyDescent="0.3">
      <c r="A458" t="s">
        <v>501</v>
      </c>
      <c r="B458" t="s">
        <v>69</v>
      </c>
      <c r="C458" t="s">
        <v>19</v>
      </c>
      <c r="D458">
        <v>1582.84</v>
      </c>
      <c r="E458">
        <v>3</v>
      </c>
      <c r="F458">
        <v>4748.5200000000004</v>
      </c>
      <c r="G458" s="1">
        <v>45545</v>
      </c>
      <c r="H458" t="s">
        <v>12</v>
      </c>
      <c r="I458">
        <v>2.9</v>
      </c>
    </row>
    <row r="459" spans="1:9" x14ac:dyDescent="0.3">
      <c r="A459" t="s">
        <v>502</v>
      </c>
      <c r="B459" t="s">
        <v>71</v>
      </c>
      <c r="C459" t="s">
        <v>22</v>
      </c>
      <c r="D459">
        <v>8902.26</v>
      </c>
      <c r="E459">
        <v>5</v>
      </c>
      <c r="F459">
        <v>44511.3</v>
      </c>
      <c r="G459" s="1">
        <v>45665</v>
      </c>
      <c r="H459" t="s">
        <v>12</v>
      </c>
      <c r="I459">
        <v>2.4</v>
      </c>
    </row>
    <row r="460" spans="1:9" x14ac:dyDescent="0.3">
      <c r="A460" t="s">
        <v>503</v>
      </c>
      <c r="B460" t="s">
        <v>120</v>
      </c>
      <c r="C460" t="s">
        <v>25</v>
      </c>
      <c r="D460">
        <v>1549.63</v>
      </c>
      <c r="E460">
        <v>1</v>
      </c>
      <c r="F460">
        <v>1549.63</v>
      </c>
      <c r="G460" s="1">
        <v>45623</v>
      </c>
      <c r="H460" t="s">
        <v>42</v>
      </c>
      <c r="I460">
        <v>3</v>
      </c>
    </row>
    <row r="461" spans="1:9" x14ac:dyDescent="0.3">
      <c r="A461" t="s">
        <v>504</v>
      </c>
      <c r="B461" t="s">
        <v>10</v>
      </c>
      <c r="C461" t="s">
        <v>11</v>
      </c>
      <c r="D461">
        <v>23520.5</v>
      </c>
      <c r="E461">
        <v>5</v>
      </c>
      <c r="F461">
        <v>117602.5</v>
      </c>
      <c r="G461" s="1">
        <v>45408</v>
      </c>
      <c r="H461" t="s">
        <v>12</v>
      </c>
      <c r="I461">
        <v>1.2</v>
      </c>
    </row>
    <row r="462" spans="1:9" x14ac:dyDescent="0.3">
      <c r="A462" t="s">
        <v>505</v>
      </c>
      <c r="B462" t="s">
        <v>18</v>
      </c>
      <c r="C462" t="s">
        <v>19</v>
      </c>
      <c r="D462">
        <v>18729.61</v>
      </c>
      <c r="E462">
        <v>1</v>
      </c>
      <c r="F462">
        <v>18729.61</v>
      </c>
      <c r="G462" s="1">
        <v>45385</v>
      </c>
      <c r="H462" t="s">
        <v>42</v>
      </c>
      <c r="I462">
        <v>1</v>
      </c>
    </row>
    <row r="463" spans="1:9" x14ac:dyDescent="0.3">
      <c r="A463" t="s">
        <v>506</v>
      </c>
      <c r="B463" t="s">
        <v>100</v>
      </c>
      <c r="C463" t="s">
        <v>11</v>
      </c>
      <c r="D463">
        <v>18085.73</v>
      </c>
      <c r="E463">
        <v>3</v>
      </c>
      <c r="F463">
        <v>54257.19</v>
      </c>
      <c r="G463" s="1">
        <v>45485</v>
      </c>
      <c r="H463" t="s">
        <v>56</v>
      </c>
      <c r="I463">
        <v>4.0999999999999996</v>
      </c>
    </row>
    <row r="464" spans="1:9" x14ac:dyDescent="0.3">
      <c r="A464" t="s">
        <v>507</v>
      </c>
      <c r="B464" t="s">
        <v>40</v>
      </c>
      <c r="C464" t="s">
        <v>19</v>
      </c>
      <c r="D464">
        <v>29844.59</v>
      </c>
      <c r="E464">
        <v>3</v>
      </c>
      <c r="F464">
        <v>89533.77</v>
      </c>
      <c r="G464" s="1">
        <v>45471</v>
      </c>
      <c r="H464" t="s">
        <v>47</v>
      </c>
      <c r="I464">
        <v>3.9</v>
      </c>
    </row>
    <row r="465" spans="1:9" x14ac:dyDescent="0.3">
      <c r="A465" t="s">
        <v>508</v>
      </c>
      <c r="B465" t="s">
        <v>36</v>
      </c>
      <c r="C465" t="s">
        <v>22</v>
      </c>
      <c r="D465">
        <v>12964.52</v>
      </c>
      <c r="E465">
        <v>2</v>
      </c>
      <c r="F465">
        <v>25929.040000000001</v>
      </c>
      <c r="G465" s="1">
        <v>45619</v>
      </c>
      <c r="H465" t="s">
        <v>28</v>
      </c>
      <c r="I465">
        <v>2.7</v>
      </c>
    </row>
    <row r="466" spans="1:9" x14ac:dyDescent="0.3">
      <c r="A466" t="s">
        <v>509</v>
      </c>
      <c r="B466" t="s">
        <v>36</v>
      </c>
      <c r="C466" t="s">
        <v>22</v>
      </c>
      <c r="D466">
        <v>43431.64</v>
      </c>
      <c r="E466">
        <v>5</v>
      </c>
      <c r="F466">
        <v>217158.2</v>
      </c>
      <c r="G466" s="1">
        <v>45463</v>
      </c>
      <c r="H466" t="s">
        <v>47</v>
      </c>
      <c r="I466">
        <v>4.4000000000000004</v>
      </c>
    </row>
    <row r="467" spans="1:9" x14ac:dyDescent="0.3">
      <c r="A467" t="s">
        <v>510</v>
      </c>
      <c r="B467" t="s">
        <v>21</v>
      </c>
      <c r="C467" t="s">
        <v>22</v>
      </c>
      <c r="D467">
        <v>31005.06</v>
      </c>
      <c r="E467">
        <v>4</v>
      </c>
      <c r="F467">
        <v>124020.24</v>
      </c>
      <c r="G467" s="1">
        <v>45495</v>
      </c>
      <c r="H467" t="s">
        <v>56</v>
      </c>
      <c r="I467">
        <v>4</v>
      </c>
    </row>
    <row r="468" spans="1:9" x14ac:dyDescent="0.3">
      <c r="A468" t="s">
        <v>511</v>
      </c>
      <c r="B468" t="s">
        <v>18</v>
      </c>
      <c r="C468" t="s">
        <v>19</v>
      </c>
      <c r="D468">
        <v>16010.24</v>
      </c>
      <c r="E468">
        <v>3</v>
      </c>
      <c r="F468">
        <v>48030.720000000001</v>
      </c>
      <c r="G468" s="1">
        <v>45617</v>
      </c>
      <c r="H468" t="s">
        <v>56</v>
      </c>
      <c r="I468">
        <v>1.6</v>
      </c>
    </row>
    <row r="469" spans="1:9" x14ac:dyDescent="0.3">
      <c r="A469" t="s">
        <v>512</v>
      </c>
      <c r="B469" t="s">
        <v>82</v>
      </c>
      <c r="C469" t="s">
        <v>22</v>
      </c>
      <c r="D469">
        <v>18451.91</v>
      </c>
      <c r="E469">
        <v>5</v>
      </c>
      <c r="F469">
        <v>92259.55</v>
      </c>
      <c r="G469" s="1">
        <v>45547</v>
      </c>
      <c r="H469" t="s">
        <v>16</v>
      </c>
      <c r="I469">
        <v>4.9000000000000004</v>
      </c>
    </row>
    <row r="470" spans="1:9" x14ac:dyDescent="0.3">
      <c r="A470" t="s">
        <v>513</v>
      </c>
      <c r="B470" t="s">
        <v>21</v>
      </c>
      <c r="C470" t="s">
        <v>22</v>
      </c>
      <c r="D470">
        <v>31793.09</v>
      </c>
      <c r="E470">
        <v>4</v>
      </c>
      <c r="F470">
        <v>127172.36</v>
      </c>
      <c r="G470" s="1">
        <v>45341</v>
      </c>
      <c r="H470" t="s">
        <v>42</v>
      </c>
      <c r="I470">
        <v>4.8</v>
      </c>
    </row>
    <row r="471" spans="1:9" x14ac:dyDescent="0.3">
      <c r="A471" t="s">
        <v>514</v>
      </c>
      <c r="B471" t="s">
        <v>54</v>
      </c>
      <c r="C471" t="s">
        <v>15</v>
      </c>
      <c r="D471">
        <v>36666.620000000003</v>
      </c>
      <c r="E471">
        <v>4</v>
      </c>
      <c r="F471">
        <v>146666.48000000001</v>
      </c>
      <c r="G471" s="1">
        <v>45563</v>
      </c>
      <c r="H471" t="s">
        <v>56</v>
      </c>
      <c r="I471">
        <v>2.1</v>
      </c>
    </row>
    <row r="472" spans="1:9" x14ac:dyDescent="0.3">
      <c r="A472" t="s">
        <v>515</v>
      </c>
      <c r="B472" t="s">
        <v>44</v>
      </c>
      <c r="C472" t="s">
        <v>22</v>
      </c>
      <c r="D472">
        <v>38681.26</v>
      </c>
      <c r="E472">
        <v>1</v>
      </c>
      <c r="F472">
        <v>38681.26</v>
      </c>
      <c r="G472" s="1">
        <v>45490</v>
      </c>
      <c r="H472" t="s">
        <v>42</v>
      </c>
      <c r="I472">
        <v>2</v>
      </c>
    </row>
    <row r="473" spans="1:9" x14ac:dyDescent="0.3">
      <c r="A473" t="s">
        <v>516</v>
      </c>
      <c r="B473" t="s">
        <v>24</v>
      </c>
      <c r="C473" t="s">
        <v>25</v>
      </c>
      <c r="D473">
        <v>29493.06</v>
      </c>
      <c r="E473">
        <v>3</v>
      </c>
      <c r="F473">
        <v>88479.18</v>
      </c>
      <c r="G473" s="1">
        <v>45497</v>
      </c>
      <c r="H473" t="s">
        <v>47</v>
      </c>
      <c r="I473">
        <v>4.2</v>
      </c>
    </row>
    <row r="474" spans="1:9" x14ac:dyDescent="0.3">
      <c r="A474" t="s">
        <v>517</v>
      </c>
      <c r="B474" t="s">
        <v>60</v>
      </c>
      <c r="C474" t="s">
        <v>25</v>
      </c>
      <c r="D474">
        <v>30009.200000000001</v>
      </c>
      <c r="E474">
        <v>2</v>
      </c>
      <c r="F474">
        <v>60018.400000000001</v>
      </c>
      <c r="G474" s="1">
        <v>45456</v>
      </c>
      <c r="H474" t="s">
        <v>12</v>
      </c>
      <c r="I474">
        <v>3</v>
      </c>
    </row>
    <row r="475" spans="1:9" x14ac:dyDescent="0.3">
      <c r="A475" t="s">
        <v>518</v>
      </c>
      <c r="B475" t="s">
        <v>54</v>
      </c>
      <c r="C475" t="s">
        <v>15</v>
      </c>
      <c r="D475">
        <v>23089.32</v>
      </c>
      <c r="E475">
        <v>2</v>
      </c>
      <c r="F475">
        <v>46178.64</v>
      </c>
      <c r="G475" s="1">
        <v>45564</v>
      </c>
      <c r="H475" t="s">
        <v>56</v>
      </c>
      <c r="I475">
        <v>3.1</v>
      </c>
    </row>
    <row r="476" spans="1:9" x14ac:dyDescent="0.3">
      <c r="A476" t="s">
        <v>519</v>
      </c>
      <c r="B476" t="s">
        <v>120</v>
      </c>
      <c r="C476" t="s">
        <v>25</v>
      </c>
      <c r="D476">
        <v>32460.13</v>
      </c>
      <c r="E476">
        <v>4</v>
      </c>
      <c r="F476">
        <v>129840.52</v>
      </c>
      <c r="G476" s="1">
        <v>45410</v>
      </c>
      <c r="H476" t="s">
        <v>47</v>
      </c>
      <c r="I476">
        <v>3.7</v>
      </c>
    </row>
    <row r="477" spans="1:9" x14ac:dyDescent="0.3">
      <c r="A477" t="s">
        <v>520</v>
      </c>
      <c r="B477" t="s">
        <v>21</v>
      </c>
      <c r="C477" t="s">
        <v>22</v>
      </c>
      <c r="D477">
        <v>29509.14</v>
      </c>
      <c r="E477">
        <v>3</v>
      </c>
      <c r="F477">
        <v>88527.42</v>
      </c>
      <c r="G477" s="1">
        <v>45641</v>
      </c>
      <c r="H477" t="s">
        <v>56</v>
      </c>
      <c r="I477">
        <v>4.0999999999999996</v>
      </c>
    </row>
    <row r="478" spans="1:9" x14ac:dyDescent="0.3">
      <c r="A478" t="s">
        <v>521</v>
      </c>
      <c r="B478" t="s">
        <v>10</v>
      </c>
      <c r="C478" t="s">
        <v>11</v>
      </c>
      <c r="D478">
        <v>5528.69</v>
      </c>
      <c r="E478">
        <v>3</v>
      </c>
      <c r="F478">
        <v>16586.07</v>
      </c>
      <c r="G478" s="1">
        <v>45546</v>
      </c>
      <c r="H478" t="s">
        <v>12</v>
      </c>
      <c r="I478">
        <v>4.2</v>
      </c>
    </row>
    <row r="479" spans="1:9" x14ac:dyDescent="0.3">
      <c r="A479" t="s">
        <v>522</v>
      </c>
      <c r="B479" t="s">
        <v>93</v>
      </c>
      <c r="C479" t="s">
        <v>11</v>
      </c>
      <c r="D479">
        <v>11864.67</v>
      </c>
      <c r="E479">
        <v>5</v>
      </c>
      <c r="F479">
        <v>59323.35</v>
      </c>
      <c r="G479" s="1">
        <v>45548</v>
      </c>
      <c r="H479" t="s">
        <v>56</v>
      </c>
      <c r="I479">
        <v>2.8</v>
      </c>
    </row>
    <row r="480" spans="1:9" x14ac:dyDescent="0.3">
      <c r="A480" t="s">
        <v>523</v>
      </c>
      <c r="B480" t="s">
        <v>120</v>
      </c>
      <c r="C480" t="s">
        <v>25</v>
      </c>
      <c r="D480">
        <v>14273.74</v>
      </c>
      <c r="E480">
        <v>2</v>
      </c>
      <c r="F480">
        <v>28547.48</v>
      </c>
      <c r="G480" s="1">
        <v>45645</v>
      </c>
      <c r="H480" t="s">
        <v>56</v>
      </c>
      <c r="I480">
        <v>3.8</v>
      </c>
    </row>
    <row r="481" spans="1:9" x14ac:dyDescent="0.3">
      <c r="A481" t="s">
        <v>524</v>
      </c>
      <c r="B481" t="s">
        <v>10</v>
      </c>
      <c r="C481" t="s">
        <v>11</v>
      </c>
      <c r="D481">
        <v>26806.06</v>
      </c>
      <c r="E481">
        <v>3</v>
      </c>
      <c r="F481">
        <v>80418.179999999993</v>
      </c>
      <c r="G481" s="1">
        <v>45492</v>
      </c>
      <c r="H481" t="s">
        <v>28</v>
      </c>
      <c r="I481">
        <v>4.3</v>
      </c>
    </row>
    <row r="482" spans="1:9" x14ac:dyDescent="0.3">
      <c r="A482" t="s">
        <v>525</v>
      </c>
      <c r="B482" t="s">
        <v>34</v>
      </c>
      <c r="C482" t="s">
        <v>15</v>
      </c>
      <c r="D482">
        <v>18757.07</v>
      </c>
      <c r="E482">
        <v>4</v>
      </c>
      <c r="F482">
        <v>75028.28</v>
      </c>
      <c r="G482" s="1">
        <v>45612</v>
      </c>
      <c r="H482" t="s">
        <v>16</v>
      </c>
      <c r="I482">
        <v>4.2</v>
      </c>
    </row>
    <row r="483" spans="1:9" x14ac:dyDescent="0.3">
      <c r="A483" t="s">
        <v>526</v>
      </c>
      <c r="B483" t="s">
        <v>100</v>
      </c>
      <c r="C483" t="s">
        <v>11</v>
      </c>
      <c r="D483">
        <v>19661.09</v>
      </c>
      <c r="E483">
        <v>4</v>
      </c>
      <c r="F483">
        <v>78644.36</v>
      </c>
      <c r="G483" s="1">
        <v>45444</v>
      </c>
      <c r="H483" t="s">
        <v>56</v>
      </c>
      <c r="I483">
        <v>2.5</v>
      </c>
    </row>
    <row r="484" spans="1:9" x14ac:dyDescent="0.3">
      <c r="A484" t="s">
        <v>527</v>
      </c>
      <c r="B484" t="s">
        <v>100</v>
      </c>
      <c r="C484" t="s">
        <v>11</v>
      </c>
      <c r="D484">
        <v>27434.25</v>
      </c>
      <c r="E484">
        <v>1</v>
      </c>
      <c r="F484">
        <v>27434.25</v>
      </c>
      <c r="G484" s="1">
        <v>45353</v>
      </c>
      <c r="H484" t="s">
        <v>42</v>
      </c>
      <c r="I484">
        <v>3.8</v>
      </c>
    </row>
    <row r="485" spans="1:9" x14ac:dyDescent="0.3">
      <c r="A485" t="s">
        <v>528</v>
      </c>
      <c r="B485" t="s">
        <v>10</v>
      </c>
      <c r="C485" t="s">
        <v>11</v>
      </c>
      <c r="D485">
        <v>6322.42</v>
      </c>
      <c r="E485">
        <v>4</v>
      </c>
      <c r="F485">
        <v>25289.68</v>
      </c>
      <c r="G485" s="1">
        <v>45534</v>
      </c>
      <c r="H485" t="s">
        <v>16</v>
      </c>
      <c r="I485">
        <v>4</v>
      </c>
    </row>
    <row r="486" spans="1:9" x14ac:dyDescent="0.3">
      <c r="A486" t="s">
        <v>529</v>
      </c>
      <c r="B486" t="s">
        <v>46</v>
      </c>
      <c r="C486" t="s">
        <v>11</v>
      </c>
      <c r="D486">
        <v>4316.82</v>
      </c>
      <c r="E486">
        <v>2</v>
      </c>
      <c r="F486">
        <v>8633.64</v>
      </c>
      <c r="G486" s="1">
        <v>45414</v>
      </c>
      <c r="H486" t="s">
        <v>47</v>
      </c>
      <c r="I486">
        <v>3.6</v>
      </c>
    </row>
    <row r="487" spans="1:9" x14ac:dyDescent="0.3">
      <c r="A487" t="s">
        <v>530</v>
      </c>
      <c r="B487" t="s">
        <v>151</v>
      </c>
      <c r="C487" t="s">
        <v>15</v>
      </c>
      <c r="D487">
        <v>45426.39</v>
      </c>
      <c r="E487">
        <v>4</v>
      </c>
      <c r="F487">
        <v>181705.56</v>
      </c>
      <c r="G487" s="1">
        <v>45596</v>
      </c>
      <c r="H487" t="s">
        <v>56</v>
      </c>
      <c r="I487">
        <v>2.8</v>
      </c>
    </row>
    <row r="488" spans="1:9" x14ac:dyDescent="0.3">
      <c r="A488" t="s">
        <v>531</v>
      </c>
      <c r="B488" t="s">
        <v>71</v>
      </c>
      <c r="C488" t="s">
        <v>22</v>
      </c>
      <c r="D488">
        <v>14971.45</v>
      </c>
      <c r="E488">
        <v>3</v>
      </c>
      <c r="F488">
        <v>44914.35</v>
      </c>
      <c r="G488" s="1">
        <v>45445</v>
      </c>
      <c r="H488" t="s">
        <v>16</v>
      </c>
      <c r="I488">
        <v>4.5</v>
      </c>
    </row>
    <row r="489" spans="1:9" x14ac:dyDescent="0.3">
      <c r="A489" t="s">
        <v>532</v>
      </c>
      <c r="B489" t="s">
        <v>60</v>
      </c>
      <c r="C489" t="s">
        <v>25</v>
      </c>
      <c r="D489">
        <v>12245.12</v>
      </c>
      <c r="E489">
        <v>2</v>
      </c>
      <c r="F489">
        <v>24490.240000000002</v>
      </c>
      <c r="G489" s="1">
        <v>45531</v>
      </c>
      <c r="H489" t="s">
        <v>42</v>
      </c>
      <c r="I489">
        <v>4.5</v>
      </c>
    </row>
    <row r="490" spans="1:9" x14ac:dyDescent="0.3">
      <c r="A490" t="s">
        <v>533</v>
      </c>
      <c r="B490" t="s">
        <v>50</v>
      </c>
      <c r="C490" t="s">
        <v>11</v>
      </c>
      <c r="D490">
        <v>48405.89</v>
      </c>
      <c r="E490">
        <v>4</v>
      </c>
      <c r="F490">
        <v>193623.56</v>
      </c>
      <c r="G490" s="1">
        <v>45382</v>
      </c>
      <c r="H490" t="s">
        <v>28</v>
      </c>
      <c r="I490">
        <v>4.9000000000000004</v>
      </c>
    </row>
    <row r="491" spans="1:9" x14ac:dyDescent="0.3">
      <c r="A491" t="s">
        <v>534</v>
      </c>
      <c r="B491" t="s">
        <v>69</v>
      </c>
      <c r="C491" t="s">
        <v>19</v>
      </c>
      <c r="D491">
        <v>12757.67</v>
      </c>
      <c r="E491">
        <v>5</v>
      </c>
      <c r="F491">
        <v>63788.35</v>
      </c>
      <c r="G491" s="1">
        <v>45615</v>
      </c>
      <c r="H491" t="s">
        <v>16</v>
      </c>
      <c r="I491">
        <v>3.3</v>
      </c>
    </row>
    <row r="492" spans="1:9" x14ac:dyDescent="0.3">
      <c r="A492" t="s">
        <v>535</v>
      </c>
      <c r="B492" t="s">
        <v>151</v>
      </c>
      <c r="C492" t="s">
        <v>15</v>
      </c>
      <c r="D492">
        <v>33071.089999999997</v>
      </c>
      <c r="E492">
        <v>2</v>
      </c>
      <c r="F492">
        <v>66142.179999999993</v>
      </c>
      <c r="G492" s="1">
        <v>45570</v>
      </c>
      <c r="H492" t="s">
        <v>42</v>
      </c>
      <c r="I492">
        <v>3.5</v>
      </c>
    </row>
    <row r="493" spans="1:9" x14ac:dyDescent="0.3">
      <c r="A493" t="s">
        <v>536</v>
      </c>
      <c r="B493" t="s">
        <v>69</v>
      </c>
      <c r="C493" t="s">
        <v>19</v>
      </c>
      <c r="D493">
        <v>4869.5600000000004</v>
      </c>
      <c r="E493">
        <v>1</v>
      </c>
      <c r="F493">
        <v>4869.5600000000004</v>
      </c>
      <c r="G493" s="1">
        <v>45386</v>
      </c>
      <c r="H493" t="s">
        <v>16</v>
      </c>
      <c r="I493">
        <v>1.9</v>
      </c>
    </row>
    <row r="494" spans="1:9" x14ac:dyDescent="0.3">
      <c r="A494" t="s">
        <v>537</v>
      </c>
      <c r="B494" t="s">
        <v>54</v>
      </c>
      <c r="C494" t="s">
        <v>15</v>
      </c>
      <c r="D494">
        <v>45127.31</v>
      </c>
      <c r="E494">
        <v>4</v>
      </c>
      <c r="F494">
        <v>180509.24</v>
      </c>
      <c r="G494" s="1">
        <v>45672</v>
      </c>
      <c r="H494" t="s">
        <v>42</v>
      </c>
      <c r="I494">
        <v>4.2</v>
      </c>
    </row>
    <row r="495" spans="1:9" x14ac:dyDescent="0.3">
      <c r="A495" t="s">
        <v>538</v>
      </c>
      <c r="B495" t="s">
        <v>60</v>
      </c>
      <c r="C495" t="s">
        <v>25</v>
      </c>
      <c r="D495">
        <v>8867.7199999999993</v>
      </c>
      <c r="E495">
        <v>1</v>
      </c>
      <c r="F495">
        <v>8867.7199999999993</v>
      </c>
      <c r="G495" s="1">
        <v>45566</v>
      </c>
      <c r="H495" t="s">
        <v>56</v>
      </c>
      <c r="I495">
        <v>4.3</v>
      </c>
    </row>
    <row r="496" spans="1:9" x14ac:dyDescent="0.3">
      <c r="A496" t="s">
        <v>539</v>
      </c>
      <c r="B496" t="s">
        <v>24</v>
      </c>
      <c r="C496" t="s">
        <v>25</v>
      </c>
      <c r="D496">
        <v>31749.94</v>
      </c>
      <c r="E496">
        <v>1</v>
      </c>
      <c r="F496">
        <v>31749.94</v>
      </c>
      <c r="G496" s="1">
        <v>45437</v>
      </c>
      <c r="H496" t="s">
        <v>42</v>
      </c>
      <c r="I496">
        <v>3.1</v>
      </c>
    </row>
    <row r="497" spans="1:9" x14ac:dyDescent="0.3">
      <c r="A497" t="s">
        <v>540</v>
      </c>
      <c r="B497" t="s">
        <v>75</v>
      </c>
      <c r="C497" t="s">
        <v>19</v>
      </c>
      <c r="D497">
        <v>40944.769999999997</v>
      </c>
      <c r="E497">
        <v>2</v>
      </c>
      <c r="F497">
        <v>81889.539999999994</v>
      </c>
      <c r="G497" s="1">
        <v>45599</v>
      </c>
      <c r="H497" t="s">
        <v>47</v>
      </c>
      <c r="I497">
        <v>2.9</v>
      </c>
    </row>
    <row r="498" spans="1:9" x14ac:dyDescent="0.3">
      <c r="A498" t="s">
        <v>541</v>
      </c>
      <c r="B498" t="s">
        <v>32</v>
      </c>
      <c r="C498" t="s">
        <v>25</v>
      </c>
      <c r="D498">
        <v>20859.61</v>
      </c>
      <c r="E498">
        <v>4</v>
      </c>
      <c r="F498">
        <v>83438.44</v>
      </c>
      <c r="G498" s="1">
        <v>45406</v>
      </c>
      <c r="H498" t="s">
        <v>28</v>
      </c>
      <c r="I498">
        <v>4.9000000000000004</v>
      </c>
    </row>
    <row r="499" spans="1:9" x14ac:dyDescent="0.3">
      <c r="A499" t="s">
        <v>542</v>
      </c>
      <c r="B499" t="s">
        <v>10</v>
      </c>
      <c r="C499" t="s">
        <v>11</v>
      </c>
      <c r="D499">
        <v>6884.74</v>
      </c>
      <c r="E499">
        <v>5</v>
      </c>
      <c r="F499">
        <v>34423.699999999997</v>
      </c>
      <c r="G499" s="1">
        <v>45516</v>
      </c>
      <c r="H499" t="s">
        <v>56</v>
      </c>
      <c r="I499">
        <v>1.4</v>
      </c>
    </row>
    <row r="500" spans="1:9" x14ac:dyDescent="0.3">
      <c r="A500" t="s">
        <v>543</v>
      </c>
      <c r="B500" t="s">
        <v>14</v>
      </c>
      <c r="C500" t="s">
        <v>15</v>
      </c>
      <c r="D500">
        <v>40238.5</v>
      </c>
      <c r="E500">
        <v>3</v>
      </c>
      <c r="F500">
        <v>120715.5</v>
      </c>
      <c r="G500" s="1">
        <v>45494</v>
      </c>
      <c r="H500" t="s">
        <v>28</v>
      </c>
      <c r="I500">
        <v>3.9</v>
      </c>
    </row>
    <row r="501" spans="1:9" x14ac:dyDescent="0.3">
      <c r="A501" t="s">
        <v>544</v>
      </c>
      <c r="B501" t="s">
        <v>44</v>
      </c>
      <c r="C501" t="s">
        <v>22</v>
      </c>
      <c r="D501">
        <v>10422.280000000001</v>
      </c>
      <c r="E501">
        <v>5</v>
      </c>
      <c r="F501">
        <v>52111.4</v>
      </c>
      <c r="G501" s="1">
        <v>45469</v>
      </c>
      <c r="H501" t="s">
        <v>56</v>
      </c>
      <c r="I501">
        <v>3.5</v>
      </c>
    </row>
    <row r="502" spans="1:9" x14ac:dyDescent="0.3">
      <c r="A502" t="s">
        <v>545</v>
      </c>
      <c r="B502" t="s">
        <v>100</v>
      </c>
      <c r="C502" t="s">
        <v>11</v>
      </c>
      <c r="D502">
        <v>13862.56</v>
      </c>
      <c r="E502">
        <v>1</v>
      </c>
      <c r="F502">
        <v>13862.56</v>
      </c>
      <c r="G502" s="1">
        <v>45657</v>
      </c>
      <c r="H502" t="s">
        <v>28</v>
      </c>
      <c r="I502">
        <v>1.6</v>
      </c>
    </row>
    <row r="503" spans="1:9" x14ac:dyDescent="0.3">
      <c r="A503" t="s">
        <v>546</v>
      </c>
      <c r="B503" t="s">
        <v>18</v>
      </c>
      <c r="C503" t="s">
        <v>19</v>
      </c>
      <c r="D503">
        <v>35911.22</v>
      </c>
      <c r="E503">
        <v>4</v>
      </c>
      <c r="F503">
        <v>143644.88</v>
      </c>
      <c r="G503" s="1">
        <v>45547</v>
      </c>
      <c r="H503" t="s">
        <v>47</v>
      </c>
      <c r="I503">
        <v>4.0999999999999996</v>
      </c>
    </row>
    <row r="504" spans="1:9" x14ac:dyDescent="0.3">
      <c r="A504" t="s">
        <v>547</v>
      </c>
      <c r="B504" t="s">
        <v>34</v>
      </c>
      <c r="C504" t="s">
        <v>15</v>
      </c>
      <c r="D504">
        <v>16523.689999999999</v>
      </c>
      <c r="E504">
        <v>3</v>
      </c>
      <c r="F504">
        <v>49571.07</v>
      </c>
      <c r="G504" s="1">
        <v>45521</v>
      </c>
      <c r="H504" t="s">
        <v>47</v>
      </c>
      <c r="I504">
        <v>2.8</v>
      </c>
    </row>
    <row r="505" spans="1:9" x14ac:dyDescent="0.3">
      <c r="A505" t="s">
        <v>548</v>
      </c>
      <c r="B505" t="s">
        <v>40</v>
      </c>
      <c r="C505" t="s">
        <v>19</v>
      </c>
      <c r="D505">
        <v>6566.03</v>
      </c>
      <c r="E505">
        <v>5</v>
      </c>
      <c r="F505">
        <v>32830.15</v>
      </c>
      <c r="G505" s="1">
        <v>45402</v>
      </c>
      <c r="H505" t="s">
        <v>42</v>
      </c>
      <c r="I505">
        <v>2.6</v>
      </c>
    </row>
    <row r="506" spans="1:9" x14ac:dyDescent="0.3">
      <c r="A506" t="s">
        <v>549</v>
      </c>
      <c r="B506" t="s">
        <v>60</v>
      </c>
      <c r="C506" t="s">
        <v>25</v>
      </c>
      <c r="D506">
        <v>18799.05</v>
      </c>
      <c r="E506">
        <v>3</v>
      </c>
      <c r="F506">
        <v>56397.15</v>
      </c>
      <c r="G506" s="1">
        <v>45689</v>
      </c>
      <c r="H506" t="s">
        <v>16</v>
      </c>
      <c r="I506">
        <v>4.3</v>
      </c>
    </row>
    <row r="507" spans="1:9" x14ac:dyDescent="0.3">
      <c r="A507" t="s">
        <v>550</v>
      </c>
      <c r="B507" t="s">
        <v>82</v>
      </c>
      <c r="C507" t="s">
        <v>22</v>
      </c>
      <c r="D507">
        <v>8436.7099999999991</v>
      </c>
      <c r="E507">
        <v>5</v>
      </c>
      <c r="F507">
        <v>42183.55</v>
      </c>
      <c r="G507" s="1">
        <v>45395</v>
      </c>
      <c r="H507" t="s">
        <v>28</v>
      </c>
      <c r="I507">
        <v>4.9000000000000004</v>
      </c>
    </row>
    <row r="508" spans="1:9" x14ac:dyDescent="0.3">
      <c r="A508" t="s">
        <v>551</v>
      </c>
      <c r="B508" t="s">
        <v>24</v>
      </c>
      <c r="C508" t="s">
        <v>25</v>
      </c>
      <c r="D508">
        <v>19380.5</v>
      </c>
      <c r="E508">
        <v>4</v>
      </c>
      <c r="F508">
        <v>77522</v>
      </c>
      <c r="G508" s="1">
        <v>45466</v>
      </c>
      <c r="H508" t="s">
        <v>16</v>
      </c>
      <c r="I508">
        <v>3.3</v>
      </c>
    </row>
    <row r="509" spans="1:9" x14ac:dyDescent="0.3">
      <c r="A509" t="s">
        <v>552</v>
      </c>
      <c r="B509" t="s">
        <v>40</v>
      </c>
      <c r="C509" t="s">
        <v>19</v>
      </c>
      <c r="D509">
        <v>20228.05</v>
      </c>
      <c r="E509">
        <v>3</v>
      </c>
      <c r="F509">
        <v>60684.15</v>
      </c>
      <c r="G509" s="1">
        <v>45689</v>
      </c>
      <c r="H509" t="s">
        <v>16</v>
      </c>
      <c r="I509">
        <v>1.2</v>
      </c>
    </row>
    <row r="510" spans="1:9" x14ac:dyDescent="0.3">
      <c r="A510" t="s">
        <v>553</v>
      </c>
      <c r="B510" t="s">
        <v>71</v>
      </c>
      <c r="C510" t="s">
        <v>22</v>
      </c>
      <c r="D510">
        <v>28606.86</v>
      </c>
      <c r="E510">
        <v>5</v>
      </c>
      <c r="F510">
        <v>143034.29999999999</v>
      </c>
      <c r="G510" s="1">
        <v>45520</v>
      </c>
      <c r="H510" t="s">
        <v>16</v>
      </c>
      <c r="I510">
        <v>4.8</v>
      </c>
    </row>
    <row r="511" spans="1:9" x14ac:dyDescent="0.3">
      <c r="A511" t="s">
        <v>554</v>
      </c>
      <c r="B511" t="s">
        <v>93</v>
      </c>
      <c r="C511" t="s">
        <v>11</v>
      </c>
      <c r="D511">
        <v>16803.759999999998</v>
      </c>
      <c r="E511">
        <v>4</v>
      </c>
      <c r="F511">
        <v>67215.039999999994</v>
      </c>
      <c r="G511" s="1">
        <v>45438</v>
      </c>
      <c r="H511" t="s">
        <v>28</v>
      </c>
      <c r="I511">
        <v>4</v>
      </c>
    </row>
    <row r="512" spans="1:9" x14ac:dyDescent="0.3">
      <c r="A512" t="s">
        <v>555</v>
      </c>
      <c r="B512" t="s">
        <v>18</v>
      </c>
      <c r="C512" t="s">
        <v>19</v>
      </c>
      <c r="D512">
        <v>18093.34</v>
      </c>
      <c r="E512">
        <v>5</v>
      </c>
      <c r="F512">
        <v>90466.7</v>
      </c>
      <c r="G512" s="1">
        <v>45678</v>
      </c>
      <c r="H512" t="s">
        <v>47</v>
      </c>
      <c r="I512">
        <v>4.2</v>
      </c>
    </row>
    <row r="513" spans="1:9" x14ac:dyDescent="0.3">
      <c r="A513" t="s">
        <v>556</v>
      </c>
      <c r="B513" t="s">
        <v>36</v>
      </c>
      <c r="C513" t="s">
        <v>22</v>
      </c>
      <c r="D513">
        <v>31737.13</v>
      </c>
      <c r="E513">
        <v>5</v>
      </c>
      <c r="F513">
        <v>158685.65</v>
      </c>
      <c r="G513" s="1">
        <v>45394</v>
      </c>
      <c r="H513" t="s">
        <v>56</v>
      </c>
      <c r="I513">
        <v>4</v>
      </c>
    </row>
    <row r="514" spans="1:9" x14ac:dyDescent="0.3">
      <c r="A514" t="s">
        <v>557</v>
      </c>
      <c r="B514" t="s">
        <v>40</v>
      </c>
      <c r="C514" t="s">
        <v>19</v>
      </c>
      <c r="D514">
        <v>49861.17</v>
      </c>
      <c r="E514">
        <v>3</v>
      </c>
      <c r="F514">
        <v>149583.51</v>
      </c>
      <c r="G514" s="1">
        <v>45559</v>
      </c>
      <c r="H514" t="s">
        <v>16</v>
      </c>
      <c r="I514">
        <v>2.5</v>
      </c>
    </row>
    <row r="515" spans="1:9" x14ac:dyDescent="0.3">
      <c r="A515" t="s">
        <v>558</v>
      </c>
      <c r="B515" t="s">
        <v>10</v>
      </c>
      <c r="C515" t="s">
        <v>11</v>
      </c>
      <c r="D515">
        <v>21233.35</v>
      </c>
      <c r="E515">
        <v>1</v>
      </c>
      <c r="F515">
        <v>21233.35</v>
      </c>
      <c r="G515" s="1">
        <v>45537</v>
      </c>
      <c r="H515" t="s">
        <v>42</v>
      </c>
      <c r="I515">
        <v>1.7</v>
      </c>
    </row>
    <row r="516" spans="1:9" x14ac:dyDescent="0.3">
      <c r="A516" t="s">
        <v>559</v>
      </c>
      <c r="B516" t="s">
        <v>120</v>
      </c>
      <c r="C516" t="s">
        <v>25</v>
      </c>
      <c r="D516">
        <v>776.91</v>
      </c>
      <c r="E516">
        <v>5</v>
      </c>
      <c r="F516">
        <v>3884.55</v>
      </c>
      <c r="G516" s="1">
        <v>45489</v>
      </c>
      <c r="H516" t="s">
        <v>42</v>
      </c>
      <c r="I516">
        <v>4.2</v>
      </c>
    </row>
    <row r="517" spans="1:9" x14ac:dyDescent="0.3">
      <c r="A517" t="s">
        <v>560</v>
      </c>
      <c r="B517" t="s">
        <v>40</v>
      </c>
      <c r="C517" t="s">
        <v>19</v>
      </c>
      <c r="D517">
        <v>25542.71</v>
      </c>
      <c r="E517">
        <v>1</v>
      </c>
      <c r="F517">
        <v>25542.71</v>
      </c>
      <c r="G517" s="1">
        <v>45640</v>
      </c>
      <c r="H517" t="s">
        <v>16</v>
      </c>
      <c r="I517">
        <v>2.2000000000000002</v>
      </c>
    </row>
    <row r="518" spans="1:9" x14ac:dyDescent="0.3">
      <c r="A518" t="s">
        <v>561</v>
      </c>
      <c r="B518" t="s">
        <v>30</v>
      </c>
      <c r="C518" t="s">
        <v>15</v>
      </c>
      <c r="D518">
        <v>10818.28</v>
      </c>
      <c r="E518">
        <v>5</v>
      </c>
      <c r="F518">
        <v>54091.4</v>
      </c>
      <c r="G518" s="1">
        <v>45495</v>
      </c>
      <c r="H518" t="s">
        <v>16</v>
      </c>
      <c r="I518">
        <v>1.6</v>
      </c>
    </row>
    <row r="519" spans="1:9" x14ac:dyDescent="0.3">
      <c r="A519" t="s">
        <v>562</v>
      </c>
      <c r="B519" t="s">
        <v>36</v>
      </c>
      <c r="C519" t="s">
        <v>22</v>
      </c>
      <c r="D519">
        <v>45801.19</v>
      </c>
      <c r="E519">
        <v>5</v>
      </c>
      <c r="F519">
        <v>229005.95</v>
      </c>
      <c r="G519" s="1">
        <v>45589</v>
      </c>
      <c r="H519" t="s">
        <v>47</v>
      </c>
      <c r="I519">
        <v>2.4</v>
      </c>
    </row>
    <row r="520" spans="1:9" x14ac:dyDescent="0.3">
      <c r="A520" t="s">
        <v>563</v>
      </c>
      <c r="B520" t="s">
        <v>18</v>
      </c>
      <c r="C520" t="s">
        <v>19</v>
      </c>
      <c r="D520">
        <v>6963.56</v>
      </c>
      <c r="E520">
        <v>2</v>
      </c>
      <c r="F520">
        <v>13927.12</v>
      </c>
      <c r="G520" s="1">
        <v>45632</v>
      </c>
      <c r="H520" t="s">
        <v>12</v>
      </c>
      <c r="I520">
        <v>3.3</v>
      </c>
    </row>
    <row r="521" spans="1:9" x14ac:dyDescent="0.3">
      <c r="A521" t="s">
        <v>564</v>
      </c>
      <c r="B521" t="s">
        <v>44</v>
      </c>
      <c r="C521" t="s">
        <v>22</v>
      </c>
      <c r="D521">
        <v>37082.11</v>
      </c>
      <c r="E521">
        <v>1</v>
      </c>
      <c r="F521">
        <v>37082.11</v>
      </c>
      <c r="G521" s="1">
        <v>45455</v>
      </c>
      <c r="H521" t="s">
        <v>16</v>
      </c>
      <c r="I521">
        <v>4.4000000000000004</v>
      </c>
    </row>
    <row r="522" spans="1:9" x14ac:dyDescent="0.3">
      <c r="A522" t="s">
        <v>565</v>
      </c>
      <c r="B522" t="s">
        <v>50</v>
      </c>
      <c r="C522" t="s">
        <v>11</v>
      </c>
      <c r="D522">
        <v>6842.69</v>
      </c>
      <c r="E522">
        <v>1</v>
      </c>
      <c r="F522">
        <v>6842.69</v>
      </c>
      <c r="G522" s="1">
        <v>45447</v>
      </c>
      <c r="H522" t="s">
        <v>16</v>
      </c>
      <c r="I522">
        <v>3.6</v>
      </c>
    </row>
    <row r="523" spans="1:9" x14ac:dyDescent="0.3">
      <c r="A523" t="s">
        <v>566</v>
      </c>
      <c r="B523" t="s">
        <v>38</v>
      </c>
      <c r="C523" t="s">
        <v>19</v>
      </c>
      <c r="D523">
        <v>7283.96</v>
      </c>
      <c r="E523">
        <v>1</v>
      </c>
      <c r="F523">
        <v>7283.96</v>
      </c>
      <c r="G523" s="1">
        <v>45390</v>
      </c>
      <c r="H523" t="s">
        <v>42</v>
      </c>
      <c r="I523">
        <v>2</v>
      </c>
    </row>
    <row r="524" spans="1:9" x14ac:dyDescent="0.3">
      <c r="A524" t="s">
        <v>567</v>
      </c>
      <c r="B524" t="s">
        <v>24</v>
      </c>
      <c r="C524" t="s">
        <v>25</v>
      </c>
      <c r="D524">
        <v>218.58</v>
      </c>
      <c r="E524">
        <v>5</v>
      </c>
      <c r="F524">
        <v>1092.9000000000001</v>
      </c>
      <c r="G524" s="1">
        <v>45402</v>
      </c>
      <c r="H524" t="s">
        <v>28</v>
      </c>
      <c r="I524">
        <v>4.8</v>
      </c>
    </row>
    <row r="525" spans="1:9" x14ac:dyDescent="0.3">
      <c r="A525" t="s">
        <v>568</v>
      </c>
      <c r="B525" t="s">
        <v>71</v>
      </c>
      <c r="C525" t="s">
        <v>22</v>
      </c>
      <c r="D525">
        <v>38689.699999999997</v>
      </c>
      <c r="E525">
        <v>3</v>
      </c>
      <c r="F525">
        <v>116069.1</v>
      </c>
      <c r="G525" s="1">
        <v>45563</v>
      </c>
      <c r="H525" t="s">
        <v>12</v>
      </c>
      <c r="I525">
        <v>1.9</v>
      </c>
    </row>
    <row r="526" spans="1:9" x14ac:dyDescent="0.3">
      <c r="A526" t="s">
        <v>569</v>
      </c>
      <c r="B526" t="s">
        <v>32</v>
      </c>
      <c r="C526" t="s">
        <v>25</v>
      </c>
      <c r="D526">
        <v>8863.9699999999993</v>
      </c>
      <c r="E526">
        <v>2</v>
      </c>
      <c r="F526">
        <v>17727.939999999999</v>
      </c>
      <c r="G526" s="1">
        <v>45561</v>
      </c>
      <c r="H526" t="s">
        <v>16</v>
      </c>
      <c r="I526">
        <v>4.5</v>
      </c>
    </row>
    <row r="527" spans="1:9" x14ac:dyDescent="0.3">
      <c r="A527" t="s">
        <v>570</v>
      </c>
      <c r="B527" t="s">
        <v>30</v>
      </c>
      <c r="C527" t="s">
        <v>15</v>
      </c>
      <c r="D527">
        <v>12472.17</v>
      </c>
      <c r="E527">
        <v>5</v>
      </c>
      <c r="F527">
        <v>62360.85</v>
      </c>
      <c r="G527" s="1">
        <v>45405</v>
      </c>
      <c r="H527" t="s">
        <v>16</v>
      </c>
      <c r="I527">
        <v>1.9</v>
      </c>
    </row>
    <row r="528" spans="1:9" x14ac:dyDescent="0.3">
      <c r="A528" t="s">
        <v>571</v>
      </c>
      <c r="B528" t="s">
        <v>14</v>
      </c>
      <c r="C528" t="s">
        <v>15</v>
      </c>
      <c r="D528">
        <v>8734.44</v>
      </c>
      <c r="E528">
        <v>1</v>
      </c>
      <c r="F528">
        <v>8734.44</v>
      </c>
      <c r="G528" s="1">
        <v>45591</v>
      </c>
      <c r="H528" t="s">
        <v>12</v>
      </c>
      <c r="I528">
        <v>2.5</v>
      </c>
    </row>
    <row r="529" spans="1:9" x14ac:dyDescent="0.3">
      <c r="A529" t="s">
        <v>572</v>
      </c>
      <c r="B529" t="s">
        <v>38</v>
      </c>
      <c r="C529" t="s">
        <v>19</v>
      </c>
      <c r="D529">
        <v>32422.04</v>
      </c>
      <c r="E529">
        <v>5</v>
      </c>
      <c r="F529">
        <v>162110.20000000001</v>
      </c>
      <c r="G529" s="1">
        <v>45340</v>
      </c>
      <c r="H529" t="s">
        <v>56</v>
      </c>
      <c r="I529">
        <v>1.9</v>
      </c>
    </row>
    <row r="530" spans="1:9" x14ac:dyDescent="0.3">
      <c r="A530" t="s">
        <v>573</v>
      </c>
      <c r="B530" t="s">
        <v>71</v>
      </c>
      <c r="C530" t="s">
        <v>22</v>
      </c>
      <c r="D530">
        <v>45532.34</v>
      </c>
      <c r="E530">
        <v>5</v>
      </c>
      <c r="F530">
        <v>227661.7</v>
      </c>
      <c r="G530" s="1">
        <v>45410</v>
      </c>
      <c r="H530" t="s">
        <v>47</v>
      </c>
      <c r="I530">
        <v>3.6</v>
      </c>
    </row>
    <row r="531" spans="1:9" x14ac:dyDescent="0.3">
      <c r="A531" t="s">
        <v>574</v>
      </c>
      <c r="B531" t="s">
        <v>18</v>
      </c>
      <c r="C531" t="s">
        <v>19</v>
      </c>
      <c r="D531">
        <v>22534.799999999999</v>
      </c>
      <c r="E531">
        <v>4</v>
      </c>
      <c r="F531">
        <v>90139.199999999997</v>
      </c>
      <c r="G531" s="1">
        <v>45534</v>
      </c>
      <c r="H531" t="s">
        <v>42</v>
      </c>
      <c r="I531">
        <v>1.4</v>
      </c>
    </row>
    <row r="532" spans="1:9" x14ac:dyDescent="0.3">
      <c r="A532" t="s">
        <v>575</v>
      </c>
      <c r="B532" t="s">
        <v>100</v>
      </c>
      <c r="C532" t="s">
        <v>11</v>
      </c>
      <c r="D532">
        <v>26058.55</v>
      </c>
      <c r="E532">
        <v>1</v>
      </c>
      <c r="F532">
        <v>26058.55</v>
      </c>
      <c r="G532" s="1">
        <v>45593</v>
      </c>
      <c r="H532" t="s">
        <v>16</v>
      </c>
      <c r="I532">
        <v>2</v>
      </c>
    </row>
    <row r="533" spans="1:9" x14ac:dyDescent="0.3">
      <c r="A533" t="s">
        <v>576</v>
      </c>
      <c r="B533" t="s">
        <v>60</v>
      </c>
      <c r="C533" t="s">
        <v>25</v>
      </c>
      <c r="D533">
        <v>13348.84</v>
      </c>
      <c r="E533">
        <v>2</v>
      </c>
      <c r="F533">
        <v>26697.68</v>
      </c>
      <c r="G533" s="1">
        <v>45500</v>
      </c>
      <c r="H533" t="s">
        <v>42</v>
      </c>
      <c r="I533">
        <v>4.2</v>
      </c>
    </row>
    <row r="534" spans="1:9" x14ac:dyDescent="0.3">
      <c r="A534" t="s">
        <v>577</v>
      </c>
      <c r="B534" t="s">
        <v>32</v>
      </c>
      <c r="C534" t="s">
        <v>25</v>
      </c>
      <c r="D534">
        <v>46792.3</v>
      </c>
      <c r="E534">
        <v>1</v>
      </c>
      <c r="F534">
        <v>46792.3</v>
      </c>
      <c r="G534" s="1">
        <v>45459</v>
      </c>
      <c r="H534" t="s">
        <v>47</v>
      </c>
      <c r="I534">
        <v>4.9000000000000004</v>
      </c>
    </row>
    <row r="535" spans="1:9" x14ac:dyDescent="0.3">
      <c r="A535" t="s">
        <v>578</v>
      </c>
      <c r="B535" t="s">
        <v>120</v>
      </c>
      <c r="C535" t="s">
        <v>25</v>
      </c>
      <c r="D535">
        <v>15764.25</v>
      </c>
      <c r="E535">
        <v>4</v>
      </c>
      <c r="F535">
        <v>63057</v>
      </c>
      <c r="G535" s="1">
        <v>45424</v>
      </c>
      <c r="H535" t="s">
        <v>42</v>
      </c>
      <c r="I535">
        <v>4</v>
      </c>
    </row>
    <row r="536" spans="1:9" x14ac:dyDescent="0.3">
      <c r="A536" t="s">
        <v>579</v>
      </c>
      <c r="B536" t="s">
        <v>21</v>
      </c>
      <c r="C536" t="s">
        <v>22</v>
      </c>
      <c r="D536">
        <v>45019</v>
      </c>
      <c r="E536">
        <v>5</v>
      </c>
      <c r="F536">
        <v>225095</v>
      </c>
      <c r="G536" s="1">
        <v>45664</v>
      </c>
      <c r="H536" t="s">
        <v>42</v>
      </c>
      <c r="I536">
        <v>4.7</v>
      </c>
    </row>
    <row r="537" spans="1:9" x14ac:dyDescent="0.3">
      <c r="A537" t="s">
        <v>580</v>
      </c>
      <c r="B537" t="s">
        <v>151</v>
      </c>
      <c r="C537" t="s">
        <v>15</v>
      </c>
      <c r="D537">
        <v>42794.400000000001</v>
      </c>
      <c r="E537">
        <v>4</v>
      </c>
      <c r="F537">
        <v>171177.60000000001</v>
      </c>
      <c r="G537" s="1">
        <v>45468</v>
      </c>
      <c r="H537" t="s">
        <v>42</v>
      </c>
      <c r="I537">
        <v>4.5999999999999996</v>
      </c>
    </row>
    <row r="538" spans="1:9" x14ac:dyDescent="0.3">
      <c r="A538" t="s">
        <v>581</v>
      </c>
      <c r="B538" t="s">
        <v>10</v>
      </c>
      <c r="C538" t="s">
        <v>11</v>
      </c>
      <c r="D538">
        <v>492.53</v>
      </c>
      <c r="E538">
        <v>1</v>
      </c>
      <c r="F538">
        <v>492.53</v>
      </c>
      <c r="G538" s="1">
        <v>45397</v>
      </c>
      <c r="H538" t="s">
        <v>47</v>
      </c>
      <c r="I538">
        <v>4.4000000000000004</v>
      </c>
    </row>
    <row r="539" spans="1:9" x14ac:dyDescent="0.3">
      <c r="A539" t="s">
        <v>582</v>
      </c>
      <c r="B539" t="s">
        <v>120</v>
      </c>
      <c r="C539" t="s">
        <v>25</v>
      </c>
      <c r="D539">
        <v>30721.51</v>
      </c>
      <c r="E539">
        <v>4</v>
      </c>
      <c r="F539">
        <v>122886.04</v>
      </c>
      <c r="G539" s="1">
        <v>45501</v>
      </c>
      <c r="H539" t="s">
        <v>28</v>
      </c>
      <c r="I539">
        <v>3.4</v>
      </c>
    </row>
    <row r="540" spans="1:9" x14ac:dyDescent="0.3">
      <c r="A540" t="s">
        <v>583</v>
      </c>
      <c r="B540" t="s">
        <v>24</v>
      </c>
      <c r="C540" t="s">
        <v>25</v>
      </c>
      <c r="D540">
        <v>17162.64</v>
      </c>
      <c r="E540">
        <v>3</v>
      </c>
      <c r="F540">
        <v>51487.92</v>
      </c>
      <c r="G540" s="1">
        <v>45485</v>
      </c>
      <c r="H540" t="s">
        <v>42</v>
      </c>
      <c r="I540">
        <v>4.7</v>
      </c>
    </row>
    <row r="541" spans="1:9" x14ac:dyDescent="0.3">
      <c r="A541" t="s">
        <v>584</v>
      </c>
      <c r="B541" t="s">
        <v>50</v>
      </c>
      <c r="C541" t="s">
        <v>11</v>
      </c>
      <c r="D541">
        <v>45888.54</v>
      </c>
      <c r="E541">
        <v>3</v>
      </c>
      <c r="F541">
        <v>137665.62</v>
      </c>
      <c r="G541" s="1">
        <v>45390</v>
      </c>
      <c r="H541" t="s">
        <v>47</v>
      </c>
      <c r="I541">
        <v>2</v>
      </c>
    </row>
    <row r="542" spans="1:9" x14ac:dyDescent="0.3">
      <c r="A542" t="s">
        <v>585</v>
      </c>
      <c r="B542" t="s">
        <v>32</v>
      </c>
      <c r="C542" t="s">
        <v>25</v>
      </c>
      <c r="D542">
        <v>49052.43</v>
      </c>
      <c r="E542">
        <v>3</v>
      </c>
      <c r="F542">
        <v>147157.29</v>
      </c>
      <c r="G542" s="1">
        <v>45628</v>
      </c>
      <c r="H542" t="s">
        <v>12</v>
      </c>
      <c r="I542">
        <v>4.5</v>
      </c>
    </row>
    <row r="543" spans="1:9" x14ac:dyDescent="0.3">
      <c r="A543" t="s">
        <v>586</v>
      </c>
      <c r="B543" t="s">
        <v>120</v>
      </c>
      <c r="C543" t="s">
        <v>25</v>
      </c>
      <c r="D543">
        <v>2435.9699999999998</v>
      </c>
      <c r="E543">
        <v>1</v>
      </c>
      <c r="F543">
        <v>2435.9699999999998</v>
      </c>
      <c r="G543" s="1">
        <v>45381</v>
      </c>
      <c r="H543" t="s">
        <v>47</v>
      </c>
      <c r="I543">
        <v>2.2999999999999998</v>
      </c>
    </row>
    <row r="544" spans="1:9" x14ac:dyDescent="0.3">
      <c r="A544" t="s">
        <v>587</v>
      </c>
      <c r="B544" t="s">
        <v>32</v>
      </c>
      <c r="C544" t="s">
        <v>25</v>
      </c>
      <c r="D544">
        <v>48128.02</v>
      </c>
      <c r="E544">
        <v>4</v>
      </c>
      <c r="F544">
        <v>192512.08</v>
      </c>
      <c r="G544" s="1">
        <v>45425</v>
      </c>
      <c r="H544" t="s">
        <v>28</v>
      </c>
      <c r="I544">
        <v>3.2</v>
      </c>
    </row>
    <row r="545" spans="1:9" x14ac:dyDescent="0.3">
      <c r="A545" t="s">
        <v>588</v>
      </c>
      <c r="B545" t="s">
        <v>38</v>
      </c>
      <c r="C545" t="s">
        <v>19</v>
      </c>
      <c r="D545">
        <v>47111.56</v>
      </c>
      <c r="E545">
        <v>5</v>
      </c>
      <c r="F545">
        <v>235557.8</v>
      </c>
      <c r="G545" s="1">
        <v>45412</v>
      </c>
      <c r="H545" t="s">
        <v>16</v>
      </c>
      <c r="I545">
        <v>2.9</v>
      </c>
    </row>
    <row r="546" spans="1:9" x14ac:dyDescent="0.3">
      <c r="A546" t="s">
        <v>589</v>
      </c>
      <c r="B546" t="s">
        <v>10</v>
      </c>
      <c r="C546" t="s">
        <v>11</v>
      </c>
      <c r="D546">
        <v>8091.3</v>
      </c>
      <c r="E546">
        <v>5</v>
      </c>
      <c r="F546">
        <v>40456.5</v>
      </c>
      <c r="G546" s="1">
        <v>45518</v>
      </c>
      <c r="H546" t="s">
        <v>47</v>
      </c>
      <c r="I546">
        <v>2</v>
      </c>
    </row>
    <row r="547" spans="1:9" x14ac:dyDescent="0.3">
      <c r="A547" t="s">
        <v>590</v>
      </c>
      <c r="B547" t="s">
        <v>60</v>
      </c>
      <c r="C547" t="s">
        <v>25</v>
      </c>
      <c r="D547">
        <v>43217.1</v>
      </c>
      <c r="E547">
        <v>5</v>
      </c>
      <c r="F547">
        <v>216085.5</v>
      </c>
      <c r="G547" s="1">
        <v>45644</v>
      </c>
      <c r="H547" t="s">
        <v>12</v>
      </c>
      <c r="I547">
        <v>2.6</v>
      </c>
    </row>
    <row r="548" spans="1:9" x14ac:dyDescent="0.3">
      <c r="A548" t="s">
        <v>591</v>
      </c>
      <c r="B548" t="s">
        <v>34</v>
      </c>
      <c r="C548" t="s">
        <v>15</v>
      </c>
      <c r="D548">
        <v>35592.76</v>
      </c>
      <c r="E548">
        <v>2</v>
      </c>
      <c r="F548">
        <v>71185.52</v>
      </c>
      <c r="G548" s="1">
        <v>45418</v>
      </c>
      <c r="H548" t="s">
        <v>12</v>
      </c>
      <c r="I548">
        <v>4.5999999999999996</v>
      </c>
    </row>
    <row r="549" spans="1:9" x14ac:dyDescent="0.3">
      <c r="A549" t="s">
        <v>592</v>
      </c>
      <c r="B549" t="s">
        <v>69</v>
      </c>
      <c r="C549" t="s">
        <v>19</v>
      </c>
      <c r="D549">
        <v>9534.89</v>
      </c>
      <c r="E549">
        <v>5</v>
      </c>
      <c r="F549">
        <v>47674.45</v>
      </c>
      <c r="G549" s="1">
        <v>45487</v>
      </c>
      <c r="H549" t="s">
        <v>56</v>
      </c>
      <c r="I549">
        <v>4.2</v>
      </c>
    </row>
    <row r="550" spans="1:9" x14ac:dyDescent="0.3">
      <c r="A550" t="s">
        <v>593</v>
      </c>
      <c r="B550" t="s">
        <v>75</v>
      </c>
      <c r="C550" t="s">
        <v>19</v>
      </c>
      <c r="D550">
        <v>46990.87</v>
      </c>
      <c r="E550">
        <v>4</v>
      </c>
      <c r="F550">
        <v>187963.48</v>
      </c>
      <c r="G550" s="1">
        <v>45384</v>
      </c>
      <c r="H550" t="s">
        <v>42</v>
      </c>
      <c r="I550">
        <v>1.7</v>
      </c>
    </row>
    <row r="551" spans="1:9" x14ac:dyDescent="0.3">
      <c r="A551" t="s">
        <v>594</v>
      </c>
      <c r="B551" t="s">
        <v>32</v>
      </c>
      <c r="C551" t="s">
        <v>25</v>
      </c>
      <c r="D551">
        <v>31137.03</v>
      </c>
      <c r="E551">
        <v>5</v>
      </c>
      <c r="F551">
        <v>155685.15</v>
      </c>
      <c r="G551" s="1">
        <v>45655</v>
      </c>
      <c r="H551" t="s">
        <v>47</v>
      </c>
      <c r="I551">
        <v>2.6</v>
      </c>
    </row>
    <row r="552" spans="1:9" x14ac:dyDescent="0.3">
      <c r="A552" t="s">
        <v>595</v>
      </c>
      <c r="B552" t="s">
        <v>71</v>
      </c>
      <c r="C552" t="s">
        <v>22</v>
      </c>
      <c r="D552">
        <v>35821.160000000003</v>
      </c>
      <c r="E552">
        <v>4</v>
      </c>
      <c r="F552">
        <v>143284.64000000001</v>
      </c>
      <c r="G552" s="1">
        <v>45695</v>
      </c>
      <c r="H552" t="s">
        <v>12</v>
      </c>
      <c r="I552">
        <v>2.1</v>
      </c>
    </row>
    <row r="553" spans="1:9" x14ac:dyDescent="0.3">
      <c r="A553" t="s">
        <v>596</v>
      </c>
      <c r="B553" t="s">
        <v>75</v>
      </c>
      <c r="C553" t="s">
        <v>19</v>
      </c>
      <c r="D553">
        <v>28156.95</v>
      </c>
      <c r="E553">
        <v>5</v>
      </c>
      <c r="F553">
        <v>140784.75</v>
      </c>
      <c r="G553" s="1">
        <v>45418</v>
      </c>
      <c r="H553" t="s">
        <v>16</v>
      </c>
      <c r="I553">
        <v>2.7</v>
      </c>
    </row>
    <row r="554" spans="1:9" x14ac:dyDescent="0.3">
      <c r="A554" t="s">
        <v>597</v>
      </c>
      <c r="B554" t="s">
        <v>40</v>
      </c>
      <c r="C554" t="s">
        <v>19</v>
      </c>
      <c r="D554">
        <v>9335.19</v>
      </c>
      <c r="E554">
        <v>2</v>
      </c>
      <c r="F554">
        <v>18670.38</v>
      </c>
      <c r="G554" s="1">
        <v>45624</v>
      </c>
      <c r="H554" t="s">
        <v>42</v>
      </c>
      <c r="I554">
        <v>3.9</v>
      </c>
    </row>
    <row r="555" spans="1:9" x14ac:dyDescent="0.3">
      <c r="A555" t="s">
        <v>598</v>
      </c>
      <c r="B555" t="s">
        <v>54</v>
      </c>
      <c r="C555" t="s">
        <v>15</v>
      </c>
      <c r="D555">
        <v>25114.77</v>
      </c>
      <c r="E555">
        <v>2</v>
      </c>
      <c r="F555">
        <v>50229.54</v>
      </c>
      <c r="G555" s="1">
        <v>45511</v>
      </c>
      <c r="H555" t="s">
        <v>42</v>
      </c>
      <c r="I555">
        <v>3.6</v>
      </c>
    </row>
    <row r="556" spans="1:9" x14ac:dyDescent="0.3">
      <c r="A556" t="s">
        <v>599</v>
      </c>
      <c r="B556" t="s">
        <v>40</v>
      </c>
      <c r="C556" t="s">
        <v>19</v>
      </c>
      <c r="D556">
        <v>19961.03</v>
      </c>
      <c r="E556">
        <v>3</v>
      </c>
      <c r="F556">
        <v>59883.09</v>
      </c>
      <c r="G556" s="1">
        <v>45624</v>
      </c>
      <c r="H556" t="s">
        <v>47</v>
      </c>
      <c r="I556">
        <v>2.9</v>
      </c>
    </row>
    <row r="557" spans="1:9" x14ac:dyDescent="0.3">
      <c r="A557" t="s">
        <v>600</v>
      </c>
      <c r="B557" t="s">
        <v>71</v>
      </c>
      <c r="C557" t="s">
        <v>22</v>
      </c>
      <c r="D557">
        <v>38488.04</v>
      </c>
      <c r="E557">
        <v>2</v>
      </c>
      <c r="F557">
        <v>76976.08</v>
      </c>
      <c r="G557" s="1">
        <v>45508</v>
      </c>
      <c r="H557" t="s">
        <v>16</v>
      </c>
      <c r="I557">
        <v>1.1000000000000001</v>
      </c>
    </row>
    <row r="558" spans="1:9" x14ac:dyDescent="0.3">
      <c r="A558" t="s">
        <v>601</v>
      </c>
      <c r="B558" t="s">
        <v>38</v>
      </c>
      <c r="C558" t="s">
        <v>19</v>
      </c>
      <c r="D558">
        <v>20202.560000000001</v>
      </c>
      <c r="E558">
        <v>5</v>
      </c>
      <c r="F558">
        <v>101012.8</v>
      </c>
      <c r="G558" s="1">
        <v>45429</v>
      </c>
      <c r="H558" t="s">
        <v>47</v>
      </c>
      <c r="I558">
        <v>3.6</v>
      </c>
    </row>
    <row r="559" spans="1:9" x14ac:dyDescent="0.3">
      <c r="A559" t="s">
        <v>602</v>
      </c>
      <c r="B559" t="s">
        <v>82</v>
      </c>
      <c r="C559" t="s">
        <v>22</v>
      </c>
      <c r="D559">
        <v>39008.370000000003</v>
      </c>
      <c r="E559">
        <v>3</v>
      </c>
      <c r="F559">
        <v>117025.11</v>
      </c>
      <c r="G559" s="1">
        <v>45556</v>
      </c>
      <c r="H559" t="s">
        <v>56</v>
      </c>
      <c r="I559">
        <v>2.2000000000000002</v>
      </c>
    </row>
    <row r="560" spans="1:9" x14ac:dyDescent="0.3">
      <c r="A560" t="s">
        <v>603</v>
      </c>
      <c r="B560" t="s">
        <v>38</v>
      </c>
      <c r="C560" t="s">
        <v>19</v>
      </c>
      <c r="D560">
        <v>9946.27</v>
      </c>
      <c r="E560">
        <v>1</v>
      </c>
      <c r="F560">
        <v>9946.27</v>
      </c>
      <c r="G560" s="1">
        <v>45645</v>
      </c>
      <c r="H560" t="s">
        <v>47</v>
      </c>
      <c r="I560">
        <v>1.1000000000000001</v>
      </c>
    </row>
    <row r="561" spans="1:9" x14ac:dyDescent="0.3">
      <c r="A561" t="s">
        <v>604</v>
      </c>
      <c r="B561" t="s">
        <v>54</v>
      </c>
      <c r="C561" t="s">
        <v>15</v>
      </c>
      <c r="D561">
        <v>7994.76</v>
      </c>
      <c r="E561">
        <v>5</v>
      </c>
      <c r="F561">
        <v>39973.800000000003</v>
      </c>
      <c r="G561" s="1">
        <v>45558</v>
      </c>
      <c r="H561" t="s">
        <v>12</v>
      </c>
      <c r="I561">
        <v>1.5</v>
      </c>
    </row>
    <row r="562" spans="1:9" x14ac:dyDescent="0.3">
      <c r="A562" t="s">
        <v>605</v>
      </c>
      <c r="B562" t="s">
        <v>24</v>
      </c>
      <c r="C562" t="s">
        <v>25</v>
      </c>
      <c r="D562">
        <v>6341.62</v>
      </c>
      <c r="E562">
        <v>3</v>
      </c>
      <c r="F562">
        <v>19024.86</v>
      </c>
      <c r="G562" s="1">
        <v>45632</v>
      </c>
      <c r="H562" t="s">
        <v>47</v>
      </c>
      <c r="I562">
        <v>4.4000000000000004</v>
      </c>
    </row>
    <row r="563" spans="1:9" x14ac:dyDescent="0.3">
      <c r="A563" t="s">
        <v>606</v>
      </c>
      <c r="B563" t="s">
        <v>14</v>
      </c>
      <c r="C563" t="s">
        <v>15</v>
      </c>
      <c r="D563">
        <v>37503.57</v>
      </c>
      <c r="E563">
        <v>4</v>
      </c>
      <c r="F563">
        <v>150014.28</v>
      </c>
      <c r="G563" s="1">
        <v>45385</v>
      </c>
      <c r="H563" t="s">
        <v>42</v>
      </c>
      <c r="I563">
        <v>1.8</v>
      </c>
    </row>
    <row r="564" spans="1:9" x14ac:dyDescent="0.3">
      <c r="A564" t="s">
        <v>607</v>
      </c>
      <c r="B564" t="s">
        <v>93</v>
      </c>
      <c r="C564" t="s">
        <v>11</v>
      </c>
      <c r="D564">
        <v>36760.35</v>
      </c>
      <c r="E564">
        <v>1</v>
      </c>
      <c r="F564">
        <v>36760.35</v>
      </c>
      <c r="G564" s="1">
        <v>45531</v>
      </c>
      <c r="H564" t="s">
        <v>47</v>
      </c>
      <c r="I564">
        <v>1.5</v>
      </c>
    </row>
    <row r="565" spans="1:9" x14ac:dyDescent="0.3">
      <c r="A565" t="s">
        <v>608</v>
      </c>
      <c r="B565" t="s">
        <v>34</v>
      </c>
      <c r="C565" t="s">
        <v>15</v>
      </c>
      <c r="D565">
        <v>38023.86</v>
      </c>
      <c r="E565">
        <v>5</v>
      </c>
      <c r="F565">
        <v>190119.3</v>
      </c>
      <c r="G565" s="1">
        <v>45495</v>
      </c>
      <c r="H565" t="s">
        <v>47</v>
      </c>
      <c r="I565">
        <v>2.1</v>
      </c>
    </row>
    <row r="566" spans="1:9" x14ac:dyDescent="0.3">
      <c r="A566" t="s">
        <v>609</v>
      </c>
      <c r="B566" t="s">
        <v>151</v>
      </c>
      <c r="C566" t="s">
        <v>15</v>
      </c>
      <c r="D566">
        <v>17983.34</v>
      </c>
      <c r="E566">
        <v>1</v>
      </c>
      <c r="F566">
        <v>17983.34</v>
      </c>
      <c r="G566" s="1">
        <v>45342</v>
      </c>
      <c r="H566" t="s">
        <v>42</v>
      </c>
      <c r="I566">
        <v>1.5</v>
      </c>
    </row>
    <row r="567" spans="1:9" x14ac:dyDescent="0.3">
      <c r="A567" t="s">
        <v>610</v>
      </c>
      <c r="B567" t="s">
        <v>60</v>
      </c>
      <c r="C567" t="s">
        <v>25</v>
      </c>
      <c r="D567">
        <v>25457.34</v>
      </c>
      <c r="E567">
        <v>5</v>
      </c>
      <c r="F567">
        <v>127286.7</v>
      </c>
      <c r="G567" s="1">
        <v>45423</v>
      </c>
      <c r="H567" t="s">
        <v>16</v>
      </c>
      <c r="I567">
        <v>4.3</v>
      </c>
    </row>
    <row r="568" spans="1:9" x14ac:dyDescent="0.3">
      <c r="A568" t="s">
        <v>611</v>
      </c>
      <c r="B568" t="s">
        <v>100</v>
      </c>
      <c r="C568" t="s">
        <v>11</v>
      </c>
      <c r="D568">
        <v>26220.67</v>
      </c>
      <c r="E568">
        <v>4</v>
      </c>
      <c r="F568">
        <v>104882.68</v>
      </c>
      <c r="G568" s="1">
        <v>45412</v>
      </c>
      <c r="H568" t="s">
        <v>56</v>
      </c>
      <c r="I568">
        <v>3.3</v>
      </c>
    </row>
    <row r="569" spans="1:9" x14ac:dyDescent="0.3">
      <c r="A569" t="s">
        <v>612</v>
      </c>
      <c r="B569" t="s">
        <v>10</v>
      </c>
      <c r="C569" t="s">
        <v>11</v>
      </c>
      <c r="D569">
        <v>48670.07</v>
      </c>
      <c r="E569">
        <v>1</v>
      </c>
      <c r="F569">
        <v>48670.07</v>
      </c>
      <c r="G569" s="1">
        <v>45689</v>
      </c>
      <c r="H569" t="s">
        <v>16</v>
      </c>
      <c r="I569">
        <v>4.2</v>
      </c>
    </row>
    <row r="570" spans="1:9" x14ac:dyDescent="0.3">
      <c r="A570" t="s">
        <v>613</v>
      </c>
      <c r="B570" t="s">
        <v>44</v>
      </c>
      <c r="C570" t="s">
        <v>22</v>
      </c>
      <c r="D570">
        <v>12197.36</v>
      </c>
      <c r="E570">
        <v>5</v>
      </c>
      <c r="F570">
        <v>60986.8</v>
      </c>
      <c r="G570" s="1">
        <v>45667</v>
      </c>
      <c r="H570" t="s">
        <v>12</v>
      </c>
      <c r="I570">
        <v>3.5</v>
      </c>
    </row>
    <row r="571" spans="1:9" x14ac:dyDescent="0.3">
      <c r="A571" t="s">
        <v>614</v>
      </c>
      <c r="B571" t="s">
        <v>36</v>
      </c>
      <c r="C571" t="s">
        <v>22</v>
      </c>
      <c r="D571">
        <v>14488.22</v>
      </c>
      <c r="E571">
        <v>4</v>
      </c>
      <c r="F571">
        <v>57952.88</v>
      </c>
      <c r="G571" s="1">
        <v>45651</v>
      </c>
      <c r="H571" t="s">
        <v>56</v>
      </c>
      <c r="I571">
        <v>2.7</v>
      </c>
    </row>
    <row r="572" spans="1:9" x14ac:dyDescent="0.3">
      <c r="A572" t="s">
        <v>615</v>
      </c>
      <c r="B572" t="s">
        <v>32</v>
      </c>
      <c r="C572" t="s">
        <v>25</v>
      </c>
      <c r="D572">
        <v>33547.94</v>
      </c>
      <c r="E572">
        <v>2</v>
      </c>
      <c r="F572">
        <v>67095.88</v>
      </c>
      <c r="G572" s="1">
        <v>45672</v>
      </c>
      <c r="H572" t="s">
        <v>56</v>
      </c>
      <c r="I572">
        <v>1.1000000000000001</v>
      </c>
    </row>
    <row r="573" spans="1:9" x14ac:dyDescent="0.3">
      <c r="A573" t="s">
        <v>616</v>
      </c>
      <c r="B573" t="s">
        <v>30</v>
      </c>
      <c r="C573" t="s">
        <v>15</v>
      </c>
      <c r="D573">
        <v>4800.26</v>
      </c>
      <c r="E573">
        <v>5</v>
      </c>
      <c r="F573">
        <v>24001.3</v>
      </c>
      <c r="G573" s="1">
        <v>45374</v>
      </c>
      <c r="H573" t="s">
        <v>16</v>
      </c>
      <c r="I573">
        <v>2.2000000000000002</v>
      </c>
    </row>
    <row r="574" spans="1:9" x14ac:dyDescent="0.3">
      <c r="A574" t="s">
        <v>617</v>
      </c>
      <c r="B574" t="s">
        <v>24</v>
      </c>
      <c r="C574" t="s">
        <v>25</v>
      </c>
      <c r="D574">
        <v>36429.57</v>
      </c>
      <c r="E574">
        <v>4</v>
      </c>
      <c r="F574">
        <v>145718.28</v>
      </c>
      <c r="G574" s="1">
        <v>45390</v>
      </c>
      <c r="H574" t="s">
        <v>47</v>
      </c>
      <c r="I574">
        <v>4.5999999999999996</v>
      </c>
    </row>
    <row r="575" spans="1:9" x14ac:dyDescent="0.3">
      <c r="A575" t="s">
        <v>618</v>
      </c>
      <c r="B575" t="s">
        <v>36</v>
      </c>
      <c r="C575" t="s">
        <v>22</v>
      </c>
      <c r="D575">
        <v>29775.43</v>
      </c>
      <c r="E575">
        <v>4</v>
      </c>
      <c r="F575">
        <v>119101.72</v>
      </c>
      <c r="G575" s="1">
        <v>45339</v>
      </c>
      <c r="H575" t="s">
        <v>12</v>
      </c>
      <c r="I575">
        <v>4.5999999999999996</v>
      </c>
    </row>
    <row r="576" spans="1:9" x14ac:dyDescent="0.3">
      <c r="A576" t="s">
        <v>619</v>
      </c>
      <c r="B576" t="s">
        <v>38</v>
      </c>
      <c r="C576" t="s">
        <v>19</v>
      </c>
      <c r="D576">
        <v>10736.32</v>
      </c>
      <c r="E576">
        <v>3</v>
      </c>
      <c r="F576">
        <v>32208.959999999999</v>
      </c>
      <c r="G576" s="1">
        <v>45488</v>
      </c>
      <c r="H576" t="s">
        <v>16</v>
      </c>
      <c r="I576">
        <v>3.7</v>
      </c>
    </row>
    <row r="577" spans="1:9" x14ac:dyDescent="0.3">
      <c r="A577" t="s">
        <v>620</v>
      </c>
      <c r="B577" t="s">
        <v>100</v>
      </c>
      <c r="C577" t="s">
        <v>11</v>
      </c>
      <c r="D577">
        <v>8005.02</v>
      </c>
      <c r="E577">
        <v>5</v>
      </c>
      <c r="F577">
        <v>40025.1</v>
      </c>
      <c r="G577" s="1">
        <v>45422</v>
      </c>
      <c r="H577" t="s">
        <v>16</v>
      </c>
      <c r="I577">
        <v>2.5</v>
      </c>
    </row>
    <row r="578" spans="1:9" x14ac:dyDescent="0.3">
      <c r="A578" t="s">
        <v>621</v>
      </c>
      <c r="B578" t="s">
        <v>38</v>
      </c>
      <c r="C578" t="s">
        <v>19</v>
      </c>
      <c r="D578">
        <v>32078.48</v>
      </c>
      <c r="E578">
        <v>3</v>
      </c>
      <c r="F578">
        <v>96235.44</v>
      </c>
      <c r="G578" s="1">
        <v>45378</v>
      </c>
      <c r="H578" t="s">
        <v>47</v>
      </c>
      <c r="I578">
        <v>4.5</v>
      </c>
    </row>
    <row r="579" spans="1:9" x14ac:dyDescent="0.3">
      <c r="A579" t="s">
        <v>622</v>
      </c>
      <c r="B579" t="s">
        <v>21</v>
      </c>
      <c r="C579" t="s">
        <v>22</v>
      </c>
      <c r="D579">
        <v>31277.18</v>
      </c>
      <c r="E579">
        <v>1</v>
      </c>
      <c r="F579">
        <v>31277.18</v>
      </c>
      <c r="G579" s="1">
        <v>45545</v>
      </c>
      <c r="H579" t="s">
        <v>12</v>
      </c>
      <c r="I579">
        <v>3</v>
      </c>
    </row>
    <row r="580" spans="1:9" x14ac:dyDescent="0.3">
      <c r="A580" t="s">
        <v>623</v>
      </c>
      <c r="B580" t="s">
        <v>82</v>
      </c>
      <c r="C580" t="s">
        <v>22</v>
      </c>
      <c r="D580">
        <v>31094.13</v>
      </c>
      <c r="E580">
        <v>1</v>
      </c>
      <c r="F580">
        <v>31094.13</v>
      </c>
      <c r="G580" s="1">
        <v>45599</v>
      </c>
      <c r="H580" t="s">
        <v>16</v>
      </c>
      <c r="I580">
        <v>2.7</v>
      </c>
    </row>
    <row r="581" spans="1:9" x14ac:dyDescent="0.3">
      <c r="A581" t="s">
        <v>624</v>
      </c>
      <c r="B581" t="s">
        <v>46</v>
      </c>
      <c r="C581" t="s">
        <v>11</v>
      </c>
      <c r="D581">
        <v>15881.67</v>
      </c>
      <c r="E581">
        <v>4</v>
      </c>
      <c r="F581">
        <v>63526.68</v>
      </c>
      <c r="G581" s="1">
        <v>45676</v>
      </c>
      <c r="H581" t="s">
        <v>28</v>
      </c>
      <c r="I581">
        <v>4.3</v>
      </c>
    </row>
    <row r="582" spans="1:9" x14ac:dyDescent="0.3">
      <c r="A582" t="s">
        <v>625</v>
      </c>
      <c r="B582" t="s">
        <v>34</v>
      </c>
      <c r="C582" t="s">
        <v>15</v>
      </c>
      <c r="D582">
        <v>16129.77</v>
      </c>
      <c r="E582">
        <v>4</v>
      </c>
      <c r="F582">
        <v>64519.08</v>
      </c>
      <c r="G582" s="1">
        <v>45462</v>
      </c>
      <c r="H582" t="s">
        <v>12</v>
      </c>
      <c r="I582">
        <v>1</v>
      </c>
    </row>
    <row r="583" spans="1:9" x14ac:dyDescent="0.3">
      <c r="A583" t="s">
        <v>626</v>
      </c>
      <c r="B583" t="s">
        <v>69</v>
      </c>
      <c r="C583" t="s">
        <v>19</v>
      </c>
      <c r="D583">
        <v>39478.69</v>
      </c>
      <c r="E583">
        <v>5</v>
      </c>
      <c r="F583">
        <v>197393.45</v>
      </c>
      <c r="G583" s="1">
        <v>45620</v>
      </c>
      <c r="H583" t="s">
        <v>47</v>
      </c>
      <c r="I583">
        <v>2.7</v>
      </c>
    </row>
    <row r="584" spans="1:9" x14ac:dyDescent="0.3">
      <c r="A584" t="s">
        <v>627</v>
      </c>
      <c r="B584" t="s">
        <v>46</v>
      </c>
      <c r="C584" t="s">
        <v>11</v>
      </c>
      <c r="D584">
        <v>29635.8</v>
      </c>
      <c r="E584">
        <v>3</v>
      </c>
      <c r="F584">
        <v>88907.4</v>
      </c>
      <c r="G584" s="1">
        <v>45673</v>
      </c>
      <c r="H584" t="s">
        <v>47</v>
      </c>
      <c r="I584">
        <v>1.2</v>
      </c>
    </row>
    <row r="585" spans="1:9" x14ac:dyDescent="0.3">
      <c r="A585" t="s">
        <v>628</v>
      </c>
      <c r="B585" t="s">
        <v>21</v>
      </c>
      <c r="C585" t="s">
        <v>22</v>
      </c>
      <c r="D585">
        <v>7892.27</v>
      </c>
      <c r="E585">
        <v>2</v>
      </c>
      <c r="F585">
        <v>15784.54</v>
      </c>
      <c r="G585" s="1">
        <v>45414</v>
      </c>
      <c r="H585" t="s">
        <v>56</v>
      </c>
      <c r="I585">
        <v>1.1000000000000001</v>
      </c>
    </row>
    <row r="586" spans="1:9" x14ac:dyDescent="0.3">
      <c r="A586" t="s">
        <v>629</v>
      </c>
      <c r="B586" t="s">
        <v>36</v>
      </c>
      <c r="C586" t="s">
        <v>22</v>
      </c>
      <c r="D586">
        <v>45112.24</v>
      </c>
      <c r="E586">
        <v>3</v>
      </c>
      <c r="F586">
        <v>135336.72</v>
      </c>
      <c r="G586" s="1">
        <v>45609</v>
      </c>
      <c r="H586" t="s">
        <v>28</v>
      </c>
      <c r="I586">
        <v>4.7</v>
      </c>
    </row>
    <row r="587" spans="1:9" x14ac:dyDescent="0.3">
      <c r="A587" t="s">
        <v>630</v>
      </c>
      <c r="B587" t="s">
        <v>14</v>
      </c>
      <c r="C587" t="s">
        <v>15</v>
      </c>
      <c r="D587">
        <v>26527.78</v>
      </c>
      <c r="E587">
        <v>4</v>
      </c>
      <c r="F587">
        <v>106111.12</v>
      </c>
      <c r="G587" s="1">
        <v>45337</v>
      </c>
      <c r="H587" t="s">
        <v>56</v>
      </c>
      <c r="I587">
        <v>3.7</v>
      </c>
    </row>
    <row r="588" spans="1:9" x14ac:dyDescent="0.3">
      <c r="A588" t="s">
        <v>631</v>
      </c>
      <c r="B588" t="s">
        <v>24</v>
      </c>
      <c r="C588" t="s">
        <v>25</v>
      </c>
      <c r="D588">
        <v>37170.400000000001</v>
      </c>
      <c r="E588">
        <v>5</v>
      </c>
      <c r="F588">
        <v>185852</v>
      </c>
      <c r="G588" s="1">
        <v>45420</v>
      </c>
      <c r="H588" t="s">
        <v>12</v>
      </c>
      <c r="I588">
        <v>3.7</v>
      </c>
    </row>
    <row r="589" spans="1:9" x14ac:dyDescent="0.3">
      <c r="A589" t="s">
        <v>632</v>
      </c>
      <c r="B589" t="s">
        <v>14</v>
      </c>
      <c r="C589" t="s">
        <v>15</v>
      </c>
      <c r="D589">
        <v>47535.79</v>
      </c>
      <c r="E589">
        <v>5</v>
      </c>
      <c r="F589">
        <v>237678.95</v>
      </c>
      <c r="G589" s="1">
        <v>45337</v>
      </c>
      <c r="H589" t="s">
        <v>12</v>
      </c>
      <c r="I589">
        <v>1.8</v>
      </c>
    </row>
    <row r="590" spans="1:9" x14ac:dyDescent="0.3">
      <c r="A590" t="s">
        <v>633</v>
      </c>
      <c r="B590" t="s">
        <v>60</v>
      </c>
      <c r="C590" t="s">
        <v>25</v>
      </c>
      <c r="D590">
        <v>30252.89</v>
      </c>
      <c r="E590">
        <v>4</v>
      </c>
      <c r="F590">
        <v>121011.56</v>
      </c>
      <c r="G590" s="1">
        <v>45642</v>
      </c>
      <c r="H590" t="s">
        <v>28</v>
      </c>
      <c r="I590">
        <v>4.0999999999999996</v>
      </c>
    </row>
    <row r="591" spans="1:9" x14ac:dyDescent="0.3">
      <c r="A591" t="s">
        <v>634</v>
      </c>
      <c r="B591" t="s">
        <v>30</v>
      </c>
      <c r="C591" t="s">
        <v>15</v>
      </c>
      <c r="D591">
        <v>3126.9</v>
      </c>
      <c r="E591">
        <v>3</v>
      </c>
      <c r="F591">
        <v>9380.7000000000007</v>
      </c>
      <c r="G591" s="1">
        <v>45595</v>
      </c>
      <c r="H591" t="s">
        <v>42</v>
      </c>
      <c r="I591">
        <v>1.9</v>
      </c>
    </row>
    <row r="592" spans="1:9" x14ac:dyDescent="0.3">
      <c r="A592" t="s">
        <v>635</v>
      </c>
      <c r="B592" t="s">
        <v>100</v>
      </c>
      <c r="C592" t="s">
        <v>11</v>
      </c>
      <c r="D592">
        <v>40295.47</v>
      </c>
      <c r="E592">
        <v>3</v>
      </c>
      <c r="F592">
        <v>120886.41</v>
      </c>
      <c r="G592" s="1">
        <v>45411</v>
      </c>
      <c r="H592" t="s">
        <v>16</v>
      </c>
      <c r="I592">
        <v>2.8</v>
      </c>
    </row>
    <row r="593" spans="1:9" x14ac:dyDescent="0.3">
      <c r="A593" t="s">
        <v>636</v>
      </c>
      <c r="B593" t="s">
        <v>38</v>
      </c>
      <c r="C593" t="s">
        <v>19</v>
      </c>
      <c r="D593">
        <v>462</v>
      </c>
      <c r="E593">
        <v>4</v>
      </c>
      <c r="F593">
        <v>1848</v>
      </c>
      <c r="G593" s="1">
        <v>45461</v>
      </c>
      <c r="H593" t="s">
        <v>42</v>
      </c>
      <c r="I593">
        <v>3.4</v>
      </c>
    </row>
    <row r="594" spans="1:9" x14ac:dyDescent="0.3">
      <c r="A594" t="s">
        <v>637</v>
      </c>
      <c r="B594" t="s">
        <v>40</v>
      </c>
      <c r="C594" t="s">
        <v>19</v>
      </c>
      <c r="D594">
        <v>22475.54</v>
      </c>
      <c r="E594">
        <v>3</v>
      </c>
      <c r="F594">
        <v>67426.62</v>
      </c>
      <c r="G594" s="1">
        <v>45366</v>
      </c>
      <c r="H594" t="s">
        <v>16</v>
      </c>
      <c r="I594">
        <v>1.6</v>
      </c>
    </row>
    <row r="595" spans="1:9" x14ac:dyDescent="0.3">
      <c r="A595" t="s">
        <v>638</v>
      </c>
      <c r="B595" t="s">
        <v>82</v>
      </c>
      <c r="C595" t="s">
        <v>22</v>
      </c>
      <c r="D595">
        <v>19218.55</v>
      </c>
      <c r="E595">
        <v>2</v>
      </c>
      <c r="F595">
        <v>38437.1</v>
      </c>
      <c r="G595" s="1">
        <v>45555</v>
      </c>
      <c r="H595" t="s">
        <v>28</v>
      </c>
      <c r="I595">
        <v>4.5</v>
      </c>
    </row>
    <row r="596" spans="1:9" x14ac:dyDescent="0.3">
      <c r="A596" t="s">
        <v>639</v>
      </c>
      <c r="B596" t="s">
        <v>21</v>
      </c>
      <c r="C596" t="s">
        <v>22</v>
      </c>
      <c r="D596">
        <v>31162.39</v>
      </c>
      <c r="E596">
        <v>5</v>
      </c>
      <c r="F596">
        <v>155811.95000000001</v>
      </c>
      <c r="G596" s="1">
        <v>45398</v>
      </c>
      <c r="H596" t="s">
        <v>47</v>
      </c>
      <c r="I596">
        <v>3.4</v>
      </c>
    </row>
    <row r="597" spans="1:9" x14ac:dyDescent="0.3">
      <c r="A597" t="s">
        <v>640</v>
      </c>
      <c r="B597" t="s">
        <v>69</v>
      </c>
      <c r="C597" t="s">
        <v>19</v>
      </c>
      <c r="D597">
        <v>16017.54</v>
      </c>
      <c r="E597">
        <v>1</v>
      </c>
      <c r="F597">
        <v>16017.54</v>
      </c>
      <c r="G597" s="1">
        <v>45458</v>
      </c>
      <c r="H597" t="s">
        <v>16</v>
      </c>
      <c r="I597">
        <v>3.5</v>
      </c>
    </row>
    <row r="598" spans="1:9" x14ac:dyDescent="0.3">
      <c r="A598" t="s">
        <v>641</v>
      </c>
      <c r="B598" t="s">
        <v>24</v>
      </c>
      <c r="C598" t="s">
        <v>25</v>
      </c>
      <c r="D598">
        <v>19008.810000000001</v>
      </c>
      <c r="E598">
        <v>4</v>
      </c>
      <c r="F598">
        <v>76035.240000000005</v>
      </c>
      <c r="G598" s="1">
        <v>45478</v>
      </c>
      <c r="H598" t="s">
        <v>42</v>
      </c>
      <c r="I598">
        <v>4.2</v>
      </c>
    </row>
    <row r="599" spans="1:9" x14ac:dyDescent="0.3">
      <c r="A599" t="s">
        <v>642</v>
      </c>
      <c r="B599" t="s">
        <v>82</v>
      </c>
      <c r="C599" t="s">
        <v>22</v>
      </c>
      <c r="D599">
        <v>22353.43</v>
      </c>
      <c r="E599">
        <v>3</v>
      </c>
      <c r="F599">
        <v>67060.289999999994</v>
      </c>
      <c r="G599" s="1">
        <v>45628</v>
      </c>
      <c r="H599" t="s">
        <v>12</v>
      </c>
      <c r="I599">
        <v>1.3</v>
      </c>
    </row>
    <row r="600" spans="1:9" x14ac:dyDescent="0.3">
      <c r="A600" t="s">
        <v>643</v>
      </c>
      <c r="B600" t="s">
        <v>27</v>
      </c>
      <c r="C600" t="s">
        <v>25</v>
      </c>
      <c r="D600">
        <v>30122.28</v>
      </c>
      <c r="E600">
        <v>5</v>
      </c>
      <c r="F600">
        <v>150611.4</v>
      </c>
      <c r="G600" s="1">
        <v>45687</v>
      </c>
      <c r="H600" t="s">
        <v>16</v>
      </c>
      <c r="I600">
        <v>4.8</v>
      </c>
    </row>
    <row r="601" spans="1:9" x14ac:dyDescent="0.3">
      <c r="A601" t="s">
        <v>644</v>
      </c>
      <c r="B601" t="s">
        <v>36</v>
      </c>
      <c r="C601" t="s">
        <v>22</v>
      </c>
      <c r="D601">
        <v>7289.72</v>
      </c>
      <c r="E601">
        <v>5</v>
      </c>
      <c r="F601">
        <v>36448.6</v>
      </c>
      <c r="G601" s="1">
        <v>45441</v>
      </c>
      <c r="H601" t="s">
        <v>28</v>
      </c>
      <c r="I601">
        <v>1.9</v>
      </c>
    </row>
    <row r="602" spans="1:9" x14ac:dyDescent="0.3">
      <c r="A602" t="s">
        <v>645</v>
      </c>
      <c r="B602" t="s">
        <v>21</v>
      </c>
      <c r="C602" t="s">
        <v>22</v>
      </c>
      <c r="D602">
        <v>32122.43</v>
      </c>
      <c r="E602">
        <v>4</v>
      </c>
      <c r="F602">
        <v>128489.72</v>
      </c>
      <c r="G602" s="1">
        <v>45344</v>
      </c>
      <c r="H602" t="s">
        <v>42</v>
      </c>
      <c r="I602">
        <v>2.8</v>
      </c>
    </row>
    <row r="603" spans="1:9" x14ac:dyDescent="0.3">
      <c r="A603" t="s">
        <v>646</v>
      </c>
      <c r="B603" t="s">
        <v>30</v>
      </c>
      <c r="C603" t="s">
        <v>15</v>
      </c>
      <c r="D603">
        <v>43852.34</v>
      </c>
      <c r="E603">
        <v>3</v>
      </c>
      <c r="F603">
        <v>131557.01999999999</v>
      </c>
      <c r="G603" s="1">
        <v>45406</v>
      </c>
      <c r="H603" t="s">
        <v>56</v>
      </c>
      <c r="I603">
        <v>4.2</v>
      </c>
    </row>
    <row r="604" spans="1:9" x14ac:dyDescent="0.3">
      <c r="A604" t="s">
        <v>647</v>
      </c>
      <c r="B604" t="s">
        <v>60</v>
      </c>
      <c r="C604" t="s">
        <v>25</v>
      </c>
      <c r="D604">
        <v>23005.86</v>
      </c>
      <c r="E604">
        <v>1</v>
      </c>
      <c r="F604">
        <v>23005.86</v>
      </c>
      <c r="G604" s="1">
        <v>45491</v>
      </c>
      <c r="H604" t="s">
        <v>47</v>
      </c>
      <c r="I604">
        <v>4.8</v>
      </c>
    </row>
    <row r="605" spans="1:9" x14ac:dyDescent="0.3">
      <c r="A605" t="s">
        <v>648</v>
      </c>
      <c r="B605" t="s">
        <v>30</v>
      </c>
      <c r="C605" t="s">
        <v>15</v>
      </c>
      <c r="D605">
        <v>48580.6</v>
      </c>
      <c r="E605">
        <v>1</v>
      </c>
      <c r="F605">
        <v>48580.6</v>
      </c>
      <c r="G605" s="1">
        <v>45574</v>
      </c>
      <c r="H605" t="s">
        <v>16</v>
      </c>
      <c r="I605">
        <v>3</v>
      </c>
    </row>
    <row r="606" spans="1:9" x14ac:dyDescent="0.3">
      <c r="A606" t="s">
        <v>649</v>
      </c>
      <c r="B606" t="s">
        <v>18</v>
      </c>
      <c r="C606" t="s">
        <v>19</v>
      </c>
      <c r="D606">
        <v>10320.870000000001</v>
      </c>
      <c r="E606">
        <v>5</v>
      </c>
      <c r="F606">
        <v>51604.35</v>
      </c>
      <c r="G606" s="1">
        <v>45693</v>
      </c>
      <c r="H606" t="s">
        <v>28</v>
      </c>
      <c r="I606">
        <v>2.8</v>
      </c>
    </row>
    <row r="607" spans="1:9" x14ac:dyDescent="0.3">
      <c r="A607" t="s">
        <v>650</v>
      </c>
      <c r="B607" t="s">
        <v>24</v>
      </c>
      <c r="C607" t="s">
        <v>25</v>
      </c>
      <c r="D607">
        <v>43149.24</v>
      </c>
      <c r="E607">
        <v>1</v>
      </c>
      <c r="F607">
        <v>43149.24</v>
      </c>
      <c r="G607" s="1">
        <v>45479</v>
      </c>
      <c r="H607" t="s">
        <v>16</v>
      </c>
      <c r="I607">
        <v>1.9</v>
      </c>
    </row>
    <row r="608" spans="1:9" x14ac:dyDescent="0.3">
      <c r="A608" t="s">
        <v>651</v>
      </c>
      <c r="B608" t="s">
        <v>100</v>
      </c>
      <c r="C608" t="s">
        <v>11</v>
      </c>
      <c r="D608">
        <v>567.80999999999995</v>
      </c>
      <c r="E608">
        <v>4</v>
      </c>
      <c r="F608">
        <v>2271.2399999999998</v>
      </c>
      <c r="G608" s="1">
        <v>45674</v>
      </c>
      <c r="H608" t="s">
        <v>28</v>
      </c>
      <c r="I608">
        <v>4.5</v>
      </c>
    </row>
    <row r="609" spans="1:9" x14ac:dyDescent="0.3">
      <c r="A609" t="s">
        <v>652</v>
      </c>
      <c r="B609" t="s">
        <v>46</v>
      </c>
      <c r="C609" t="s">
        <v>11</v>
      </c>
      <c r="D609">
        <v>6705.43</v>
      </c>
      <c r="E609">
        <v>5</v>
      </c>
      <c r="F609">
        <v>33527.15</v>
      </c>
      <c r="G609" s="1">
        <v>45536</v>
      </c>
      <c r="H609" t="s">
        <v>28</v>
      </c>
      <c r="I609">
        <v>4.5</v>
      </c>
    </row>
    <row r="610" spans="1:9" x14ac:dyDescent="0.3">
      <c r="A610" t="s">
        <v>653</v>
      </c>
      <c r="B610" t="s">
        <v>54</v>
      </c>
      <c r="C610" t="s">
        <v>15</v>
      </c>
      <c r="D610">
        <v>29974.35</v>
      </c>
      <c r="E610">
        <v>5</v>
      </c>
      <c r="F610">
        <v>149871.75</v>
      </c>
      <c r="G610" s="1">
        <v>45658</v>
      </c>
      <c r="H610" t="s">
        <v>28</v>
      </c>
      <c r="I610">
        <v>3.1</v>
      </c>
    </row>
    <row r="611" spans="1:9" x14ac:dyDescent="0.3">
      <c r="A611" t="s">
        <v>654</v>
      </c>
      <c r="B611" t="s">
        <v>36</v>
      </c>
      <c r="C611" t="s">
        <v>22</v>
      </c>
      <c r="D611">
        <v>5739.3</v>
      </c>
      <c r="E611">
        <v>4</v>
      </c>
      <c r="F611">
        <v>22957.200000000001</v>
      </c>
      <c r="G611" s="1">
        <v>45488</v>
      </c>
      <c r="H611" t="s">
        <v>47</v>
      </c>
      <c r="I611">
        <v>4.5999999999999996</v>
      </c>
    </row>
    <row r="612" spans="1:9" x14ac:dyDescent="0.3">
      <c r="A612" t="s">
        <v>655</v>
      </c>
      <c r="B612" t="s">
        <v>14</v>
      </c>
      <c r="C612" t="s">
        <v>15</v>
      </c>
      <c r="D612">
        <v>21417.72</v>
      </c>
      <c r="E612">
        <v>4</v>
      </c>
      <c r="F612">
        <v>85670.88</v>
      </c>
      <c r="G612" s="1">
        <v>45493</v>
      </c>
      <c r="H612" t="s">
        <v>12</v>
      </c>
      <c r="I612">
        <v>4.5</v>
      </c>
    </row>
    <row r="613" spans="1:9" x14ac:dyDescent="0.3">
      <c r="A613" t="s">
        <v>656</v>
      </c>
      <c r="B613" t="s">
        <v>32</v>
      </c>
      <c r="C613" t="s">
        <v>25</v>
      </c>
      <c r="D613">
        <v>25404.68</v>
      </c>
      <c r="E613">
        <v>4</v>
      </c>
      <c r="F613">
        <v>101618.72</v>
      </c>
      <c r="G613" s="1">
        <v>45668</v>
      </c>
      <c r="H613" t="s">
        <v>47</v>
      </c>
      <c r="I613">
        <v>4.5999999999999996</v>
      </c>
    </row>
    <row r="614" spans="1:9" x14ac:dyDescent="0.3">
      <c r="A614" t="s">
        <v>657</v>
      </c>
      <c r="B614" t="s">
        <v>27</v>
      </c>
      <c r="C614" t="s">
        <v>25</v>
      </c>
      <c r="D614">
        <v>27582.01</v>
      </c>
      <c r="E614">
        <v>2</v>
      </c>
      <c r="F614">
        <v>55164.02</v>
      </c>
      <c r="G614" s="1">
        <v>45335</v>
      </c>
      <c r="H614" t="s">
        <v>12</v>
      </c>
      <c r="I614">
        <v>1.5</v>
      </c>
    </row>
    <row r="615" spans="1:9" x14ac:dyDescent="0.3">
      <c r="A615" t="s">
        <v>658</v>
      </c>
      <c r="B615" t="s">
        <v>60</v>
      </c>
      <c r="C615" t="s">
        <v>25</v>
      </c>
      <c r="D615">
        <v>23584.89</v>
      </c>
      <c r="E615">
        <v>3</v>
      </c>
      <c r="F615">
        <v>70754.67</v>
      </c>
      <c r="G615" s="1">
        <v>45480</v>
      </c>
      <c r="H615" t="s">
        <v>28</v>
      </c>
      <c r="I615">
        <v>4.0999999999999996</v>
      </c>
    </row>
    <row r="616" spans="1:9" x14ac:dyDescent="0.3">
      <c r="A616" t="s">
        <v>659</v>
      </c>
      <c r="B616" t="s">
        <v>10</v>
      </c>
      <c r="C616" t="s">
        <v>11</v>
      </c>
      <c r="D616">
        <v>24444.89</v>
      </c>
      <c r="E616">
        <v>3</v>
      </c>
      <c r="F616">
        <v>73334.67</v>
      </c>
      <c r="G616" s="1">
        <v>45533</v>
      </c>
      <c r="H616" t="s">
        <v>28</v>
      </c>
      <c r="I616">
        <v>1.2</v>
      </c>
    </row>
    <row r="617" spans="1:9" x14ac:dyDescent="0.3">
      <c r="A617" t="s">
        <v>660</v>
      </c>
      <c r="B617" t="s">
        <v>151</v>
      </c>
      <c r="C617" t="s">
        <v>15</v>
      </c>
      <c r="D617">
        <v>8080.22</v>
      </c>
      <c r="E617">
        <v>2</v>
      </c>
      <c r="F617">
        <v>16160.44</v>
      </c>
      <c r="G617" s="1">
        <v>45358</v>
      </c>
      <c r="H617" t="s">
        <v>12</v>
      </c>
      <c r="I617">
        <v>3.6</v>
      </c>
    </row>
    <row r="618" spans="1:9" x14ac:dyDescent="0.3">
      <c r="A618" t="s">
        <v>661</v>
      </c>
      <c r="B618" t="s">
        <v>40</v>
      </c>
      <c r="C618" t="s">
        <v>19</v>
      </c>
      <c r="D618">
        <v>27860.799999999999</v>
      </c>
      <c r="E618">
        <v>2</v>
      </c>
      <c r="F618">
        <v>55721.599999999999</v>
      </c>
      <c r="G618" s="1">
        <v>45487</v>
      </c>
      <c r="H618" t="s">
        <v>47</v>
      </c>
      <c r="I618">
        <v>2.6</v>
      </c>
    </row>
    <row r="619" spans="1:9" x14ac:dyDescent="0.3">
      <c r="A619" t="s">
        <v>662</v>
      </c>
      <c r="B619" t="s">
        <v>93</v>
      </c>
      <c r="C619" t="s">
        <v>11</v>
      </c>
      <c r="D619">
        <v>30468.47</v>
      </c>
      <c r="E619">
        <v>3</v>
      </c>
      <c r="F619">
        <v>91405.41</v>
      </c>
      <c r="G619" s="1">
        <v>45470</v>
      </c>
      <c r="H619" t="s">
        <v>47</v>
      </c>
      <c r="I619">
        <v>1.7</v>
      </c>
    </row>
    <row r="620" spans="1:9" x14ac:dyDescent="0.3">
      <c r="A620" t="s">
        <v>663</v>
      </c>
      <c r="B620" t="s">
        <v>40</v>
      </c>
      <c r="C620" t="s">
        <v>19</v>
      </c>
      <c r="D620">
        <v>7718.78</v>
      </c>
      <c r="E620">
        <v>1</v>
      </c>
      <c r="F620">
        <v>7718.78</v>
      </c>
      <c r="G620" s="1">
        <v>45654</v>
      </c>
      <c r="H620" t="s">
        <v>12</v>
      </c>
      <c r="I620">
        <v>1.1000000000000001</v>
      </c>
    </row>
    <row r="621" spans="1:9" x14ac:dyDescent="0.3">
      <c r="A621" t="s">
        <v>664</v>
      </c>
      <c r="B621" t="s">
        <v>18</v>
      </c>
      <c r="C621" t="s">
        <v>19</v>
      </c>
      <c r="D621">
        <v>34866.42</v>
      </c>
      <c r="E621">
        <v>1</v>
      </c>
      <c r="F621">
        <v>34866.42</v>
      </c>
      <c r="G621" s="1">
        <v>45644</v>
      </c>
      <c r="H621" t="s">
        <v>42</v>
      </c>
      <c r="I621">
        <v>3.6</v>
      </c>
    </row>
    <row r="622" spans="1:9" x14ac:dyDescent="0.3">
      <c r="A622" t="s">
        <v>665</v>
      </c>
      <c r="B622" t="s">
        <v>30</v>
      </c>
      <c r="C622" t="s">
        <v>15</v>
      </c>
      <c r="D622">
        <v>5369.5</v>
      </c>
      <c r="E622">
        <v>1</v>
      </c>
      <c r="F622">
        <v>5369.5</v>
      </c>
      <c r="G622" s="1">
        <v>45574</v>
      </c>
      <c r="H622" t="s">
        <v>42</v>
      </c>
      <c r="I622">
        <v>3.2</v>
      </c>
    </row>
    <row r="623" spans="1:9" x14ac:dyDescent="0.3">
      <c r="A623" t="s">
        <v>666</v>
      </c>
      <c r="B623" t="s">
        <v>38</v>
      </c>
      <c r="C623" t="s">
        <v>19</v>
      </c>
      <c r="D623">
        <v>18338.759999999998</v>
      </c>
      <c r="E623">
        <v>5</v>
      </c>
      <c r="F623">
        <v>91693.8</v>
      </c>
      <c r="G623" s="1">
        <v>45337</v>
      </c>
      <c r="H623" t="s">
        <v>28</v>
      </c>
      <c r="I623">
        <v>4</v>
      </c>
    </row>
    <row r="624" spans="1:9" x14ac:dyDescent="0.3">
      <c r="A624" t="s">
        <v>667</v>
      </c>
      <c r="B624" t="s">
        <v>82</v>
      </c>
      <c r="C624" t="s">
        <v>22</v>
      </c>
      <c r="D624">
        <v>48287.49</v>
      </c>
      <c r="E624">
        <v>4</v>
      </c>
      <c r="F624">
        <v>193149.96</v>
      </c>
      <c r="G624" s="1">
        <v>45624</v>
      </c>
      <c r="H624" t="s">
        <v>16</v>
      </c>
      <c r="I624">
        <v>1.1000000000000001</v>
      </c>
    </row>
    <row r="625" spans="1:9" x14ac:dyDescent="0.3">
      <c r="A625" t="s">
        <v>668</v>
      </c>
      <c r="B625" t="s">
        <v>54</v>
      </c>
      <c r="C625" t="s">
        <v>15</v>
      </c>
      <c r="D625">
        <v>18161.009999999998</v>
      </c>
      <c r="E625">
        <v>4</v>
      </c>
      <c r="F625">
        <v>72644.039999999994</v>
      </c>
      <c r="G625" s="1">
        <v>45486</v>
      </c>
      <c r="H625" t="s">
        <v>47</v>
      </c>
      <c r="I625">
        <v>2.2999999999999998</v>
      </c>
    </row>
    <row r="626" spans="1:9" x14ac:dyDescent="0.3">
      <c r="A626" t="s">
        <v>669</v>
      </c>
      <c r="B626" t="s">
        <v>14</v>
      </c>
      <c r="C626" t="s">
        <v>15</v>
      </c>
      <c r="D626">
        <v>21064.01</v>
      </c>
      <c r="E626">
        <v>3</v>
      </c>
      <c r="F626">
        <v>63192.03</v>
      </c>
      <c r="G626" s="1">
        <v>45487</v>
      </c>
      <c r="H626" t="s">
        <v>56</v>
      </c>
      <c r="I626">
        <v>1.9</v>
      </c>
    </row>
    <row r="627" spans="1:9" x14ac:dyDescent="0.3">
      <c r="A627" t="s">
        <v>670</v>
      </c>
      <c r="B627" t="s">
        <v>93</v>
      </c>
      <c r="C627" t="s">
        <v>11</v>
      </c>
      <c r="D627">
        <v>8598.2199999999993</v>
      </c>
      <c r="E627">
        <v>5</v>
      </c>
      <c r="F627">
        <v>42991.1</v>
      </c>
      <c r="G627" s="1">
        <v>45695</v>
      </c>
      <c r="H627" t="s">
        <v>16</v>
      </c>
      <c r="I627">
        <v>1.4</v>
      </c>
    </row>
    <row r="628" spans="1:9" x14ac:dyDescent="0.3">
      <c r="A628" t="s">
        <v>671</v>
      </c>
      <c r="B628" t="s">
        <v>21</v>
      </c>
      <c r="C628" t="s">
        <v>22</v>
      </c>
      <c r="D628">
        <v>27897.4</v>
      </c>
      <c r="E628">
        <v>2</v>
      </c>
      <c r="F628">
        <v>55794.8</v>
      </c>
      <c r="G628" s="1">
        <v>45601</v>
      </c>
      <c r="H628" t="s">
        <v>42</v>
      </c>
      <c r="I628">
        <v>1.8</v>
      </c>
    </row>
    <row r="629" spans="1:9" x14ac:dyDescent="0.3">
      <c r="A629" t="s">
        <v>672</v>
      </c>
      <c r="B629" t="s">
        <v>40</v>
      </c>
      <c r="C629" t="s">
        <v>19</v>
      </c>
      <c r="D629">
        <v>3153.16</v>
      </c>
      <c r="E629">
        <v>2</v>
      </c>
      <c r="F629">
        <v>6306.32</v>
      </c>
      <c r="G629" s="1">
        <v>45531</v>
      </c>
      <c r="H629" t="s">
        <v>56</v>
      </c>
      <c r="I629">
        <v>4.4000000000000004</v>
      </c>
    </row>
    <row r="630" spans="1:9" x14ac:dyDescent="0.3">
      <c r="A630" t="s">
        <v>673</v>
      </c>
      <c r="B630" t="s">
        <v>82</v>
      </c>
      <c r="C630" t="s">
        <v>22</v>
      </c>
      <c r="D630">
        <v>25634.9</v>
      </c>
      <c r="E630">
        <v>1</v>
      </c>
      <c r="F630">
        <v>25634.9</v>
      </c>
      <c r="G630" s="1">
        <v>45566</v>
      </c>
      <c r="H630" t="s">
        <v>56</v>
      </c>
      <c r="I630">
        <v>4.3</v>
      </c>
    </row>
    <row r="631" spans="1:9" x14ac:dyDescent="0.3">
      <c r="A631" t="s">
        <v>674</v>
      </c>
      <c r="B631" t="s">
        <v>44</v>
      </c>
      <c r="C631" t="s">
        <v>22</v>
      </c>
      <c r="D631">
        <v>9427.83</v>
      </c>
      <c r="E631">
        <v>3</v>
      </c>
      <c r="F631">
        <v>28283.49</v>
      </c>
      <c r="G631" s="1">
        <v>45457</v>
      </c>
      <c r="H631" t="s">
        <v>56</v>
      </c>
      <c r="I631">
        <v>4.2</v>
      </c>
    </row>
    <row r="632" spans="1:9" x14ac:dyDescent="0.3">
      <c r="A632" t="s">
        <v>675</v>
      </c>
      <c r="B632" t="s">
        <v>75</v>
      </c>
      <c r="C632" t="s">
        <v>19</v>
      </c>
      <c r="D632">
        <v>22564.13</v>
      </c>
      <c r="E632">
        <v>1</v>
      </c>
      <c r="F632">
        <v>22564.13</v>
      </c>
      <c r="G632" s="1">
        <v>45575</v>
      </c>
      <c r="H632" t="s">
        <v>28</v>
      </c>
      <c r="I632">
        <v>3.2</v>
      </c>
    </row>
    <row r="633" spans="1:9" x14ac:dyDescent="0.3">
      <c r="A633" t="s">
        <v>676</v>
      </c>
      <c r="B633" t="s">
        <v>30</v>
      </c>
      <c r="C633" t="s">
        <v>15</v>
      </c>
      <c r="D633">
        <v>47288.95</v>
      </c>
      <c r="E633">
        <v>1</v>
      </c>
      <c r="F633">
        <v>47288.95</v>
      </c>
      <c r="G633" s="1">
        <v>45667</v>
      </c>
      <c r="H633" t="s">
        <v>28</v>
      </c>
      <c r="I633">
        <v>3.1</v>
      </c>
    </row>
    <row r="634" spans="1:9" x14ac:dyDescent="0.3">
      <c r="A634" t="s">
        <v>677</v>
      </c>
      <c r="B634" t="s">
        <v>10</v>
      </c>
      <c r="C634" t="s">
        <v>11</v>
      </c>
      <c r="D634">
        <v>24537.79</v>
      </c>
      <c r="E634">
        <v>3</v>
      </c>
      <c r="F634">
        <v>73613.37</v>
      </c>
      <c r="G634" s="1">
        <v>45574</v>
      </c>
      <c r="H634" t="s">
        <v>47</v>
      </c>
      <c r="I634">
        <v>1.6</v>
      </c>
    </row>
    <row r="635" spans="1:9" x14ac:dyDescent="0.3">
      <c r="A635" t="s">
        <v>678</v>
      </c>
      <c r="B635" t="s">
        <v>21</v>
      </c>
      <c r="C635" t="s">
        <v>22</v>
      </c>
      <c r="D635">
        <v>22226.76</v>
      </c>
      <c r="E635">
        <v>5</v>
      </c>
      <c r="F635">
        <v>111133.8</v>
      </c>
      <c r="G635" s="1">
        <v>45458</v>
      </c>
      <c r="H635" t="s">
        <v>12</v>
      </c>
      <c r="I635">
        <v>4.7</v>
      </c>
    </row>
    <row r="636" spans="1:9" x14ac:dyDescent="0.3">
      <c r="A636" t="s">
        <v>679</v>
      </c>
      <c r="B636" t="s">
        <v>69</v>
      </c>
      <c r="C636" t="s">
        <v>19</v>
      </c>
      <c r="D636">
        <v>14103.34</v>
      </c>
      <c r="E636">
        <v>2</v>
      </c>
      <c r="F636">
        <v>28206.68</v>
      </c>
      <c r="G636" s="1">
        <v>45466</v>
      </c>
      <c r="H636" t="s">
        <v>42</v>
      </c>
      <c r="I636">
        <v>1.6</v>
      </c>
    </row>
    <row r="637" spans="1:9" x14ac:dyDescent="0.3">
      <c r="A637" t="s">
        <v>680</v>
      </c>
      <c r="B637" t="s">
        <v>120</v>
      </c>
      <c r="C637" t="s">
        <v>25</v>
      </c>
      <c r="D637">
        <v>19376.32</v>
      </c>
      <c r="E637">
        <v>1</v>
      </c>
      <c r="F637">
        <v>19376.32</v>
      </c>
      <c r="G637" s="1">
        <v>45557</v>
      </c>
      <c r="H637" t="s">
        <v>16</v>
      </c>
      <c r="I637">
        <v>4.5</v>
      </c>
    </row>
    <row r="638" spans="1:9" x14ac:dyDescent="0.3">
      <c r="A638" t="s">
        <v>681</v>
      </c>
      <c r="B638" t="s">
        <v>10</v>
      </c>
      <c r="C638" t="s">
        <v>11</v>
      </c>
      <c r="D638">
        <v>41619.15</v>
      </c>
      <c r="E638">
        <v>1</v>
      </c>
      <c r="F638">
        <v>41619.15</v>
      </c>
      <c r="G638" s="1">
        <v>45423</v>
      </c>
      <c r="H638" t="s">
        <v>12</v>
      </c>
      <c r="I638">
        <v>4.9000000000000004</v>
      </c>
    </row>
    <row r="639" spans="1:9" x14ac:dyDescent="0.3">
      <c r="A639" t="s">
        <v>682</v>
      </c>
      <c r="B639" t="s">
        <v>24</v>
      </c>
      <c r="C639" t="s">
        <v>25</v>
      </c>
      <c r="D639">
        <v>14084.61</v>
      </c>
      <c r="E639">
        <v>3</v>
      </c>
      <c r="F639">
        <v>42253.83</v>
      </c>
      <c r="G639" s="1">
        <v>45550</v>
      </c>
      <c r="H639" t="s">
        <v>28</v>
      </c>
      <c r="I639">
        <v>4.9000000000000004</v>
      </c>
    </row>
    <row r="640" spans="1:9" x14ac:dyDescent="0.3">
      <c r="A640" t="s">
        <v>683</v>
      </c>
      <c r="B640" t="s">
        <v>21</v>
      </c>
      <c r="C640" t="s">
        <v>22</v>
      </c>
      <c r="D640">
        <v>25935.66</v>
      </c>
      <c r="E640">
        <v>5</v>
      </c>
      <c r="F640">
        <v>129678.3</v>
      </c>
      <c r="G640" s="1">
        <v>45649</v>
      </c>
      <c r="H640" t="s">
        <v>12</v>
      </c>
      <c r="I640">
        <v>3.7</v>
      </c>
    </row>
    <row r="641" spans="1:9" x14ac:dyDescent="0.3">
      <c r="A641" t="s">
        <v>684</v>
      </c>
      <c r="B641" t="s">
        <v>21</v>
      </c>
      <c r="C641" t="s">
        <v>22</v>
      </c>
      <c r="D641">
        <v>30657.64</v>
      </c>
      <c r="E641">
        <v>5</v>
      </c>
      <c r="F641">
        <v>153288.20000000001</v>
      </c>
      <c r="G641" s="1">
        <v>45636</v>
      </c>
      <c r="H641" t="s">
        <v>56</v>
      </c>
      <c r="I641">
        <v>4.8</v>
      </c>
    </row>
    <row r="642" spans="1:9" x14ac:dyDescent="0.3">
      <c r="A642" t="s">
        <v>685</v>
      </c>
      <c r="B642" t="s">
        <v>151</v>
      </c>
      <c r="C642" t="s">
        <v>15</v>
      </c>
      <c r="D642">
        <v>13596.18</v>
      </c>
      <c r="E642">
        <v>3</v>
      </c>
      <c r="F642">
        <v>40788.54</v>
      </c>
      <c r="G642" s="1">
        <v>45479</v>
      </c>
      <c r="H642" t="s">
        <v>47</v>
      </c>
      <c r="I642">
        <v>2.9</v>
      </c>
    </row>
    <row r="643" spans="1:9" x14ac:dyDescent="0.3">
      <c r="A643" t="s">
        <v>686</v>
      </c>
      <c r="B643" t="s">
        <v>69</v>
      </c>
      <c r="C643" t="s">
        <v>19</v>
      </c>
      <c r="D643">
        <v>28379.75</v>
      </c>
      <c r="E643">
        <v>5</v>
      </c>
      <c r="F643">
        <v>141898.75</v>
      </c>
      <c r="G643" s="1">
        <v>45629</v>
      </c>
      <c r="H643" t="s">
        <v>42</v>
      </c>
      <c r="I643">
        <v>4.4000000000000004</v>
      </c>
    </row>
    <row r="644" spans="1:9" x14ac:dyDescent="0.3">
      <c r="A644" t="s">
        <v>687</v>
      </c>
      <c r="B644" t="s">
        <v>151</v>
      </c>
      <c r="C644" t="s">
        <v>15</v>
      </c>
      <c r="D644">
        <v>12422.09</v>
      </c>
      <c r="E644">
        <v>2</v>
      </c>
      <c r="F644">
        <v>24844.18</v>
      </c>
      <c r="G644" s="1">
        <v>45387</v>
      </c>
      <c r="H644" t="s">
        <v>42</v>
      </c>
      <c r="I644">
        <v>3.4</v>
      </c>
    </row>
    <row r="645" spans="1:9" x14ac:dyDescent="0.3">
      <c r="A645" t="s">
        <v>688</v>
      </c>
      <c r="B645" t="s">
        <v>75</v>
      </c>
      <c r="C645" t="s">
        <v>19</v>
      </c>
      <c r="D645">
        <v>18747.939999999999</v>
      </c>
      <c r="E645">
        <v>1</v>
      </c>
      <c r="F645">
        <v>18747.939999999999</v>
      </c>
      <c r="G645" s="1">
        <v>45596</v>
      </c>
      <c r="H645" t="s">
        <v>56</v>
      </c>
      <c r="I645">
        <v>2.2000000000000002</v>
      </c>
    </row>
    <row r="646" spans="1:9" x14ac:dyDescent="0.3">
      <c r="A646" t="s">
        <v>689</v>
      </c>
      <c r="B646" t="s">
        <v>21</v>
      </c>
      <c r="C646" t="s">
        <v>22</v>
      </c>
      <c r="D646">
        <v>35524.559999999998</v>
      </c>
      <c r="E646">
        <v>1</v>
      </c>
      <c r="F646">
        <v>35524.559999999998</v>
      </c>
      <c r="G646" s="1">
        <v>45512</v>
      </c>
      <c r="H646" t="s">
        <v>16</v>
      </c>
      <c r="I646">
        <v>2</v>
      </c>
    </row>
    <row r="647" spans="1:9" x14ac:dyDescent="0.3">
      <c r="A647" t="s">
        <v>690</v>
      </c>
      <c r="B647" t="s">
        <v>54</v>
      </c>
      <c r="C647" t="s">
        <v>15</v>
      </c>
      <c r="D647">
        <v>36454.629999999997</v>
      </c>
      <c r="E647">
        <v>1</v>
      </c>
      <c r="F647">
        <v>36454.629999999997</v>
      </c>
      <c r="G647" s="1">
        <v>45464</v>
      </c>
      <c r="H647" t="s">
        <v>16</v>
      </c>
      <c r="I647">
        <v>4.3</v>
      </c>
    </row>
    <row r="648" spans="1:9" x14ac:dyDescent="0.3">
      <c r="A648" t="s">
        <v>691</v>
      </c>
      <c r="B648" t="s">
        <v>71</v>
      </c>
      <c r="C648" t="s">
        <v>22</v>
      </c>
      <c r="D648">
        <v>23249.27</v>
      </c>
      <c r="E648">
        <v>3</v>
      </c>
      <c r="F648">
        <v>69747.81</v>
      </c>
      <c r="G648" s="1">
        <v>45563</v>
      </c>
      <c r="H648" t="s">
        <v>47</v>
      </c>
      <c r="I648">
        <v>2.2000000000000002</v>
      </c>
    </row>
    <row r="649" spans="1:9" x14ac:dyDescent="0.3">
      <c r="A649" t="s">
        <v>692</v>
      </c>
      <c r="B649" t="s">
        <v>75</v>
      </c>
      <c r="C649" t="s">
        <v>19</v>
      </c>
      <c r="D649">
        <v>48842.53</v>
      </c>
      <c r="E649">
        <v>1</v>
      </c>
      <c r="F649">
        <v>48842.53</v>
      </c>
      <c r="G649" s="1">
        <v>45424</v>
      </c>
      <c r="H649" t="s">
        <v>56</v>
      </c>
      <c r="I649">
        <v>2.7</v>
      </c>
    </row>
    <row r="650" spans="1:9" x14ac:dyDescent="0.3">
      <c r="A650" t="s">
        <v>693</v>
      </c>
      <c r="B650" t="s">
        <v>36</v>
      </c>
      <c r="C650" t="s">
        <v>22</v>
      </c>
      <c r="D650">
        <v>21881.01</v>
      </c>
      <c r="E650">
        <v>1</v>
      </c>
      <c r="F650">
        <v>21881.01</v>
      </c>
      <c r="G650" s="1">
        <v>45423</v>
      </c>
      <c r="H650" t="s">
        <v>28</v>
      </c>
      <c r="I650">
        <v>3.5</v>
      </c>
    </row>
    <row r="651" spans="1:9" x14ac:dyDescent="0.3">
      <c r="A651" t="s">
        <v>694</v>
      </c>
      <c r="B651" t="s">
        <v>10</v>
      </c>
      <c r="C651" t="s">
        <v>11</v>
      </c>
      <c r="D651">
        <v>38964.36</v>
      </c>
      <c r="E651">
        <v>5</v>
      </c>
      <c r="F651">
        <v>194821.8</v>
      </c>
      <c r="G651" s="1">
        <v>45594</v>
      </c>
      <c r="H651" t="s">
        <v>28</v>
      </c>
      <c r="I651">
        <v>3.9</v>
      </c>
    </row>
    <row r="652" spans="1:9" x14ac:dyDescent="0.3">
      <c r="A652" t="s">
        <v>695</v>
      </c>
      <c r="B652" t="s">
        <v>120</v>
      </c>
      <c r="C652" t="s">
        <v>25</v>
      </c>
      <c r="D652">
        <v>1435.38</v>
      </c>
      <c r="E652">
        <v>4</v>
      </c>
      <c r="F652">
        <v>5741.52</v>
      </c>
      <c r="G652" s="1">
        <v>45375</v>
      </c>
      <c r="H652" t="s">
        <v>16</v>
      </c>
      <c r="I652">
        <v>2</v>
      </c>
    </row>
    <row r="653" spans="1:9" x14ac:dyDescent="0.3">
      <c r="A653" t="s">
        <v>696</v>
      </c>
      <c r="B653" t="s">
        <v>71</v>
      </c>
      <c r="C653" t="s">
        <v>22</v>
      </c>
      <c r="D653">
        <v>2536.16</v>
      </c>
      <c r="E653">
        <v>5</v>
      </c>
      <c r="F653">
        <v>12680.8</v>
      </c>
      <c r="G653" s="1">
        <v>45430</v>
      </c>
      <c r="H653" t="s">
        <v>42</v>
      </c>
      <c r="I653">
        <v>1.8</v>
      </c>
    </row>
    <row r="654" spans="1:9" x14ac:dyDescent="0.3">
      <c r="A654" t="s">
        <v>697</v>
      </c>
      <c r="B654" t="s">
        <v>82</v>
      </c>
      <c r="C654" t="s">
        <v>22</v>
      </c>
      <c r="D654">
        <v>21992.38</v>
      </c>
      <c r="E654">
        <v>5</v>
      </c>
      <c r="F654">
        <v>109961.9</v>
      </c>
      <c r="G654" s="1">
        <v>45501</v>
      </c>
      <c r="H654" t="s">
        <v>12</v>
      </c>
      <c r="I654">
        <v>3.9</v>
      </c>
    </row>
    <row r="655" spans="1:9" x14ac:dyDescent="0.3">
      <c r="A655" t="s">
        <v>698</v>
      </c>
      <c r="B655" t="s">
        <v>40</v>
      </c>
      <c r="C655" t="s">
        <v>19</v>
      </c>
      <c r="D655">
        <v>20194.2</v>
      </c>
      <c r="E655">
        <v>2</v>
      </c>
      <c r="F655">
        <v>40388.400000000001</v>
      </c>
      <c r="G655" s="1">
        <v>45581</v>
      </c>
      <c r="H655" t="s">
        <v>12</v>
      </c>
      <c r="I655">
        <v>3.1</v>
      </c>
    </row>
    <row r="656" spans="1:9" x14ac:dyDescent="0.3">
      <c r="A656" t="s">
        <v>699</v>
      </c>
      <c r="B656" t="s">
        <v>34</v>
      </c>
      <c r="C656" t="s">
        <v>15</v>
      </c>
      <c r="D656">
        <v>18789.810000000001</v>
      </c>
      <c r="E656">
        <v>3</v>
      </c>
      <c r="F656">
        <v>56369.43</v>
      </c>
      <c r="G656" s="1">
        <v>45407</v>
      </c>
      <c r="H656" t="s">
        <v>12</v>
      </c>
      <c r="I656">
        <v>2</v>
      </c>
    </row>
    <row r="657" spans="1:9" x14ac:dyDescent="0.3">
      <c r="A657" t="s">
        <v>700</v>
      </c>
      <c r="B657" t="s">
        <v>71</v>
      </c>
      <c r="C657" t="s">
        <v>22</v>
      </c>
      <c r="D657">
        <v>33027.629999999997</v>
      </c>
      <c r="E657">
        <v>2</v>
      </c>
      <c r="F657">
        <v>66055.259999999995</v>
      </c>
      <c r="G657" s="1">
        <v>45535</v>
      </c>
      <c r="H657" t="s">
        <v>42</v>
      </c>
      <c r="I657">
        <v>1.5</v>
      </c>
    </row>
    <row r="658" spans="1:9" x14ac:dyDescent="0.3">
      <c r="A658" t="s">
        <v>701</v>
      </c>
      <c r="B658" t="s">
        <v>75</v>
      </c>
      <c r="C658" t="s">
        <v>19</v>
      </c>
      <c r="D658">
        <v>44953.24</v>
      </c>
      <c r="E658">
        <v>5</v>
      </c>
      <c r="F658">
        <v>224766.2</v>
      </c>
      <c r="G658" s="1">
        <v>45500</v>
      </c>
      <c r="H658" t="s">
        <v>28</v>
      </c>
      <c r="I658">
        <v>1.1000000000000001</v>
      </c>
    </row>
    <row r="659" spans="1:9" x14ac:dyDescent="0.3">
      <c r="A659" t="s">
        <v>702</v>
      </c>
      <c r="B659" t="s">
        <v>34</v>
      </c>
      <c r="C659" t="s">
        <v>15</v>
      </c>
      <c r="D659">
        <v>47047.23</v>
      </c>
      <c r="E659">
        <v>5</v>
      </c>
      <c r="F659">
        <v>235236.15</v>
      </c>
      <c r="G659" s="1">
        <v>45613</v>
      </c>
      <c r="H659" t="s">
        <v>28</v>
      </c>
      <c r="I659">
        <v>3</v>
      </c>
    </row>
    <row r="660" spans="1:9" x14ac:dyDescent="0.3">
      <c r="A660" t="s">
        <v>703</v>
      </c>
      <c r="B660" t="s">
        <v>82</v>
      </c>
      <c r="C660" t="s">
        <v>22</v>
      </c>
      <c r="D660">
        <v>34358.78</v>
      </c>
      <c r="E660">
        <v>3</v>
      </c>
      <c r="F660">
        <v>103076.34</v>
      </c>
      <c r="G660" s="1">
        <v>45563</v>
      </c>
      <c r="H660" t="s">
        <v>56</v>
      </c>
      <c r="I660">
        <v>2.4</v>
      </c>
    </row>
    <row r="661" spans="1:9" x14ac:dyDescent="0.3">
      <c r="A661" t="s">
        <v>704</v>
      </c>
      <c r="B661" t="s">
        <v>40</v>
      </c>
      <c r="C661" t="s">
        <v>19</v>
      </c>
      <c r="D661">
        <v>12779.59</v>
      </c>
      <c r="E661">
        <v>5</v>
      </c>
      <c r="F661">
        <v>63897.95</v>
      </c>
      <c r="G661" s="1">
        <v>45620</v>
      </c>
      <c r="H661" t="s">
        <v>47</v>
      </c>
      <c r="I661">
        <v>2.8</v>
      </c>
    </row>
    <row r="662" spans="1:9" x14ac:dyDescent="0.3">
      <c r="A662" t="s">
        <v>705</v>
      </c>
      <c r="B662" t="s">
        <v>50</v>
      </c>
      <c r="C662" t="s">
        <v>11</v>
      </c>
      <c r="D662">
        <v>30878.47</v>
      </c>
      <c r="E662">
        <v>5</v>
      </c>
      <c r="F662">
        <v>154392.35</v>
      </c>
      <c r="G662" s="1">
        <v>45484</v>
      </c>
      <c r="H662" t="s">
        <v>16</v>
      </c>
      <c r="I662">
        <v>2.5</v>
      </c>
    </row>
    <row r="663" spans="1:9" x14ac:dyDescent="0.3">
      <c r="A663" t="s">
        <v>706</v>
      </c>
      <c r="B663" t="s">
        <v>18</v>
      </c>
      <c r="C663" t="s">
        <v>19</v>
      </c>
      <c r="D663">
        <v>24227.24</v>
      </c>
      <c r="E663">
        <v>1</v>
      </c>
      <c r="F663">
        <v>24227.24</v>
      </c>
      <c r="G663" s="1">
        <v>45352</v>
      </c>
      <c r="H663" t="s">
        <v>12</v>
      </c>
      <c r="I663">
        <v>2.7</v>
      </c>
    </row>
    <row r="664" spans="1:9" x14ac:dyDescent="0.3">
      <c r="A664" t="s">
        <v>707</v>
      </c>
      <c r="B664" t="s">
        <v>14</v>
      </c>
      <c r="C664" t="s">
        <v>15</v>
      </c>
      <c r="D664">
        <v>15282.31</v>
      </c>
      <c r="E664">
        <v>4</v>
      </c>
      <c r="F664">
        <v>61129.24</v>
      </c>
      <c r="G664" s="1">
        <v>45460</v>
      </c>
      <c r="H664" t="s">
        <v>56</v>
      </c>
      <c r="I664">
        <v>2.1</v>
      </c>
    </row>
    <row r="665" spans="1:9" x14ac:dyDescent="0.3">
      <c r="A665" t="s">
        <v>708</v>
      </c>
      <c r="B665" t="s">
        <v>40</v>
      </c>
      <c r="C665" t="s">
        <v>19</v>
      </c>
      <c r="D665">
        <v>46933.96</v>
      </c>
      <c r="E665">
        <v>1</v>
      </c>
      <c r="F665">
        <v>46933.96</v>
      </c>
      <c r="G665" s="1">
        <v>45446</v>
      </c>
      <c r="H665" t="s">
        <v>12</v>
      </c>
      <c r="I665">
        <v>2.5</v>
      </c>
    </row>
    <row r="666" spans="1:9" x14ac:dyDescent="0.3">
      <c r="A666" t="s">
        <v>709</v>
      </c>
      <c r="B666" t="s">
        <v>38</v>
      </c>
      <c r="C666" t="s">
        <v>19</v>
      </c>
      <c r="D666">
        <v>14622.12</v>
      </c>
      <c r="E666">
        <v>1</v>
      </c>
      <c r="F666">
        <v>14622.12</v>
      </c>
      <c r="G666" s="1">
        <v>45659</v>
      </c>
      <c r="H666" t="s">
        <v>47</v>
      </c>
      <c r="I666">
        <v>4.9000000000000004</v>
      </c>
    </row>
    <row r="667" spans="1:9" x14ac:dyDescent="0.3">
      <c r="A667" t="s">
        <v>710</v>
      </c>
      <c r="B667" t="s">
        <v>50</v>
      </c>
      <c r="C667" t="s">
        <v>11</v>
      </c>
      <c r="D667">
        <v>34830.28</v>
      </c>
      <c r="E667">
        <v>4</v>
      </c>
      <c r="F667">
        <v>139321.12</v>
      </c>
      <c r="G667" s="1">
        <v>45609</v>
      </c>
      <c r="H667" t="s">
        <v>47</v>
      </c>
      <c r="I667">
        <v>2.9</v>
      </c>
    </row>
    <row r="668" spans="1:9" x14ac:dyDescent="0.3">
      <c r="A668" t="s">
        <v>711</v>
      </c>
      <c r="B668" t="s">
        <v>38</v>
      </c>
      <c r="C668" t="s">
        <v>19</v>
      </c>
      <c r="D668">
        <v>43118.19</v>
      </c>
      <c r="E668">
        <v>5</v>
      </c>
      <c r="F668">
        <v>215590.95</v>
      </c>
      <c r="G668" s="1">
        <v>45674</v>
      </c>
      <c r="H668" t="s">
        <v>56</v>
      </c>
      <c r="I668">
        <v>4</v>
      </c>
    </row>
    <row r="669" spans="1:9" x14ac:dyDescent="0.3">
      <c r="A669" t="s">
        <v>712</v>
      </c>
      <c r="B669" t="s">
        <v>50</v>
      </c>
      <c r="C669" t="s">
        <v>11</v>
      </c>
      <c r="D669">
        <v>29885.360000000001</v>
      </c>
      <c r="E669">
        <v>3</v>
      </c>
      <c r="F669">
        <v>89656.08</v>
      </c>
      <c r="G669" s="1">
        <v>45416</v>
      </c>
      <c r="H669" t="s">
        <v>12</v>
      </c>
      <c r="I669">
        <v>4.0999999999999996</v>
      </c>
    </row>
    <row r="670" spans="1:9" x14ac:dyDescent="0.3">
      <c r="A670" t="s">
        <v>713</v>
      </c>
      <c r="B670" t="s">
        <v>10</v>
      </c>
      <c r="C670" t="s">
        <v>11</v>
      </c>
      <c r="D670">
        <v>7728.33</v>
      </c>
      <c r="E670">
        <v>5</v>
      </c>
      <c r="F670">
        <v>38641.65</v>
      </c>
      <c r="G670" s="1">
        <v>45471</v>
      </c>
      <c r="H670" t="s">
        <v>42</v>
      </c>
      <c r="I670">
        <v>3.9</v>
      </c>
    </row>
    <row r="671" spans="1:9" x14ac:dyDescent="0.3">
      <c r="A671" t="s">
        <v>714</v>
      </c>
      <c r="B671" t="s">
        <v>24</v>
      </c>
      <c r="C671" t="s">
        <v>25</v>
      </c>
      <c r="D671">
        <v>36096.74</v>
      </c>
      <c r="E671">
        <v>5</v>
      </c>
      <c r="F671">
        <v>180483.7</v>
      </c>
      <c r="G671" s="1">
        <v>45679</v>
      </c>
      <c r="H671" t="s">
        <v>56</v>
      </c>
      <c r="I671">
        <v>1.8</v>
      </c>
    </row>
    <row r="672" spans="1:9" x14ac:dyDescent="0.3">
      <c r="A672" t="s">
        <v>715</v>
      </c>
      <c r="B672" t="s">
        <v>54</v>
      </c>
      <c r="C672" t="s">
        <v>15</v>
      </c>
      <c r="D672">
        <v>19275.66</v>
      </c>
      <c r="E672">
        <v>4</v>
      </c>
      <c r="F672">
        <v>77102.64</v>
      </c>
      <c r="G672" s="1">
        <v>45399</v>
      </c>
      <c r="H672" t="s">
        <v>56</v>
      </c>
      <c r="I672">
        <v>1.8</v>
      </c>
    </row>
    <row r="673" spans="1:9" x14ac:dyDescent="0.3">
      <c r="A673" t="s">
        <v>716</v>
      </c>
      <c r="B673" t="s">
        <v>120</v>
      </c>
      <c r="C673" t="s">
        <v>25</v>
      </c>
      <c r="D673">
        <v>15387.59</v>
      </c>
      <c r="E673">
        <v>4</v>
      </c>
      <c r="F673">
        <v>61550.36</v>
      </c>
      <c r="G673" s="1">
        <v>45558</v>
      </c>
      <c r="H673" t="s">
        <v>28</v>
      </c>
      <c r="I673">
        <v>1</v>
      </c>
    </row>
    <row r="674" spans="1:9" x14ac:dyDescent="0.3">
      <c r="A674" t="s">
        <v>717</v>
      </c>
      <c r="B674" t="s">
        <v>44</v>
      </c>
      <c r="C674" t="s">
        <v>22</v>
      </c>
      <c r="D674">
        <v>23806.639999999999</v>
      </c>
      <c r="E674">
        <v>1</v>
      </c>
      <c r="F674">
        <v>23806.639999999999</v>
      </c>
      <c r="G674" s="1">
        <v>45353</v>
      </c>
      <c r="H674" t="s">
        <v>12</v>
      </c>
      <c r="I674">
        <v>2.5</v>
      </c>
    </row>
    <row r="675" spans="1:9" x14ac:dyDescent="0.3">
      <c r="A675" t="s">
        <v>718</v>
      </c>
      <c r="B675" t="s">
        <v>69</v>
      </c>
      <c r="C675" t="s">
        <v>19</v>
      </c>
      <c r="D675">
        <v>28568.97</v>
      </c>
      <c r="E675">
        <v>1</v>
      </c>
      <c r="F675">
        <v>28568.97</v>
      </c>
      <c r="G675" s="1">
        <v>45475</v>
      </c>
      <c r="H675" t="s">
        <v>12</v>
      </c>
      <c r="I675">
        <v>1</v>
      </c>
    </row>
    <row r="676" spans="1:9" x14ac:dyDescent="0.3">
      <c r="A676" t="s">
        <v>719</v>
      </c>
      <c r="B676" t="s">
        <v>71</v>
      </c>
      <c r="C676" t="s">
        <v>22</v>
      </c>
      <c r="D676">
        <v>40753.519999999997</v>
      </c>
      <c r="E676">
        <v>1</v>
      </c>
      <c r="F676">
        <v>40753.519999999997</v>
      </c>
      <c r="G676" s="1">
        <v>45352</v>
      </c>
      <c r="H676" t="s">
        <v>12</v>
      </c>
      <c r="I676">
        <v>4.2</v>
      </c>
    </row>
    <row r="677" spans="1:9" x14ac:dyDescent="0.3">
      <c r="A677" t="s">
        <v>720</v>
      </c>
      <c r="B677" t="s">
        <v>36</v>
      </c>
      <c r="C677" t="s">
        <v>22</v>
      </c>
      <c r="D677">
        <v>38571.81</v>
      </c>
      <c r="E677">
        <v>4</v>
      </c>
      <c r="F677">
        <v>154287.24</v>
      </c>
      <c r="G677" s="1">
        <v>45367</v>
      </c>
      <c r="H677" t="s">
        <v>42</v>
      </c>
      <c r="I677">
        <v>1.2</v>
      </c>
    </row>
    <row r="678" spans="1:9" x14ac:dyDescent="0.3">
      <c r="A678" t="s">
        <v>721</v>
      </c>
      <c r="B678" t="s">
        <v>44</v>
      </c>
      <c r="C678" t="s">
        <v>22</v>
      </c>
      <c r="D678">
        <v>25161.91</v>
      </c>
      <c r="E678">
        <v>5</v>
      </c>
      <c r="F678">
        <v>125809.55</v>
      </c>
      <c r="G678" s="1">
        <v>45416</v>
      </c>
      <c r="H678" t="s">
        <v>28</v>
      </c>
      <c r="I678">
        <v>3.4</v>
      </c>
    </row>
    <row r="679" spans="1:9" x14ac:dyDescent="0.3">
      <c r="A679" t="s">
        <v>722</v>
      </c>
      <c r="B679" t="s">
        <v>38</v>
      </c>
      <c r="C679" t="s">
        <v>19</v>
      </c>
      <c r="D679">
        <v>12124.19</v>
      </c>
      <c r="E679">
        <v>3</v>
      </c>
      <c r="F679">
        <v>36372.57</v>
      </c>
      <c r="G679" s="1">
        <v>45617</v>
      </c>
      <c r="H679" t="s">
        <v>12</v>
      </c>
      <c r="I679">
        <v>4.7</v>
      </c>
    </row>
    <row r="680" spans="1:9" x14ac:dyDescent="0.3">
      <c r="A680" t="s">
        <v>723</v>
      </c>
      <c r="B680" t="s">
        <v>10</v>
      </c>
      <c r="C680" t="s">
        <v>11</v>
      </c>
      <c r="D680">
        <v>2013.64</v>
      </c>
      <c r="E680">
        <v>3</v>
      </c>
      <c r="F680">
        <v>6040.92</v>
      </c>
      <c r="G680" s="1">
        <v>45364</v>
      </c>
      <c r="H680" t="s">
        <v>16</v>
      </c>
      <c r="I680">
        <v>3.8</v>
      </c>
    </row>
    <row r="681" spans="1:9" x14ac:dyDescent="0.3">
      <c r="A681" t="s">
        <v>724</v>
      </c>
      <c r="B681" t="s">
        <v>60</v>
      </c>
      <c r="C681" t="s">
        <v>25</v>
      </c>
      <c r="D681">
        <v>6002.25</v>
      </c>
      <c r="E681">
        <v>3</v>
      </c>
      <c r="F681">
        <v>18006.75</v>
      </c>
      <c r="G681" s="1">
        <v>45569</v>
      </c>
      <c r="H681" t="s">
        <v>42</v>
      </c>
      <c r="I681">
        <v>3.5</v>
      </c>
    </row>
    <row r="682" spans="1:9" x14ac:dyDescent="0.3">
      <c r="A682" t="s">
        <v>725</v>
      </c>
      <c r="B682" t="s">
        <v>100</v>
      </c>
      <c r="C682" t="s">
        <v>11</v>
      </c>
      <c r="D682">
        <v>31332.42</v>
      </c>
      <c r="E682">
        <v>4</v>
      </c>
      <c r="F682">
        <v>125329.68</v>
      </c>
      <c r="G682" s="1">
        <v>45543</v>
      </c>
      <c r="H682" t="s">
        <v>47</v>
      </c>
      <c r="I682">
        <v>1.4</v>
      </c>
    </row>
    <row r="683" spans="1:9" x14ac:dyDescent="0.3">
      <c r="A683" t="s">
        <v>726</v>
      </c>
      <c r="B683" t="s">
        <v>60</v>
      </c>
      <c r="C683" t="s">
        <v>25</v>
      </c>
      <c r="D683">
        <v>17539.189999999999</v>
      </c>
      <c r="E683">
        <v>1</v>
      </c>
      <c r="F683">
        <v>17539.189999999999</v>
      </c>
      <c r="G683" s="1">
        <v>45480</v>
      </c>
      <c r="H683" t="s">
        <v>28</v>
      </c>
      <c r="I683">
        <v>3.9</v>
      </c>
    </row>
    <row r="684" spans="1:9" x14ac:dyDescent="0.3">
      <c r="A684" t="s">
        <v>727</v>
      </c>
      <c r="B684" t="s">
        <v>93</v>
      </c>
      <c r="C684" t="s">
        <v>11</v>
      </c>
      <c r="D684">
        <v>14865.47</v>
      </c>
      <c r="E684">
        <v>2</v>
      </c>
      <c r="F684">
        <v>29730.94</v>
      </c>
      <c r="G684" s="1">
        <v>45527</v>
      </c>
      <c r="H684" t="s">
        <v>16</v>
      </c>
      <c r="I684">
        <v>1.6</v>
      </c>
    </row>
    <row r="685" spans="1:9" x14ac:dyDescent="0.3">
      <c r="A685" t="s">
        <v>728</v>
      </c>
      <c r="B685" t="s">
        <v>151</v>
      </c>
      <c r="C685" t="s">
        <v>15</v>
      </c>
      <c r="D685">
        <v>48130.6</v>
      </c>
      <c r="E685">
        <v>5</v>
      </c>
      <c r="F685">
        <v>240653</v>
      </c>
      <c r="G685" s="1">
        <v>45619</v>
      </c>
      <c r="H685" t="s">
        <v>16</v>
      </c>
      <c r="I685">
        <v>4</v>
      </c>
    </row>
    <row r="686" spans="1:9" x14ac:dyDescent="0.3">
      <c r="A686" t="s">
        <v>729</v>
      </c>
      <c r="B686" t="s">
        <v>10</v>
      </c>
      <c r="C686" t="s">
        <v>11</v>
      </c>
      <c r="D686">
        <v>8970.27</v>
      </c>
      <c r="E686">
        <v>3</v>
      </c>
      <c r="F686">
        <v>26910.81</v>
      </c>
      <c r="G686" s="1">
        <v>45464</v>
      </c>
      <c r="H686" t="s">
        <v>42</v>
      </c>
      <c r="I686">
        <v>1.1000000000000001</v>
      </c>
    </row>
    <row r="687" spans="1:9" x14ac:dyDescent="0.3">
      <c r="A687" t="s">
        <v>730</v>
      </c>
      <c r="B687" t="s">
        <v>82</v>
      </c>
      <c r="C687" t="s">
        <v>22</v>
      </c>
      <c r="D687">
        <v>14359.73</v>
      </c>
      <c r="E687">
        <v>2</v>
      </c>
      <c r="F687">
        <v>28719.46</v>
      </c>
      <c r="G687" s="1">
        <v>45465</v>
      </c>
      <c r="H687" t="s">
        <v>16</v>
      </c>
      <c r="I687">
        <v>4.4000000000000004</v>
      </c>
    </row>
    <row r="688" spans="1:9" x14ac:dyDescent="0.3">
      <c r="A688" t="s">
        <v>731</v>
      </c>
      <c r="B688" t="s">
        <v>38</v>
      </c>
      <c r="C688" t="s">
        <v>19</v>
      </c>
      <c r="D688">
        <v>17009.73</v>
      </c>
      <c r="E688">
        <v>4</v>
      </c>
      <c r="F688">
        <v>68038.92</v>
      </c>
      <c r="G688" s="1">
        <v>45608</v>
      </c>
      <c r="H688" t="s">
        <v>12</v>
      </c>
      <c r="I688">
        <v>3.7</v>
      </c>
    </row>
    <row r="689" spans="1:9" x14ac:dyDescent="0.3">
      <c r="A689" t="s">
        <v>732</v>
      </c>
      <c r="B689" t="s">
        <v>54</v>
      </c>
      <c r="C689" t="s">
        <v>15</v>
      </c>
      <c r="D689">
        <v>10385.24</v>
      </c>
      <c r="E689">
        <v>2</v>
      </c>
      <c r="F689">
        <v>20770.48</v>
      </c>
      <c r="G689" s="1">
        <v>45373</v>
      </c>
      <c r="H689" t="s">
        <v>16</v>
      </c>
      <c r="I689">
        <v>4.7</v>
      </c>
    </row>
    <row r="690" spans="1:9" x14ac:dyDescent="0.3">
      <c r="A690" t="s">
        <v>733</v>
      </c>
      <c r="B690" t="s">
        <v>36</v>
      </c>
      <c r="C690" t="s">
        <v>22</v>
      </c>
      <c r="D690">
        <v>28261.1</v>
      </c>
      <c r="E690">
        <v>2</v>
      </c>
      <c r="F690">
        <v>56522.2</v>
      </c>
      <c r="G690" s="1">
        <v>45683</v>
      </c>
      <c r="H690" t="s">
        <v>28</v>
      </c>
      <c r="I690">
        <v>4.3</v>
      </c>
    </row>
    <row r="691" spans="1:9" x14ac:dyDescent="0.3">
      <c r="A691" t="s">
        <v>734</v>
      </c>
      <c r="B691" t="s">
        <v>14</v>
      </c>
      <c r="C691" t="s">
        <v>15</v>
      </c>
      <c r="D691">
        <v>23320.94</v>
      </c>
      <c r="E691">
        <v>2</v>
      </c>
      <c r="F691">
        <v>46641.88</v>
      </c>
      <c r="G691" s="1">
        <v>45414</v>
      </c>
      <c r="H691" t="s">
        <v>28</v>
      </c>
      <c r="I691">
        <v>3.2</v>
      </c>
    </row>
    <row r="692" spans="1:9" x14ac:dyDescent="0.3">
      <c r="A692" t="s">
        <v>735</v>
      </c>
      <c r="B692" t="s">
        <v>54</v>
      </c>
      <c r="C692" t="s">
        <v>15</v>
      </c>
      <c r="D692">
        <v>16038</v>
      </c>
      <c r="E692">
        <v>5</v>
      </c>
      <c r="F692">
        <v>80190</v>
      </c>
      <c r="G692" s="1">
        <v>45646</v>
      </c>
      <c r="H692" t="s">
        <v>47</v>
      </c>
      <c r="I692">
        <v>2.2999999999999998</v>
      </c>
    </row>
    <row r="693" spans="1:9" x14ac:dyDescent="0.3">
      <c r="A693" t="s">
        <v>736</v>
      </c>
      <c r="B693" t="s">
        <v>30</v>
      </c>
      <c r="C693" t="s">
        <v>15</v>
      </c>
      <c r="D693">
        <v>43719.71</v>
      </c>
      <c r="E693">
        <v>5</v>
      </c>
      <c r="F693">
        <v>218598.55</v>
      </c>
      <c r="G693" s="1">
        <v>45608</v>
      </c>
      <c r="H693" t="s">
        <v>16</v>
      </c>
      <c r="I693">
        <v>3.4</v>
      </c>
    </row>
    <row r="694" spans="1:9" x14ac:dyDescent="0.3">
      <c r="A694" t="s">
        <v>737</v>
      </c>
      <c r="B694" t="s">
        <v>50</v>
      </c>
      <c r="C694" t="s">
        <v>11</v>
      </c>
      <c r="D694">
        <v>19669.48</v>
      </c>
      <c r="E694">
        <v>2</v>
      </c>
      <c r="F694">
        <v>39338.959999999999</v>
      </c>
      <c r="G694" s="1">
        <v>45429</v>
      </c>
      <c r="H694" t="s">
        <v>28</v>
      </c>
      <c r="I694">
        <v>2</v>
      </c>
    </row>
    <row r="695" spans="1:9" x14ac:dyDescent="0.3">
      <c r="A695" t="s">
        <v>738</v>
      </c>
      <c r="B695" t="s">
        <v>40</v>
      </c>
      <c r="C695" t="s">
        <v>19</v>
      </c>
      <c r="D695">
        <v>27396.01</v>
      </c>
      <c r="E695">
        <v>1</v>
      </c>
      <c r="F695">
        <v>27396.01</v>
      </c>
      <c r="G695" s="1">
        <v>45371</v>
      </c>
      <c r="H695" t="s">
        <v>42</v>
      </c>
      <c r="I695">
        <v>4.9000000000000004</v>
      </c>
    </row>
    <row r="696" spans="1:9" x14ac:dyDescent="0.3">
      <c r="A696" t="s">
        <v>739</v>
      </c>
      <c r="B696" t="s">
        <v>34</v>
      </c>
      <c r="C696" t="s">
        <v>15</v>
      </c>
      <c r="D696">
        <v>13763.17</v>
      </c>
      <c r="E696">
        <v>5</v>
      </c>
      <c r="F696">
        <v>68815.850000000006</v>
      </c>
      <c r="G696" s="1">
        <v>45434</v>
      </c>
      <c r="H696" t="s">
        <v>28</v>
      </c>
      <c r="I696">
        <v>3.6</v>
      </c>
    </row>
    <row r="697" spans="1:9" x14ac:dyDescent="0.3">
      <c r="A697" t="s">
        <v>740</v>
      </c>
      <c r="B697" t="s">
        <v>24</v>
      </c>
      <c r="C697" t="s">
        <v>25</v>
      </c>
      <c r="D697">
        <v>6421.63</v>
      </c>
      <c r="E697">
        <v>2</v>
      </c>
      <c r="F697">
        <v>12843.26</v>
      </c>
      <c r="G697" s="1">
        <v>45356</v>
      </c>
      <c r="H697" t="s">
        <v>56</v>
      </c>
      <c r="I697">
        <v>1.5</v>
      </c>
    </row>
    <row r="698" spans="1:9" x14ac:dyDescent="0.3">
      <c r="A698" t="s">
        <v>741</v>
      </c>
      <c r="B698" t="s">
        <v>100</v>
      </c>
      <c r="C698" t="s">
        <v>11</v>
      </c>
      <c r="D698">
        <v>4617.2</v>
      </c>
      <c r="E698">
        <v>4</v>
      </c>
      <c r="F698">
        <v>18468.8</v>
      </c>
      <c r="G698" s="1">
        <v>45370</v>
      </c>
      <c r="H698" t="s">
        <v>16</v>
      </c>
      <c r="I698">
        <v>3.8</v>
      </c>
    </row>
    <row r="699" spans="1:9" x14ac:dyDescent="0.3">
      <c r="A699" t="s">
        <v>742</v>
      </c>
      <c r="B699" t="s">
        <v>54</v>
      </c>
      <c r="C699" t="s">
        <v>15</v>
      </c>
      <c r="D699">
        <v>6022.31</v>
      </c>
      <c r="E699">
        <v>5</v>
      </c>
      <c r="F699">
        <v>30111.55</v>
      </c>
      <c r="G699" s="1">
        <v>45513</v>
      </c>
      <c r="H699" t="s">
        <v>47</v>
      </c>
      <c r="I699">
        <v>3.5</v>
      </c>
    </row>
    <row r="700" spans="1:9" x14ac:dyDescent="0.3">
      <c r="A700" t="s">
        <v>743</v>
      </c>
      <c r="B700" t="s">
        <v>18</v>
      </c>
      <c r="C700" t="s">
        <v>19</v>
      </c>
      <c r="D700">
        <v>38968.519999999997</v>
      </c>
      <c r="E700">
        <v>4</v>
      </c>
      <c r="F700">
        <v>155874.07999999999</v>
      </c>
      <c r="G700" s="1">
        <v>45600</v>
      </c>
      <c r="H700" t="s">
        <v>56</v>
      </c>
      <c r="I700">
        <v>3.9</v>
      </c>
    </row>
    <row r="701" spans="1:9" x14ac:dyDescent="0.3">
      <c r="A701" t="s">
        <v>744</v>
      </c>
      <c r="B701" t="s">
        <v>71</v>
      </c>
      <c r="C701" t="s">
        <v>22</v>
      </c>
      <c r="D701">
        <v>20435.34</v>
      </c>
      <c r="E701">
        <v>5</v>
      </c>
      <c r="F701">
        <v>102176.7</v>
      </c>
      <c r="G701" s="1">
        <v>45582</v>
      </c>
      <c r="H701" t="s">
        <v>47</v>
      </c>
      <c r="I701">
        <v>3.8</v>
      </c>
    </row>
    <row r="702" spans="1:9" x14ac:dyDescent="0.3">
      <c r="A702" t="s">
        <v>745</v>
      </c>
      <c r="B702" t="s">
        <v>36</v>
      </c>
      <c r="C702" t="s">
        <v>22</v>
      </c>
      <c r="D702">
        <v>25115.71</v>
      </c>
      <c r="E702">
        <v>2</v>
      </c>
      <c r="F702">
        <v>50231.42</v>
      </c>
      <c r="G702" s="1">
        <v>45522</v>
      </c>
      <c r="H702" t="s">
        <v>28</v>
      </c>
      <c r="I702">
        <v>2.5</v>
      </c>
    </row>
    <row r="703" spans="1:9" x14ac:dyDescent="0.3">
      <c r="A703" t="s">
        <v>746</v>
      </c>
      <c r="B703" t="s">
        <v>82</v>
      </c>
      <c r="C703" t="s">
        <v>22</v>
      </c>
      <c r="D703">
        <v>36115.480000000003</v>
      </c>
      <c r="E703">
        <v>1</v>
      </c>
      <c r="F703">
        <v>36115.480000000003</v>
      </c>
      <c r="G703" s="1">
        <v>45395</v>
      </c>
      <c r="H703" t="s">
        <v>16</v>
      </c>
      <c r="I703">
        <v>3</v>
      </c>
    </row>
    <row r="704" spans="1:9" x14ac:dyDescent="0.3">
      <c r="A704" t="s">
        <v>747</v>
      </c>
      <c r="B704" t="s">
        <v>32</v>
      </c>
      <c r="C704" t="s">
        <v>25</v>
      </c>
      <c r="D704">
        <v>13372.74</v>
      </c>
      <c r="E704">
        <v>2</v>
      </c>
      <c r="F704">
        <v>26745.48</v>
      </c>
      <c r="G704" s="1">
        <v>45543</v>
      </c>
      <c r="H704" t="s">
        <v>28</v>
      </c>
      <c r="I704">
        <v>1.7</v>
      </c>
    </row>
    <row r="705" spans="1:9" x14ac:dyDescent="0.3">
      <c r="A705" t="s">
        <v>748</v>
      </c>
      <c r="B705" t="s">
        <v>10</v>
      </c>
      <c r="C705" t="s">
        <v>11</v>
      </c>
      <c r="D705">
        <v>32472.59</v>
      </c>
      <c r="E705">
        <v>1</v>
      </c>
      <c r="F705">
        <v>32472.59</v>
      </c>
      <c r="G705" s="1">
        <v>45378</v>
      </c>
      <c r="H705" t="s">
        <v>28</v>
      </c>
      <c r="I705">
        <v>1</v>
      </c>
    </row>
    <row r="706" spans="1:9" x14ac:dyDescent="0.3">
      <c r="A706" t="s">
        <v>749</v>
      </c>
      <c r="B706" t="s">
        <v>93</v>
      </c>
      <c r="C706" t="s">
        <v>11</v>
      </c>
      <c r="D706">
        <v>12097.46</v>
      </c>
      <c r="E706">
        <v>5</v>
      </c>
      <c r="F706">
        <v>60487.3</v>
      </c>
      <c r="G706" s="1">
        <v>45433</v>
      </c>
      <c r="H706" t="s">
        <v>42</v>
      </c>
      <c r="I706">
        <v>4.2</v>
      </c>
    </row>
    <row r="707" spans="1:9" x14ac:dyDescent="0.3">
      <c r="A707" t="s">
        <v>750</v>
      </c>
      <c r="B707" t="s">
        <v>50</v>
      </c>
      <c r="C707" t="s">
        <v>11</v>
      </c>
      <c r="D707">
        <v>34446.42</v>
      </c>
      <c r="E707">
        <v>3</v>
      </c>
      <c r="F707">
        <v>103339.26</v>
      </c>
      <c r="G707" s="1">
        <v>45349</v>
      </c>
      <c r="H707" t="s">
        <v>16</v>
      </c>
      <c r="I707">
        <v>2.4</v>
      </c>
    </row>
    <row r="708" spans="1:9" x14ac:dyDescent="0.3">
      <c r="A708" t="s">
        <v>751</v>
      </c>
      <c r="B708" t="s">
        <v>10</v>
      </c>
      <c r="C708" t="s">
        <v>11</v>
      </c>
      <c r="D708">
        <v>13420.4</v>
      </c>
      <c r="E708">
        <v>4</v>
      </c>
      <c r="F708">
        <v>53681.599999999999</v>
      </c>
      <c r="G708" s="1">
        <v>45652</v>
      </c>
      <c r="H708" t="s">
        <v>42</v>
      </c>
      <c r="I708">
        <v>4.7</v>
      </c>
    </row>
    <row r="709" spans="1:9" x14ac:dyDescent="0.3">
      <c r="A709" t="s">
        <v>752</v>
      </c>
      <c r="B709" t="s">
        <v>46</v>
      </c>
      <c r="C709" t="s">
        <v>11</v>
      </c>
      <c r="D709">
        <v>20686.939999999999</v>
      </c>
      <c r="E709">
        <v>3</v>
      </c>
      <c r="F709">
        <v>62060.82</v>
      </c>
      <c r="G709" s="1">
        <v>45652</v>
      </c>
      <c r="H709" t="s">
        <v>28</v>
      </c>
      <c r="I709">
        <v>4.0999999999999996</v>
      </c>
    </row>
    <row r="710" spans="1:9" x14ac:dyDescent="0.3">
      <c r="A710" t="s">
        <v>753</v>
      </c>
      <c r="B710" t="s">
        <v>82</v>
      </c>
      <c r="C710" t="s">
        <v>22</v>
      </c>
      <c r="D710">
        <v>29418.33</v>
      </c>
      <c r="E710">
        <v>2</v>
      </c>
      <c r="F710">
        <v>58836.66</v>
      </c>
      <c r="G710" s="1">
        <v>45503</v>
      </c>
      <c r="H710" t="s">
        <v>42</v>
      </c>
      <c r="I710">
        <v>3.3</v>
      </c>
    </row>
    <row r="711" spans="1:9" x14ac:dyDescent="0.3">
      <c r="A711" t="s">
        <v>754</v>
      </c>
      <c r="B711" t="s">
        <v>100</v>
      </c>
      <c r="C711" t="s">
        <v>11</v>
      </c>
      <c r="D711">
        <v>6115.91</v>
      </c>
      <c r="E711">
        <v>1</v>
      </c>
      <c r="F711">
        <v>6115.91</v>
      </c>
      <c r="G711" s="1">
        <v>45426</v>
      </c>
      <c r="H711" t="s">
        <v>16</v>
      </c>
      <c r="I711">
        <v>1.5</v>
      </c>
    </row>
    <row r="712" spans="1:9" x14ac:dyDescent="0.3">
      <c r="A712" t="s">
        <v>755</v>
      </c>
      <c r="B712" t="s">
        <v>100</v>
      </c>
      <c r="C712" t="s">
        <v>11</v>
      </c>
      <c r="D712">
        <v>33404.120000000003</v>
      </c>
      <c r="E712">
        <v>3</v>
      </c>
      <c r="F712">
        <v>100212.36</v>
      </c>
      <c r="G712" s="1">
        <v>45525</v>
      </c>
      <c r="H712" t="s">
        <v>12</v>
      </c>
      <c r="I712">
        <v>2.7</v>
      </c>
    </row>
    <row r="713" spans="1:9" x14ac:dyDescent="0.3">
      <c r="A713" t="s">
        <v>756</v>
      </c>
      <c r="B713" t="s">
        <v>14</v>
      </c>
      <c r="C713" t="s">
        <v>15</v>
      </c>
      <c r="D713">
        <v>40046.19</v>
      </c>
      <c r="E713">
        <v>2</v>
      </c>
      <c r="F713">
        <v>80092.38</v>
      </c>
      <c r="G713" s="1">
        <v>45419</v>
      </c>
      <c r="H713" t="s">
        <v>16</v>
      </c>
      <c r="I713">
        <v>1.2</v>
      </c>
    </row>
    <row r="714" spans="1:9" x14ac:dyDescent="0.3">
      <c r="A714" t="s">
        <v>757</v>
      </c>
      <c r="B714" t="s">
        <v>100</v>
      </c>
      <c r="C714" t="s">
        <v>11</v>
      </c>
      <c r="D714">
        <v>22709.95</v>
      </c>
      <c r="E714">
        <v>2</v>
      </c>
      <c r="F714">
        <v>45419.9</v>
      </c>
      <c r="G714" s="1">
        <v>45589</v>
      </c>
      <c r="H714" t="s">
        <v>47</v>
      </c>
      <c r="I714">
        <v>4</v>
      </c>
    </row>
    <row r="715" spans="1:9" x14ac:dyDescent="0.3">
      <c r="A715" t="s">
        <v>758</v>
      </c>
      <c r="B715" t="s">
        <v>93</v>
      </c>
      <c r="C715" t="s">
        <v>11</v>
      </c>
      <c r="D715">
        <v>22315.58</v>
      </c>
      <c r="E715">
        <v>1</v>
      </c>
      <c r="F715">
        <v>22315.58</v>
      </c>
      <c r="G715" s="1">
        <v>45543</v>
      </c>
      <c r="H715" t="s">
        <v>16</v>
      </c>
      <c r="I715">
        <v>2.6</v>
      </c>
    </row>
    <row r="716" spans="1:9" x14ac:dyDescent="0.3">
      <c r="A716" t="s">
        <v>759</v>
      </c>
      <c r="B716" t="s">
        <v>14</v>
      </c>
      <c r="C716" t="s">
        <v>15</v>
      </c>
      <c r="D716">
        <v>47608.93</v>
      </c>
      <c r="E716">
        <v>1</v>
      </c>
      <c r="F716">
        <v>47608.93</v>
      </c>
      <c r="G716" s="1">
        <v>45347</v>
      </c>
      <c r="H716" t="s">
        <v>16</v>
      </c>
      <c r="I716">
        <v>4.2</v>
      </c>
    </row>
    <row r="717" spans="1:9" x14ac:dyDescent="0.3">
      <c r="A717" t="s">
        <v>760</v>
      </c>
      <c r="B717" t="s">
        <v>34</v>
      </c>
      <c r="C717" t="s">
        <v>15</v>
      </c>
      <c r="D717">
        <v>19846.64</v>
      </c>
      <c r="E717">
        <v>1</v>
      </c>
      <c r="F717">
        <v>19846.64</v>
      </c>
      <c r="G717" s="1">
        <v>45513</v>
      </c>
      <c r="H717" t="s">
        <v>56</v>
      </c>
      <c r="I717">
        <v>3.3</v>
      </c>
    </row>
    <row r="718" spans="1:9" x14ac:dyDescent="0.3">
      <c r="A718" t="s">
        <v>761</v>
      </c>
      <c r="B718" t="s">
        <v>93</v>
      </c>
      <c r="C718" t="s">
        <v>11</v>
      </c>
      <c r="D718">
        <v>5975.89</v>
      </c>
      <c r="E718">
        <v>3</v>
      </c>
      <c r="F718">
        <v>17927.669999999998</v>
      </c>
      <c r="G718" s="1">
        <v>45536</v>
      </c>
      <c r="H718" t="s">
        <v>16</v>
      </c>
      <c r="I718">
        <v>4.8</v>
      </c>
    </row>
    <row r="719" spans="1:9" x14ac:dyDescent="0.3">
      <c r="A719" t="s">
        <v>762</v>
      </c>
      <c r="B719" t="s">
        <v>93</v>
      </c>
      <c r="C719" t="s">
        <v>11</v>
      </c>
      <c r="D719">
        <v>49409.89</v>
      </c>
      <c r="E719">
        <v>4</v>
      </c>
      <c r="F719">
        <v>197639.56</v>
      </c>
      <c r="G719" s="1">
        <v>45561</v>
      </c>
      <c r="H719" t="s">
        <v>56</v>
      </c>
      <c r="I719">
        <v>4.0999999999999996</v>
      </c>
    </row>
    <row r="720" spans="1:9" x14ac:dyDescent="0.3">
      <c r="A720" t="s">
        <v>763</v>
      </c>
      <c r="B720" t="s">
        <v>151</v>
      </c>
      <c r="C720" t="s">
        <v>15</v>
      </c>
      <c r="D720">
        <v>13885.05</v>
      </c>
      <c r="E720">
        <v>5</v>
      </c>
      <c r="F720">
        <v>69425.25</v>
      </c>
      <c r="G720" s="1">
        <v>45577</v>
      </c>
      <c r="H720" t="s">
        <v>47</v>
      </c>
      <c r="I720">
        <v>3.5</v>
      </c>
    </row>
    <row r="721" spans="1:9" x14ac:dyDescent="0.3">
      <c r="A721" t="s">
        <v>764</v>
      </c>
      <c r="B721" t="s">
        <v>75</v>
      </c>
      <c r="C721" t="s">
        <v>19</v>
      </c>
      <c r="D721">
        <v>4080.78</v>
      </c>
      <c r="E721">
        <v>3</v>
      </c>
      <c r="F721">
        <v>12242.34</v>
      </c>
      <c r="G721" s="1">
        <v>45390</v>
      </c>
      <c r="H721" t="s">
        <v>47</v>
      </c>
      <c r="I721">
        <v>4.9000000000000004</v>
      </c>
    </row>
    <row r="722" spans="1:9" x14ac:dyDescent="0.3">
      <c r="A722" t="s">
        <v>765</v>
      </c>
      <c r="B722" t="s">
        <v>82</v>
      </c>
      <c r="C722" t="s">
        <v>22</v>
      </c>
      <c r="D722">
        <v>27306.31</v>
      </c>
      <c r="E722">
        <v>3</v>
      </c>
      <c r="F722">
        <v>81918.929999999993</v>
      </c>
      <c r="G722" s="1">
        <v>45369</v>
      </c>
      <c r="H722" t="s">
        <v>47</v>
      </c>
      <c r="I722">
        <v>3.8</v>
      </c>
    </row>
    <row r="723" spans="1:9" x14ac:dyDescent="0.3">
      <c r="A723" t="s">
        <v>766</v>
      </c>
      <c r="B723" t="s">
        <v>24</v>
      </c>
      <c r="C723" t="s">
        <v>25</v>
      </c>
      <c r="D723">
        <v>16580.240000000002</v>
      </c>
      <c r="E723">
        <v>5</v>
      </c>
      <c r="F723">
        <v>82901.2</v>
      </c>
      <c r="G723" s="1">
        <v>45628</v>
      </c>
      <c r="H723" t="s">
        <v>56</v>
      </c>
      <c r="I723">
        <v>4.5999999999999996</v>
      </c>
    </row>
    <row r="724" spans="1:9" x14ac:dyDescent="0.3">
      <c r="A724" t="s">
        <v>767</v>
      </c>
      <c r="B724" t="s">
        <v>46</v>
      </c>
      <c r="C724" t="s">
        <v>11</v>
      </c>
      <c r="D724">
        <v>12798.83</v>
      </c>
      <c r="E724">
        <v>4</v>
      </c>
      <c r="F724">
        <v>51195.32</v>
      </c>
      <c r="G724" s="1">
        <v>45602</v>
      </c>
      <c r="H724" t="s">
        <v>16</v>
      </c>
      <c r="I724">
        <v>5</v>
      </c>
    </row>
    <row r="725" spans="1:9" x14ac:dyDescent="0.3">
      <c r="A725" t="s">
        <v>768</v>
      </c>
      <c r="B725" t="s">
        <v>10</v>
      </c>
      <c r="C725" t="s">
        <v>11</v>
      </c>
      <c r="D725">
        <v>18574.12</v>
      </c>
      <c r="E725">
        <v>1</v>
      </c>
      <c r="F725">
        <v>18574.12</v>
      </c>
      <c r="G725" s="1">
        <v>45579</v>
      </c>
      <c r="H725" t="s">
        <v>28</v>
      </c>
      <c r="I725">
        <v>3.3</v>
      </c>
    </row>
    <row r="726" spans="1:9" x14ac:dyDescent="0.3">
      <c r="A726" t="s">
        <v>769</v>
      </c>
      <c r="B726" t="s">
        <v>24</v>
      </c>
      <c r="C726" t="s">
        <v>25</v>
      </c>
      <c r="D726">
        <v>30836.98</v>
      </c>
      <c r="E726">
        <v>4</v>
      </c>
      <c r="F726">
        <v>123347.92</v>
      </c>
      <c r="G726" s="1">
        <v>45336</v>
      </c>
      <c r="H726" t="s">
        <v>28</v>
      </c>
      <c r="I726">
        <v>1.1000000000000001</v>
      </c>
    </row>
    <row r="727" spans="1:9" x14ac:dyDescent="0.3">
      <c r="A727" t="s">
        <v>770</v>
      </c>
      <c r="B727" t="s">
        <v>30</v>
      </c>
      <c r="C727" t="s">
        <v>15</v>
      </c>
      <c r="D727">
        <v>48620.13</v>
      </c>
      <c r="E727">
        <v>4</v>
      </c>
      <c r="F727">
        <v>194480.52</v>
      </c>
      <c r="G727" s="1">
        <v>45494</v>
      </c>
      <c r="H727" t="s">
        <v>12</v>
      </c>
      <c r="I727">
        <v>1.9</v>
      </c>
    </row>
    <row r="728" spans="1:9" x14ac:dyDescent="0.3">
      <c r="A728" t="s">
        <v>771</v>
      </c>
      <c r="B728" t="s">
        <v>50</v>
      </c>
      <c r="C728" t="s">
        <v>11</v>
      </c>
      <c r="D728">
        <v>16390.439999999999</v>
      </c>
      <c r="E728">
        <v>2</v>
      </c>
      <c r="F728">
        <v>32780.879999999997</v>
      </c>
      <c r="G728" s="1">
        <v>45516</v>
      </c>
      <c r="H728" t="s">
        <v>47</v>
      </c>
      <c r="I728">
        <v>4.2</v>
      </c>
    </row>
    <row r="729" spans="1:9" x14ac:dyDescent="0.3">
      <c r="A729" t="s">
        <v>772</v>
      </c>
      <c r="B729" t="s">
        <v>18</v>
      </c>
      <c r="C729" t="s">
        <v>19</v>
      </c>
      <c r="D729">
        <v>18862.009999999998</v>
      </c>
      <c r="E729">
        <v>3</v>
      </c>
      <c r="F729">
        <v>56586.03</v>
      </c>
      <c r="G729" s="1">
        <v>45636</v>
      </c>
      <c r="H729" t="s">
        <v>28</v>
      </c>
      <c r="I729">
        <v>3</v>
      </c>
    </row>
    <row r="730" spans="1:9" x14ac:dyDescent="0.3">
      <c r="A730" t="s">
        <v>773</v>
      </c>
      <c r="B730" t="s">
        <v>21</v>
      </c>
      <c r="C730" t="s">
        <v>22</v>
      </c>
      <c r="D730">
        <v>11448.28</v>
      </c>
      <c r="E730">
        <v>1</v>
      </c>
      <c r="F730">
        <v>11448.28</v>
      </c>
      <c r="G730" s="1">
        <v>45508</v>
      </c>
      <c r="H730" t="s">
        <v>56</v>
      </c>
      <c r="I730">
        <v>3.6</v>
      </c>
    </row>
    <row r="731" spans="1:9" x14ac:dyDescent="0.3">
      <c r="A731" t="s">
        <v>774</v>
      </c>
      <c r="B731" t="s">
        <v>69</v>
      </c>
      <c r="C731" t="s">
        <v>19</v>
      </c>
      <c r="D731">
        <v>24384.05</v>
      </c>
      <c r="E731">
        <v>2</v>
      </c>
      <c r="F731">
        <v>48768.1</v>
      </c>
      <c r="G731" s="1">
        <v>45499</v>
      </c>
      <c r="H731" t="s">
        <v>12</v>
      </c>
      <c r="I731">
        <v>3</v>
      </c>
    </row>
    <row r="732" spans="1:9" x14ac:dyDescent="0.3">
      <c r="A732" t="s">
        <v>775</v>
      </c>
      <c r="B732" t="s">
        <v>38</v>
      </c>
      <c r="C732" t="s">
        <v>19</v>
      </c>
      <c r="D732">
        <v>18179.43</v>
      </c>
      <c r="E732">
        <v>1</v>
      </c>
      <c r="F732">
        <v>18179.43</v>
      </c>
      <c r="G732" s="1">
        <v>45371</v>
      </c>
      <c r="H732" t="s">
        <v>28</v>
      </c>
      <c r="I732">
        <v>4.3</v>
      </c>
    </row>
    <row r="733" spans="1:9" x14ac:dyDescent="0.3">
      <c r="A733" t="s">
        <v>776</v>
      </c>
      <c r="B733" t="s">
        <v>24</v>
      </c>
      <c r="C733" t="s">
        <v>25</v>
      </c>
      <c r="D733">
        <v>22430.51</v>
      </c>
      <c r="E733">
        <v>1</v>
      </c>
      <c r="F733">
        <v>22430.51</v>
      </c>
      <c r="G733" s="1">
        <v>45554</v>
      </c>
      <c r="H733" t="s">
        <v>47</v>
      </c>
      <c r="I733">
        <v>4.5</v>
      </c>
    </row>
    <row r="734" spans="1:9" x14ac:dyDescent="0.3">
      <c r="A734" t="s">
        <v>777</v>
      </c>
      <c r="B734" t="s">
        <v>120</v>
      </c>
      <c r="C734" t="s">
        <v>25</v>
      </c>
      <c r="D734">
        <v>10241.780000000001</v>
      </c>
      <c r="E734">
        <v>2</v>
      </c>
      <c r="F734">
        <v>20483.560000000001</v>
      </c>
      <c r="G734" s="1">
        <v>45672</v>
      </c>
      <c r="H734" t="s">
        <v>28</v>
      </c>
      <c r="I734">
        <v>3.7</v>
      </c>
    </row>
    <row r="735" spans="1:9" x14ac:dyDescent="0.3">
      <c r="A735" t="s">
        <v>778</v>
      </c>
      <c r="B735" t="s">
        <v>151</v>
      </c>
      <c r="C735" t="s">
        <v>15</v>
      </c>
      <c r="D735">
        <v>17800.740000000002</v>
      </c>
      <c r="E735">
        <v>3</v>
      </c>
      <c r="F735">
        <v>53402.22</v>
      </c>
      <c r="G735" s="1">
        <v>45601</v>
      </c>
      <c r="H735" t="s">
        <v>28</v>
      </c>
      <c r="I735">
        <v>2.9</v>
      </c>
    </row>
    <row r="736" spans="1:9" x14ac:dyDescent="0.3">
      <c r="A736" t="s">
        <v>779</v>
      </c>
      <c r="B736" t="s">
        <v>46</v>
      </c>
      <c r="C736" t="s">
        <v>11</v>
      </c>
      <c r="D736">
        <v>16174.96</v>
      </c>
      <c r="E736">
        <v>5</v>
      </c>
      <c r="F736">
        <v>80874.8</v>
      </c>
      <c r="G736" s="1">
        <v>45341</v>
      </c>
      <c r="H736" t="s">
        <v>47</v>
      </c>
      <c r="I736">
        <v>4.9000000000000004</v>
      </c>
    </row>
    <row r="737" spans="1:9" x14ac:dyDescent="0.3">
      <c r="A737" t="s">
        <v>780</v>
      </c>
      <c r="B737" t="s">
        <v>24</v>
      </c>
      <c r="C737" t="s">
        <v>25</v>
      </c>
      <c r="D737">
        <v>2370.61</v>
      </c>
      <c r="E737">
        <v>5</v>
      </c>
      <c r="F737">
        <v>11853.05</v>
      </c>
      <c r="G737" s="1">
        <v>45451</v>
      </c>
      <c r="H737" t="s">
        <v>12</v>
      </c>
      <c r="I737">
        <v>3.1</v>
      </c>
    </row>
    <row r="738" spans="1:9" x14ac:dyDescent="0.3">
      <c r="A738" t="s">
        <v>781</v>
      </c>
      <c r="B738" t="s">
        <v>69</v>
      </c>
      <c r="C738" t="s">
        <v>19</v>
      </c>
      <c r="D738">
        <v>139.85</v>
      </c>
      <c r="E738">
        <v>3</v>
      </c>
      <c r="F738">
        <v>419.55</v>
      </c>
      <c r="G738" s="1">
        <v>45549</v>
      </c>
      <c r="H738" t="s">
        <v>16</v>
      </c>
      <c r="I738">
        <v>2</v>
      </c>
    </row>
    <row r="739" spans="1:9" x14ac:dyDescent="0.3">
      <c r="A739" t="s">
        <v>782</v>
      </c>
      <c r="B739" t="s">
        <v>21</v>
      </c>
      <c r="C739" t="s">
        <v>22</v>
      </c>
      <c r="D739">
        <v>2519.1799999999998</v>
      </c>
      <c r="E739">
        <v>1</v>
      </c>
      <c r="F739">
        <v>2519.1799999999998</v>
      </c>
      <c r="G739" s="1">
        <v>45627</v>
      </c>
      <c r="H739" t="s">
        <v>56</v>
      </c>
      <c r="I739">
        <v>2.4</v>
      </c>
    </row>
    <row r="740" spans="1:9" x14ac:dyDescent="0.3">
      <c r="A740" t="s">
        <v>783</v>
      </c>
      <c r="B740" t="s">
        <v>69</v>
      </c>
      <c r="C740" t="s">
        <v>19</v>
      </c>
      <c r="D740">
        <v>32626.32</v>
      </c>
      <c r="E740">
        <v>4</v>
      </c>
      <c r="F740">
        <v>130505.28</v>
      </c>
      <c r="G740" s="1">
        <v>45586</v>
      </c>
      <c r="H740" t="s">
        <v>16</v>
      </c>
      <c r="I740">
        <v>2.9</v>
      </c>
    </row>
    <row r="741" spans="1:9" x14ac:dyDescent="0.3">
      <c r="A741" t="s">
        <v>784</v>
      </c>
      <c r="B741" t="s">
        <v>44</v>
      </c>
      <c r="C741" t="s">
        <v>22</v>
      </c>
      <c r="D741">
        <v>14636.55</v>
      </c>
      <c r="E741">
        <v>3</v>
      </c>
      <c r="F741">
        <v>43909.65</v>
      </c>
      <c r="G741" s="1">
        <v>45421</v>
      </c>
      <c r="H741" t="s">
        <v>47</v>
      </c>
      <c r="I741">
        <v>3.6</v>
      </c>
    </row>
    <row r="742" spans="1:9" x14ac:dyDescent="0.3">
      <c r="A742" t="s">
        <v>785</v>
      </c>
      <c r="B742" t="s">
        <v>18</v>
      </c>
      <c r="C742" t="s">
        <v>19</v>
      </c>
      <c r="D742">
        <v>19549.439999999999</v>
      </c>
      <c r="E742">
        <v>5</v>
      </c>
      <c r="F742">
        <v>97747.199999999997</v>
      </c>
      <c r="G742" s="1">
        <v>45511</v>
      </c>
      <c r="H742" t="s">
        <v>28</v>
      </c>
      <c r="I742">
        <v>1.7</v>
      </c>
    </row>
    <row r="743" spans="1:9" x14ac:dyDescent="0.3">
      <c r="A743" t="s">
        <v>786</v>
      </c>
      <c r="B743" t="s">
        <v>82</v>
      </c>
      <c r="C743" t="s">
        <v>22</v>
      </c>
      <c r="D743">
        <v>37195.730000000003</v>
      </c>
      <c r="E743">
        <v>2</v>
      </c>
      <c r="F743">
        <v>74391.460000000006</v>
      </c>
      <c r="G743" s="1">
        <v>45624</v>
      </c>
      <c r="H743" t="s">
        <v>16</v>
      </c>
      <c r="I743">
        <v>2.7</v>
      </c>
    </row>
    <row r="744" spans="1:9" x14ac:dyDescent="0.3">
      <c r="A744" t="s">
        <v>787</v>
      </c>
      <c r="B744" t="s">
        <v>120</v>
      </c>
      <c r="C744" t="s">
        <v>25</v>
      </c>
      <c r="D744">
        <v>34821.93</v>
      </c>
      <c r="E744">
        <v>3</v>
      </c>
      <c r="F744">
        <v>104465.79</v>
      </c>
      <c r="G744" s="1">
        <v>45585</v>
      </c>
      <c r="H744" t="s">
        <v>47</v>
      </c>
      <c r="I744">
        <v>4.4000000000000004</v>
      </c>
    </row>
    <row r="745" spans="1:9" x14ac:dyDescent="0.3">
      <c r="A745" t="s">
        <v>788</v>
      </c>
      <c r="B745" t="s">
        <v>40</v>
      </c>
      <c r="C745" t="s">
        <v>19</v>
      </c>
      <c r="D745">
        <v>28630.92</v>
      </c>
      <c r="E745">
        <v>4</v>
      </c>
      <c r="F745">
        <v>114523.68</v>
      </c>
      <c r="G745" s="1">
        <v>45675</v>
      </c>
      <c r="H745" t="s">
        <v>47</v>
      </c>
      <c r="I745">
        <v>4.2</v>
      </c>
    </row>
    <row r="746" spans="1:9" x14ac:dyDescent="0.3">
      <c r="A746" t="s">
        <v>789</v>
      </c>
      <c r="B746" t="s">
        <v>54</v>
      </c>
      <c r="C746" t="s">
        <v>15</v>
      </c>
      <c r="D746">
        <v>25059.360000000001</v>
      </c>
      <c r="E746">
        <v>5</v>
      </c>
      <c r="F746">
        <v>125296.8</v>
      </c>
      <c r="G746" s="1">
        <v>45358</v>
      </c>
      <c r="H746" t="s">
        <v>16</v>
      </c>
      <c r="I746">
        <v>2.4</v>
      </c>
    </row>
    <row r="747" spans="1:9" x14ac:dyDescent="0.3">
      <c r="A747" t="s">
        <v>790</v>
      </c>
      <c r="B747" t="s">
        <v>120</v>
      </c>
      <c r="C747" t="s">
        <v>25</v>
      </c>
      <c r="D747">
        <v>47795.34</v>
      </c>
      <c r="E747">
        <v>1</v>
      </c>
      <c r="F747">
        <v>47795.34</v>
      </c>
      <c r="G747" s="1">
        <v>45639</v>
      </c>
      <c r="H747" t="s">
        <v>42</v>
      </c>
      <c r="I747">
        <v>2.2999999999999998</v>
      </c>
    </row>
    <row r="748" spans="1:9" x14ac:dyDescent="0.3">
      <c r="A748" t="s">
        <v>791</v>
      </c>
      <c r="B748" t="s">
        <v>30</v>
      </c>
      <c r="C748" t="s">
        <v>15</v>
      </c>
      <c r="D748">
        <v>36918.199999999997</v>
      </c>
      <c r="E748">
        <v>4</v>
      </c>
      <c r="F748">
        <v>147672.79999999999</v>
      </c>
      <c r="G748" s="1">
        <v>45350</v>
      </c>
      <c r="H748" t="s">
        <v>28</v>
      </c>
      <c r="I748">
        <v>3.2</v>
      </c>
    </row>
    <row r="749" spans="1:9" x14ac:dyDescent="0.3">
      <c r="A749" t="s">
        <v>792</v>
      </c>
      <c r="B749" t="s">
        <v>40</v>
      </c>
      <c r="C749" t="s">
        <v>19</v>
      </c>
      <c r="D749">
        <v>3394.38</v>
      </c>
      <c r="E749">
        <v>3</v>
      </c>
      <c r="F749">
        <v>10183.14</v>
      </c>
      <c r="G749" s="1">
        <v>45469</v>
      </c>
      <c r="H749" t="s">
        <v>16</v>
      </c>
      <c r="I749">
        <v>3.5</v>
      </c>
    </row>
    <row r="750" spans="1:9" x14ac:dyDescent="0.3">
      <c r="A750" t="s">
        <v>793</v>
      </c>
      <c r="B750" t="s">
        <v>44</v>
      </c>
      <c r="C750" t="s">
        <v>22</v>
      </c>
      <c r="D750">
        <v>11142.38</v>
      </c>
      <c r="E750">
        <v>5</v>
      </c>
      <c r="F750">
        <v>55711.9</v>
      </c>
      <c r="G750" s="1">
        <v>45511</v>
      </c>
      <c r="H750" t="s">
        <v>47</v>
      </c>
      <c r="I750">
        <v>3.3</v>
      </c>
    </row>
    <row r="751" spans="1:9" x14ac:dyDescent="0.3">
      <c r="A751" t="s">
        <v>794</v>
      </c>
      <c r="B751" t="s">
        <v>24</v>
      </c>
      <c r="C751" t="s">
        <v>25</v>
      </c>
      <c r="D751">
        <v>18602.849999999999</v>
      </c>
      <c r="E751">
        <v>5</v>
      </c>
      <c r="F751">
        <v>93014.25</v>
      </c>
      <c r="G751" s="1">
        <v>45590</v>
      </c>
      <c r="H751" t="s">
        <v>16</v>
      </c>
      <c r="I751">
        <v>4.3</v>
      </c>
    </row>
    <row r="752" spans="1:9" x14ac:dyDescent="0.3">
      <c r="A752" t="s">
        <v>795</v>
      </c>
      <c r="B752" t="s">
        <v>34</v>
      </c>
      <c r="C752" t="s">
        <v>15</v>
      </c>
      <c r="D752">
        <v>13557.11</v>
      </c>
      <c r="E752">
        <v>5</v>
      </c>
      <c r="F752">
        <v>67785.55</v>
      </c>
      <c r="G752" s="1">
        <v>45437</v>
      </c>
      <c r="H752" t="s">
        <v>56</v>
      </c>
      <c r="I752">
        <v>1.3</v>
      </c>
    </row>
    <row r="753" spans="1:9" x14ac:dyDescent="0.3">
      <c r="A753" t="s">
        <v>796</v>
      </c>
      <c r="B753" t="s">
        <v>27</v>
      </c>
      <c r="C753" t="s">
        <v>25</v>
      </c>
      <c r="D753">
        <v>13559.18</v>
      </c>
      <c r="E753">
        <v>1</v>
      </c>
      <c r="F753">
        <v>13559.18</v>
      </c>
      <c r="G753" s="1">
        <v>45515</v>
      </c>
      <c r="H753" t="s">
        <v>12</v>
      </c>
      <c r="I753">
        <v>1</v>
      </c>
    </row>
    <row r="754" spans="1:9" x14ac:dyDescent="0.3">
      <c r="A754" t="s">
        <v>797</v>
      </c>
      <c r="B754" t="s">
        <v>36</v>
      </c>
      <c r="C754" t="s">
        <v>22</v>
      </c>
      <c r="D754">
        <v>41926.03</v>
      </c>
      <c r="E754">
        <v>2</v>
      </c>
      <c r="F754">
        <v>83852.06</v>
      </c>
      <c r="G754" s="1">
        <v>45689</v>
      </c>
      <c r="H754" t="s">
        <v>42</v>
      </c>
      <c r="I754">
        <v>3.6</v>
      </c>
    </row>
    <row r="755" spans="1:9" x14ac:dyDescent="0.3">
      <c r="A755" t="s">
        <v>798</v>
      </c>
      <c r="B755" t="s">
        <v>40</v>
      </c>
      <c r="C755" t="s">
        <v>19</v>
      </c>
      <c r="D755">
        <v>12930.46</v>
      </c>
      <c r="E755">
        <v>4</v>
      </c>
      <c r="F755">
        <v>51721.84</v>
      </c>
      <c r="G755" s="1">
        <v>45656</v>
      </c>
      <c r="H755" t="s">
        <v>56</v>
      </c>
      <c r="I755">
        <v>1.9</v>
      </c>
    </row>
    <row r="756" spans="1:9" x14ac:dyDescent="0.3">
      <c r="A756" t="s">
        <v>799</v>
      </c>
      <c r="B756" t="s">
        <v>71</v>
      </c>
      <c r="C756" t="s">
        <v>22</v>
      </c>
      <c r="D756">
        <v>37355.589999999997</v>
      </c>
      <c r="E756">
        <v>3</v>
      </c>
      <c r="F756">
        <v>112066.77</v>
      </c>
      <c r="G756" s="1">
        <v>45481</v>
      </c>
      <c r="H756" t="s">
        <v>28</v>
      </c>
      <c r="I756">
        <v>1.7</v>
      </c>
    </row>
    <row r="757" spans="1:9" x14ac:dyDescent="0.3">
      <c r="A757" t="s">
        <v>800</v>
      </c>
      <c r="B757" t="s">
        <v>40</v>
      </c>
      <c r="C757" t="s">
        <v>19</v>
      </c>
      <c r="D757">
        <v>18385.32</v>
      </c>
      <c r="E757">
        <v>5</v>
      </c>
      <c r="F757">
        <v>91926.6</v>
      </c>
      <c r="G757" s="1">
        <v>45427</v>
      </c>
      <c r="H757" t="s">
        <v>16</v>
      </c>
      <c r="I757">
        <v>3.8</v>
      </c>
    </row>
    <row r="758" spans="1:9" x14ac:dyDescent="0.3">
      <c r="A758" t="s">
        <v>801</v>
      </c>
      <c r="B758" t="s">
        <v>50</v>
      </c>
      <c r="C758" t="s">
        <v>11</v>
      </c>
      <c r="D758">
        <v>5299.58</v>
      </c>
      <c r="E758">
        <v>4</v>
      </c>
      <c r="F758">
        <v>21198.32</v>
      </c>
      <c r="G758" s="1">
        <v>45531</v>
      </c>
      <c r="H758" t="s">
        <v>12</v>
      </c>
      <c r="I758">
        <v>2.8</v>
      </c>
    </row>
    <row r="759" spans="1:9" x14ac:dyDescent="0.3">
      <c r="A759" t="s">
        <v>802</v>
      </c>
      <c r="B759" t="s">
        <v>10</v>
      </c>
      <c r="C759" t="s">
        <v>11</v>
      </c>
      <c r="D759">
        <v>7649.41</v>
      </c>
      <c r="E759">
        <v>4</v>
      </c>
      <c r="F759">
        <v>30597.64</v>
      </c>
      <c r="G759" s="1">
        <v>45398</v>
      </c>
      <c r="H759" t="s">
        <v>16</v>
      </c>
      <c r="I759">
        <v>1.6</v>
      </c>
    </row>
    <row r="760" spans="1:9" x14ac:dyDescent="0.3">
      <c r="A760" t="s">
        <v>803</v>
      </c>
      <c r="B760" t="s">
        <v>27</v>
      </c>
      <c r="C760" t="s">
        <v>25</v>
      </c>
      <c r="D760">
        <v>36950.980000000003</v>
      </c>
      <c r="E760">
        <v>4</v>
      </c>
      <c r="F760">
        <v>147803.92000000001</v>
      </c>
      <c r="G760" s="1">
        <v>45572</v>
      </c>
      <c r="H760" t="s">
        <v>12</v>
      </c>
      <c r="I760">
        <v>3</v>
      </c>
    </row>
    <row r="761" spans="1:9" x14ac:dyDescent="0.3">
      <c r="A761" t="s">
        <v>804</v>
      </c>
      <c r="B761" t="s">
        <v>46</v>
      </c>
      <c r="C761" t="s">
        <v>11</v>
      </c>
      <c r="D761">
        <v>2136.9899999999998</v>
      </c>
      <c r="E761">
        <v>1</v>
      </c>
      <c r="F761">
        <v>2136.9899999999998</v>
      </c>
      <c r="G761" s="1">
        <v>45542</v>
      </c>
      <c r="H761" t="s">
        <v>56</v>
      </c>
      <c r="I761">
        <v>2.2000000000000002</v>
      </c>
    </row>
    <row r="762" spans="1:9" x14ac:dyDescent="0.3">
      <c r="A762" t="s">
        <v>805</v>
      </c>
      <c r="B762" t="s">
        <v>120</v>
      </c>
      <c r="C762" t="s">
        <v>25</v>
      </c>
      <c r="D762">
        <v>19693.93</v>
      </c>
      <c r="E762">
        <v>5</v>
      </c>
      <c r="F762">
        <v>98469.65</v>
      </c>
      <c r="G762" s="1">
        <v>45395</v>
      </c>
      <c r="H762" t="s">
        <v>28</v>
      </c>
      <c r="I762">
        <v>1.9</v>
      </c>
    </row>
    <row r="763" spans="1:9" x14ac:dyDescent="0.3">
      <c r="A763" t="s">
        <v>806</v>
      </c>
      <c r="B763" t="s">
        <v>120</v>
      </c>
      <c r="C763" t="s">
        <v>25</v>
      </c>
      <c r="D763">
        <v>16179.61</v>
      </c>
      <c r="E763">
        <v>2</v>
      </c>
      <c r="F763">
        <v>32359.22</v>
      </c>
      <c r="G763" s="1">
        <v>45607</v>
      </c>
      <c r="H763" t="s">
        <v>12</v>
      </c>
      <c r="I763">
        <v>2.7</v>
      </c>
    </row>
    <row r="764" spans="1:9" x14ac:dyDescent="0.3">
      <c r="A764" t="s">
        <v>807</v>
      </c>
      <c r="B764" t="s">
        <v>10</v>
      </c>
      <c r="C764" t="s">
        <v>11</v>
      </c>
      <c r="D764">
        <v>45910.23</v>
      </c>
      <c r="E764">
        <v>4</v>
      </c>
      <c r="F764">
        <v>183640.92</v>
      </c>
      <c r="G764" s="1">
        <v>45652</v>
      </c>
      <c r="H764" t="s">
        <v>56</v>
      </c>
      <c r="I764">
        <v>1.6</v>
      </c>
    </row>
    <row r="765" spans="1:9" x14ac:dyDescent="0.3">
      <c r="A765" t="s">
        <v>808</v>
      </c>
      <c r="B765" t="s">
        <v>40</v>
      </c>
      <c r="C765" t="s">
        <v>19</v>
      </c>
      <c r="D765">
        <v>6685.9</v>
      </c>
      <c r="E765">
        <v>2</v>
      </c>
      <c r="F765">
        <v>13371.8</v>
      </c>
      <c r="G765" s="1">
        <v>45342</v>
      </c>
      <c r="H765" t="s">
        <v>12</v>
      </c>
      <c r="I765">
        <v>2</v>
      </c>
    </row>
    <row r="766" spans="1:9" x14ac:dyDescent="0.3">
      <c r="A766" t="s">
        <v>809</v>
      </c>
      <c r="B766" t="s">
        <v>100</v>
      </c>
      <c r="C766" t="s">
        <v>11</v>
      </c>
      <c r="D766">
        <v>2258.89</v>
      </c>
      <c r="E766">
        <v>3</v>
      </c>
      <c r="F766">
        <v>6776.67</v>
      </c>
      <c r="G766" s="1">
        <v>45547</v>
      </c>
      <c r="H766" t="s">
        <v>28</v>
      </c>
      <c r="I766">
        <v>2</v>
      </c>
    </row>
    <row r="767" spans="1:9" x14ac:dyDescent="0.3">
      <c r="A767" t="s">
        <v>810</v>
      </c>
      <c r="B767" t="s">
        <v>10</v>
      </c>
      <c r="C767" t="s">
        <v>11</v>
      </c>
      <c r="D767">
        <v>25282.52</v>
      </c>
      <c r="E767">
        <v>1</v>
      </c>
      <c r="F767">
        <v>25282.52</v>
      </c>
      <c r="G767" s="1">
        <v>45541</v>
      </c>
      <c r="H767" t="s">
        <v>47</v>
      </c>
      <c r="I767">
        <v>4.5</v>
      </c>
    </row>
    <row r="768" spans="1:9" x14ac:dyDescent="0.3">
      <c r="A768" t="s">
        <v>811</v>
      </c>
      <c r="B768" t="s">
        <v>75</v>
      </c>
      <c r="C768" t="s">
        <v>19</v>
      </c>
      <c r="D768">
        <v>11461.72</v>
      </c>
      <c r="E768">
        <v>5</v>
      </c>
      <c r="F768">
        <v>57308.6</v>
      </c>
      <c r="G768" s="1">
        <v>45602</v>
      </c>
      <c r="H768" t="s">
        <v>12</v>
      </c>
      <c r="I768">
        <v>3</v>
      </c>
    </row>
    <row r="769" spans="1:9" x14ac:dyDescent="0.3">
      <c r="A769" t="s">
        <v>812</v>
      </c>
      <c r="B769" t="s">
        <v>75</v>
      </c>
      <c r="C769" t="s">
        <v>19</v>
      </c>
      <c r="D769">
        <v>17915.599999999999</v>
      </c>
      <c r="E769">
        <v>4</v>
      </c>
      <c r="F769">
        <v>71662.399999999994</v>
      </c>
      <c r="G769" s="1">
        <v>45532</v>
      </c>
      <c r="H769" t="s">
        <v>16</v>
      </c>
      <c r="I769">
        <v>1.8</v>
      </c>
    </row>
    <row r="770" spans="1:9" x14ac:dyDescent="0.3">
      <c r="A770" t="s">
        <v>813</v>
      </c>
      <c r="B770" t="s">
        <v>40</v>
      </c>
      <c r="C770" t="s">
        <v>19</v>
      </c>
      <c r="D770">
        <v>22703.03</v>
      </c>
      <c r="E770">
        <v>2</v>
      </c>
      <c r="F770">
        <v>45406.06</v>
      </c>
      <c r="G770" s="1">
        <v>45418</v>
      </c>
      <c r="H770" t="s">
        <v>56</v>
      </c>
      <c r="I770">
        <v>5</v>
      </c>
    </row>
    <row r="771" spans="1:9" x14ac:dyDescent="0.3">
      <c r="A771" t="s">
        <v>814</v>
      </c>
      <c r="B771" t="s">
        <v>82</v>
      </c>
      <c r="C771" t="s">
        <v>22</v>
      </c>
      <c r="D771">
        <v>42210.82</v>
      </c>
      <c r="E771">
        <v>2</v>
      </c>
      <c r="F771">
        <v>84421.64</v>
      </c>
      <c r="G771" s="1">
        <v>45375</v>
      </c>
      <c r="H771" t="s">
        <v>28</v>
      </c>
      <c r="I771">
        <v>2.8</v>
      </c>
    </row>
    <row r="772" spans="1:9" x14ac:dyDescent="0.3">
      <c r="A772" t="s">
        <v>815</v>
      </c>
      <c r="B772" t="s">
        <v>120</v>
      </c>
      <c r="C772" t="s">
        <v>25</v>
      </c>
      <c r="D772">
        <v>7355.5</v>
      </c>
      <c r="E772">
        <v>3</v>
      </c>
      <c r="F772">
        <v>22066.5</v>
      </c>
      <c r="G772" s="1">
        <v>45684</v>
      </c>
      <c r="H772" t="s">
        <v>56</v>
      </c>
      <c r="I772">
        <v>2</v>
      </c>
    </row>
    <row r="773" spans="1:9" x14ac:dyDescent="0.3">
      <c r="A773" t="s">
        <v>816</v>
      </c>
      <c r="B773" t="s">
        <v>32</v>
      </c>
      <c r="C773" t="s">
        <v>25</v>
      </c>
      <c r="D773">
        <v>13879</v>
      </c>
      <c r="E773">
        <v>1</v>
      </c>
      <c r="F773">
        <v>13879</v>
      </c>
      <c r="G773" s="1">
        <v>45455</v>
      </c>
      <c r="H773" t="s">
        <v>42</v>
      </c>
      <c r="I773">
        <v>2.5</v>
      </c>
    </row>
    <row r="774" spans="1:9" x14ac:dyDescent="0.3">
      <c r="A774" t="s">
        <v>817</v>
      </c>
      <c r="B774" t="s">
        <v>120</v>
      </c>
      <c r="C774" t="s">
        <v>25</v>
      </c>
      <c r="D774">
        <v>42604.95</v>
      </c>
      <c r="E774">
        <v>5</v>
      </c>
      <c r="F774">
        <v>213024.75</v>
      </c>
      <c r="G774" s="1">
        <v>45484</v>
      </c>
      <c r="H774" t="s">
        <v>56</v>
      </c>
      <c r="I774">
        <v>3</v>
      </c>
    </row>
    <row r="775" spans="1:9" x14ac:dyDescent="0.3">
      <c r="A775" t="s">
        <v>818</v>
      </c>
      <c r="B775" t="s">
        <v>21</v>
      </c>
      <c r="C775" t="s">
        <v>22</v>
      </c>
      <c r="D775">
        <v>31265.89</v>
      </c>
      <c r="E775">
        <v>1</v>
      </c>
      <c r="F775">
        <v>31265.89</v>
      </c>
      <c r="G775" s="1">
        <v>45463</v>
      </c>
      <c r="H775" t="s">
        <v>16</v>
      </c>
      <c r="I775">
        <v>4.9000000000000004</v>
      </c>
    </row>
    <row r="776" spans="1:9" x14ac:dyDescent="0.3">
      <c r="A776" t="s">
        <v>819</v>
      </c>
      <c r="B776" t="s">
        <v>151</v>
      </c>
      <c r="C776" t="s">
        <v>15</v>
      </c>
      <c r="D776">
        <v>20020.830000000002</v>
      </c>
      <c r="E776">
        <v>5</v>
      </c>
      <c r="F776">
        <v>100104.15</v>
      </c>
      <c r="G776" s="1">
        <v>45536</v>
      </c>
      <c r="H776" t="s">
        <v>47</v>
      </c>
      <c r="I776">
        <v>1.8</v>
      </c>
    </row>
    <row r="777" spans="1:9" x14ac:dyDescent="0.3">
      <c r="A777" t="s">
        <v>820</v>
      </c>
      <c r="B777" t="s">
        <v>50</v>
      </c>
      <c r="C777" t="s">
        <v>11</v>
      </c>
      <c r="D777">
        <v>24680.19</v>
      </c>
      <c r="E777">
        <v>3</v>
      </c>
      <c r="F777">
        <v>74040.570000000007</v>
      </c>
      <c r="G777" s="1">
        <v>45433</v>
      </c>
      <c r="H777" t="s">
        <v>42</v>
      </c>
      <c r="I777">
        <v>3.5</v>
      </c>
    </row>
    <row r="778" spans="1:9" x14ac:dyDescent="0.3">
      <c r="A778" t="s">
        <v>821</v>
      </c>
      <c r="B778" t="s">
        <v>40</v>
      </c>
      <c r="C778" t="s">
        <v>19</v>
      </c>
      <c r="D778">
        <v>22254.17</v>
      </c>
      <c r="E778">
        <v>4</v>
      </c>
      <c r="F778">
        <v>89016.68</v>
      </c>
      <c r="G778" s="1">
        <v>45396</v>
      </c>
      <c r="H778" t="s">
        <v>12</v>
      </c>
      <c r="I778">
        <v>3.8</v>
      </c>
    </row>
    <row r="779" spans="1:9" x14ac:dyDescent="0.3">
      <c r="A779" t="s">
        <v>822</v>
      </c>
      <c r="B779" t="s">
        <v>93</v>
      </c>
      <c r="C779" t="s">
        <v>11</v>
      </c>
      <c r="D779">
        <v>4226.03</v>
      </c>
      <c r="E779">
        <v>1</v>
      </c>
      <c r="F779">
        <v>4226.03</v>
      </c>
      <c r="G779" s="1">
        <v>45542</v>
      </c>
      <c r="H779" t="s">
        <v>12</v>
      </c>
      <c r="I779">
        <v>2.8</v>
      </c>
    </row>
    <row r="780" spans="1:9" x14ac:dyDescent="0.3">
      <c r="A780" t="s">
        <v>823</v>
      </c>
      <c r="B780" t="s">
        <v>60</v>
      </c>
      <c r="C780" t="s">
        <v>25</v>
      </c>
      <c r="D780">
        <v>46315.8</v>
      </c>
      <c r="E780">
        <v>3</v>
      </c>
      <c r="F780">
        <v>138947.4</v>
      </c>
      <c r="G780" s="1">
        <v>45436</v>
      </c>
      <c r="H780" t="s">
        <v>28</v>
      </c>
      <c r="I780">
        <v>2.4</v>
      </c>
    </row>
    <row r="781" spans="1:9" x14ac:dyDescent="0.3">
      <c r="A781" t="s">
        <v>824</v>
      </c>
      <c r="B781" t="s">
        <v>21</v>
      </c>
      <c r="C781" t="s">
        <v>22</v>
      </c>
      <c r="D781">
        <v>1320.32</v>
      </c>
      <c r="E781">
        <v>3</v>
      </c>
      <c r="F781">
        <v>3960.96</v>
      </c>
      <c r="G781" s="1">
        <v>45665</v>
      </c>
      <c r="H781" t="s">
        <v>28</v>
      </c>
      <c r="I781">
        <v>2</v>
      </c>
    </row>
    <row r="782" spans="1:9" x14ac:dyDescent="0.3">
      <c r="A782" t="s">
        <v>825</v>
      </c>
      <c r="B782" t="s">
        <v>50</v>
      </c>
      <c r="C782" t="s">
        <v>11</v>
      </c>
      <c r="D782">
        <v>9772.82</v>
      </c>
      <c r="E782">
        <v>4</v>
      </c>
      <c r="F782">
        <v>39091.279999999999</v>
      </c>
      <c r="G782" s="1">
        <v>45600</v>
      </c>
      <c r="H782" t="s">
        <v>16</v>
      </c>
      <c r="I782">
        <v>3.1</v>
      </c>
    </row>
    <row r="783" spans="1:9" x14ac:dyDescent="0.3">
      <c r="A783" t="s">
        <v>826</v>
      </c>
      <c r="B783" t="s">
        <v>46</v>
      </c>
      <c r="C783" t="s">
        <v>11</v>
      </c>
      <c r="D783">
        <v>47666.18</v>
      </c>
      <c r="E783">
        <v>1</v>
      </c>
      <c r="F783">
        <v>47666.18</v>
      </c>
      <c r="G783" s="1">
        <v>45334</v>
      </c>
      <c r="H783" t="s">
        <v>16</v>
      </c>
      <c r="I783">
        <v>2.2999999999999998</v>
      </c>
    </row>
    <row r="784" spans="1:9" x14ac:dyDescent="0.3">
      <c r="A784" t="s">
        <v>827</v>
      </c>
      <c r="B784" t="s">
        <v>14</v>
      </c>
      <c r="C784" t="s">
        <v>15</v>
      </c>
      <c r="D784">
        <v>7673.62</v>
      </c>
      <c r="E784">
        <v>2</v>
      </c>
      <c r="F784">
        <v>15347.24</v>
      </c>
      <c r="G784" s="1">
        <v>45456</v>
      </c>
      <c r="H784" t="s">
        <v>42</v>
      </c>
      <c r="I784">
        <v>4.5999999999999996</v>
      </c>
    </row>
    <row r="785" spans="1:9" x14ac:dyDescent="0.3">
      <c r="A785" t="s">
        <v>828</v>
      </c>
      <c r="B785" t="s">
        <v>120</v>
      </c>
      <c r="C785" t="s">
        <v>25</v>
      </c>
      <c r="D785">
        <v>41671.06</v>
      </c>
      <c r="E785">
        <v>2</v>
      </c>
      <c r="F785">
        <v>83342.12</v>
      </c>
      <c r="G785" s="1">
        <v>45689</v>
      </c>
      <c r="H785" t="s">
        <v>16</v>
      </c>
      <c r="I785">
        <v>2.2999999999999998</v>
      </c>
    </row>
    <row r="786" spans="1:9" x14ac:dyDescent="0.3">
      <c r="A786" t="s">
        <v>829</v>
      </c>
      <c r="B786" t="s">
        <v>32</v>
      </c>
      <c r="C786" t="s">
        <v>25</v>
      </c>
      <c r="D786">
        <v>15793.43</v>
      </c>
      <c r="E786">
        <v>5</v>
      </c>
      <c r="F786">
        <v>78967.149999999994</v>
      </c>
      <c r="G786" s="1">
        <v>45557</v>
      </c>
      <c r="H786" t="s">
        <v>56</v>
      </c>
      <c r="I786">
        <v>1.3</v>
      </c>
    </row>
    <row r="787" spans="1:9" x14ac:dyDescent="0.3">
      <c r="A787" t="s">
        <v>830</v>
      </c>
      <c r="B787" t="s">
        <v>40</v>
      </c>
      <c r="C787" t="s">
        <v>19</v>
      </c>
      <c r="D787">
        <v>6767.81</v>
      </c>
      <c r="E787">
        <v>1</v>
      </c>
      <c r="F787">
        <v>6767.81</v>
      </c>
      <c r="G787" s="1">
        <v>45653</v>
      </c>
      <c r="H787" t="s">
        <v>42</v>
      </c>
      <c r="I787">
        <v>2.1</v>
      </c>
    </row>
    <row r="788" spans="1:9" x14ac:dyDescent="0.3">
      <c r="A788" t="s">
        <v>831</v>
      </c>
      <c r="B788" t="s">
        <v>40</v>
      </c>
      <c r="C788" t="s">
        <v>19</v>
      </c>
      <c r="D788">
        <v>1011.22</v>
      </c>
      <c r="E788">
        <v>5</v>
      </c>
      <c r="F788">
        <v>5056.1000000000004</v>
      </c>
      <c r="G788" s="1">
        <v>45601</v>
      </c>
      <c r="H788" t="s">
        <v>56</v>
      </c>
      <c r="I788">
        <v>4.7</v>
      </c>
    </row>
    <row r="789" spans="1:9" x14ac:dyDescent="0.3">
      <c r="A789" t="s">
        <v>832</v>
      </c>
      <c r="B789" t="s">
        <v>82</v>
      </c>
      <c r="C789" t="s">
        <v>22</v>
      </c>
      <c r="D789">
        <v>13371.25</v>
      </c>
      <c r="E789">
        <v>4</v>
      </c>
      <c r="F789">
        <v>53485</v>
      </c>
      <c r="G789" s="1">
        <v>45478</v>
      </c>
      <c r="H789" t="s">
        <v>47</v>
      </c>
      <c r="I789">
        <v>1.6</v>
      </c>
    </row>
    <row r="790" spans="1:9" x14ac:dyDescent="0.3">
      <c r="A790" t="s">
        <v>833</v>
      </c>
      <c r="B790" t="s">
        <v>14</v>
      </c>
      <c r="C790" t="s">
        <v>15</v>
      </c>
      <c r="D790">
        <v>28972.11</v>
      </c>
      <c r="E790">
        <v>2</v>
      </c>
      <c r="F790">
        <v>57944.22</v>
      </c>
      <c r="G790" s="1">
        <v>45505</v>
      </c>
      <c r="H790" t="s">
        <v>47</v>
      </c>
      <c r="I790">
        <v>2.1</v>
      </c>
    </row>
    <row r="791" spans="1:9" x14ac:dyDescent="0.3">
      <c r="A791" t="s">
        <v>834</v>
      </c>
      <c r="B791" t="s">
        <v>38</v>
      </c>
      <c r="C791" t="s">
        <v>19</v>
      </c>
      <c r="D791">
        <v>17212.34</v>
      </c>
      <c r="E791">
        <v>1</v>
      </c>
      <c r="F791">
        <v>17212.34</v>
      </c>
      <c r="G791" s="1">
        <v>45694</v>
      </c>
      <c r="H791" t="s">
        <v>42</v>
      </c>
      <c r="I791">
        <v>3.5</v>
      </c>
    </row>
    <row r="792" spans="1:9" x14ac:dyDescent="0.3">
      <c r="A792" t="s">
        <v>835</v>
      </c>
      <c r="B792" t="s">
        <v>10</v>
      </c>
      <c r="C792" t="s">
        <v>11</v>
      </c>
      <c r="D792">
        <v>48742</v>
      </c>
      <c r="E792">
        <v>1</v>
      </c>
      <c r="F792">
        <v>48742</v>
      </c>
      <c r="G792" s="1">
        <v>45551</v>
      </c>
      <c r="H792" t="s">
        <v>16</v>
      </c>
      <c r="I792">
        <v>1.1000000000000001</v>
      </c>
    </row>
    <row r="793" spans="1:9" x14ac:dyDescent="0.3">
      <c r="A793" t="s">
        <v>836</v>
      </c>
      <c r="B793" t="s">
        <v>44</v>
      </c>
      <c r="C793" t="s">
        <v>22</v>
      </c>
      <c r="D793">
        <v>19117.36</v>
      </c>
      <c r="E793">
        <v>3</v>
      </c>
      <c r="F793">
        <v>57352.08</v>
      </c>
      <c r="G793" s="1">
        <v>45696</v>
      </c>
      <c r="H793" t="s">
        <v>42</v>
      </c>
      <c r="I793">
        <v>1.6</v>
      </c>
    </row>
    <row r="794" spans="1:9" x14ac:dyDescent="0.3">
      <c r="A794" t="s">
        <v>837</v>
      </c>
      <c r="B794" t="s">
        <v>36</v>
      </c>
      <c r="C794" t="s">
        <v>22</v>
      </c>
      <c r="D794">
        <v>847.39</v>
      </c>
      <c r="E794">
        <v>5</v>
      </c>
      <c r="F794">
        <v>4236.95</v>
      </c>
      <c r="G794" s="1">
        <v>45641</v>
      </c>
      <c r="H794" t="s">
        <v>56</v>
      </c>
      <c r="I794">
        <v>4</v>
      </c>
    </row>
    <row r="795" spans="1:9" x14ac:dyDescent="0.3">
      <c r="A795" t="s">
        <v>838</v>
      </c>
      <c r="B795" t="s">
        <v>27</v>
      </c>
      <c r="C795" t="s">
        <v>25</v>
      </c>
      <c r="D795">
        <v>14796.32</v>
      </c>
      <c r="E795">
        <v>2</v>
      </c>
      <c r="F795">
        <v>29592.639999999999</v>
      </c>
      <c r="G795" s="1">
        <v>45625</v>
      </c>
      <c r="H795" t="s">
        <v>28</v>
      </c>
      <c r="I795">
        <v>1.2</v>
      </c>
    </row>
    <row r="796" spans="1:9" x14ac:dyDescent="0.3">
      <c r="A796" t="s">
        <v>839</v>
      </c>
      <c r="B796" t="s">
        <v>18</v>
      </c>
      <c r="C796" t="s">
        <v>19</v>
      </c>
      <c r="D796">
        <v>5238.33</v>
      </c>
      <c r="E796">
        <v>3</v>
      </c>
      <c r="F796">
        <v>15714.99</v>
      </c>
      <c r="G796" s="1">
        <v>45589</v>
      </c>
      <c r="H796" t="s">
        <v>28</v>
      </c>
      <c r="I796">
        <v>1.6</v>
      </c>
    </row>
    <row r="797" spans="1:9" x14ac:dyDescent="0.3">
      <c r="A797" t="s">
        <v>840</v>
      </c>
      <c r="B797" t="s">
        <v>27</v>
      </c>
      <c r="C797" t="s">
        <v>25</v>
      </c>
      <c r="D797">
        <v>31430.94</v>
      </c>
      <c r="E797">
        <v>5</v>
      </c>
      <c r="F797">
        <v>157154.70000000001</v>
      </c>
      <c r="G797" s="1">
        <v>45598</v>
      </c>
      <c r="H797" t="s">
        <v>12</v>
      </c>
      <c r="I797">
        <v>4.5999999999999996</v>
      </c>
    </row>
    <row r="798" spans="1:9" x14ac:dyDescent="0.3">
      <c r="A798" t="s">
        <v>841</v>
      </c>
      <c r="B798" t="s">
        <v>14</v>
      </c>
      <c r="C798" t="s">
        <v>15</v>
      </c>
      <c r="D798">
        <v>27532.48</v>
      </c>
      <c r="E798">
        <v>4</v>
      </c>
      <c r="F798">
        <v>110129.92</v>
      </c>
      <c r="G798" s="1">
        <v>45391</v>
      </c>
      <c r="H798" t="s">
        <v>16</v>
      </c>
      <c r="I798">
        <v>2.2000000000000002</v>
      </c>
    </row>
    <row r="799" spans="1:9" x14ac:dyDescent="0.3">
      <c r="A799" t="s">
        <v>842</v>
      </c>
      <c r="B799" t="s">
        <v>14</v>
      </c>
      <c r="C799" t="s">
        <v>15</v>
      </c>
      <c r="D799">
        <v>41121.949999999997</v>
      </c>
      <c r="E799">
        <v>3</v>
      </c>
      <c r="F799">
        <v>123365.85</v>
      </c>
      <c r="G799" s="1">
        <v>45342</v>
      </c>
      <c r="H799" t="s">
        <v>42</v>
      </c>
      <c r="I799">
        <v>1.4</v>
      </c>
    </row>
    <row r="800" spans="1:9" x14ac:dyDescent="0.3">
      <c r="A800" t="s">
        <v>843</v>
      </c>
      <c r="B800" t="s">
        <v>71</v>
      </c>
      <c r="C800" t="s">
        <v>22</v>
      </c>
      <c r="D800">
        <v>12944.89</v>
      </c>
      <c r="E800">
        <v>2</v>
      </c>
      <c r="F800">
        <v>25889.78</v>
      </c>
      <c r="G800" s="1">
        <v>45392</v>
      </c>
      <c r="H800" t="s">
        <v>42</v>
      </c>
      <c r="I800">
        <v>1.9</v>
      </c>
    </row>
    <row r="801" spans="1:9" x14ac:dyDescent="0.3">
      <c r="A801" t="s">
        <v>844</v>
      </c>
      <c r="B801" t="s">
        <v>54</v>
      </c>
      <c r="C801" t="s">
        <v>15</v>
      </c>
      <c r="D801">
        <v>4729.04</v>
      </c>
      <c r="E801">
        <v>5</v>
      </c>
      <c r="F801">
        <v>23645.200000000001</v>
      </c>
      <c r="G801" s="1">
        <v>45544</v>
      </c>
      <c r="H801" t="s">
        <v>42</v>
      </c>
      <c r="I801">
        <v>4</v>
      </c>
    </row>
    <row r="802" spans="1:9" x14ac:dyDescent="0.3">
      <c r="A802" t="s">
        <v>845</v>
      </c>
      <c r="B802" t="s">
        <v>40</v>
      </c>
      <c r="C802" t="s">
        <v>19</v>
      </c>
      <c r="D802">
        <v>31512.97</v>
      </c>
      <c r="E802">
        <v>2</v>
      </c>
      <c r="F802">
        <v>63025.94</v>
      </c>
      <c r="G802" s="1">
        <v>45644</v>
      </c>
      <c r="H802" t="s">
        <v>42</v>
      </c>
      <c r="I802">
        <v>2.1</v>
      </c>
    </row>
    <row r="803" spans="1:9" x14ac:dyDescent="0.3">
      <c r="A803" t="s">
        <v>846</v>
      </c>
      <c r="B803" t="s">
        <v>21</v>
      </c>
      <c r="C803" t="s">
        <v>22</v>
      </c>
      <c r="D803">
        <v>46891.65</v>
      </c>
      <c r="E803">
        <v>3</v>
      </c>
      <c r="F803">
        <v>140674.95000000001</v>
      </c>
      <c r="G803" s="1">
        <v>45604</v>
      </c>
      <c r="H803" t="s">
        <v>56</v>
      </c>
      <c r="I803">
        <v>2.9</v>
      </c>
    </row>
    <row r="804" spans="1:9" x14ac:dyDescent="0.3">
      <c r="A804" t="s">
        <v>847</v>
      </c>
      <c r="B804" t="s">
        <v>151</v>
      </c>
      <c r="C804" t="s">
        <v>15</v>
      </c>
      <c r="D804">
        <v>34137.79</v>
      </c>
      <c r="E804">
        <v>2</v>
      </c>
      <c r="F804">
        <v>68275.58</v>
      </c>
      <c r="G804" s="1">
        <v>45558</v>
      </c>
      <c r="H804" t="s">
        <v>56</v>
      </c>
      <c r="I804">
        <v>1.8</v>
      </c>
    </row>
    <row r="805" spans="1:9" x14ac:dyDescent="0.3">
      <c r="A805" t="s">
        <v>848</v>
      </c>
      <c r="B805" t="s">
        <v>32</v>
      </c>
      <c r="C805" t="s">
        <v>25</v>
      </c>
      <c r="D805">
        <v>41000.910000000003</v>
      </c>
      <c r="E805">
        <v>4</v>
      </c>
      <c r="F805">
        <v>164003.64000000001</v>
      </c>
      <c r="G805" s="1">
        <v>45546</v>
      </c>
      <c r="H805" t="s">
        <v>16</v>
      </c>
      <c r="I805">
        <v>4.5</v>
      </c>
    </row>
    <row r="806" spans="1:9" x14ac:dyDescent="0.3">
      <c r="A806" t="s">
        <v>849</v>
      </c>
      <c r="B806" t="s">
        <v>71</v>
      </c>
      <c r="C806" t="s">
        <v>22</v>
      </c>
      <c r="D806">
        <v>7672.34</v>
      </c>
      <c r="E806">
        <v>4</v>
      </c>
      <c r="F806">
        <v>30689.360000000001</v>
      </c>
      <c r="G806" s="1">
        <v>45392</v>
      </c>
      <c r="H806" t="s">
        <v>16</v>
      </c>
      <c r="I806">
        <v>1.1000000000000001</v>
      </c>
    </row>
    <row r="807" spans="1:9" x14ac:dyDescent="0.3">
      <c r="A807" t="s">
        <v>850</v>
      </c>
      <c r="B807" t="s">
        <v>10</v>
      </c>
      <c r="C807" t="s">
        <v>11</v>
      </c>
      <c r="D807">
        <v>25186.79</v>
      </c>
      <c r="E807">
        <v>3</v>
      </c>
      <c r="F807">
        <v>75560.37</v>
      </c>
      <c r="G807" s="1">
        <v>45344</v>
      </c>
      <c r="H807" t="s">
        <v>42</v>
      </c>
      <c r="I807">
        <v>3.8</v>
      </c>
    </row>
    <row r="808" spans="1:9" x14ac:dyDescent="0.3">
      <c r="A808" t="s">
        <v>851</v>
      </c>
      <c r="B808" t="s">
        <v>75</v>
      </c>
      <c r="C808" t="s">
        <v>19</v>
      </c>
      <c r="D808">
        <v>41285.25</v>
      </c>
      <c r="E808">
        <v>1</v>
      </c>
      <c r="F808">
        <v>41285.25</v>
      </c>
      <c r="G808" s="1">
        <v>45631</v>
      </c>
      <c r="H808" t="s">
        <v>42</v>
      </c>
      <c r="I808">
        <v>1.8</v>
      </c>
    </row>
    <row r="809" spans="1:9" x14ac:dyDescent="0.3">
      <c r="A809" t="s">
        <v>852</v>
      </c>
      <c r="B809" t="s">
        <v>75</v>
      </c>
      <c r="C809" t="s">
        <v>19</v>
      </c>
      <c r="D809">
        <v>30435.75</v>
      </c>
      <c r="E809">
        <v>2</v>
      </c>
      <c r="F809">
        <v>60871.5</v>
      </c>
      <c r="G809" s="1">
        <v>45391</v>
      </c>
      <c r="H809" t="s">
        <v>47</v>
      </c>
      <c r="I809">
        <v>3.1</v>
      </c>
    </row>
    <row r="810" spans="1:9" x14ac:dyDescent="0.3">
      <c r="A810" t="s">
        <v>853</v>
      </c>
      <c r="B810" t="s">
        <v>71</v>
      </c>
      <c r="C810" t="s">
        <v>22</v>
      </c>
      <c r="D810">
        <v>45786.559999999998</v>
      </c>
      <c r="E810">
        <v>5</v>
      </c>
      <c r="F810">
        <v>228932.8</v>
      </c>
      <c r="G810" s="1">
        <v>45648</v>
      </c>
      <c r="H810" t="s">
        <v>28</v>
      </c>
      <c r="I810">
        <v>1.4</v>
      </c>
    </row>
    <row r="811" spans="1:9" x14ac:dyDescent="0.3">
      <c r="A811" t="s">
        <v>854</v>
      </c>
      <c r="B811" t="s">
        <v>93</v>
      </c>
      <c r="C811" t="s">
        <v>11</v>
      </c>
      <c r="D811">
        <v>26700.19</v>
      </c>
      <c r="E811">
        <v>3</v>
      </c>
      <c r="F811">
        <v>80100.570000000007</v>
      </c>
      <c r="G811" s="1">
        <v>45377</v>
      </c>
      <c r="H811" t="s">
        <v>42</v>
      </c>
      <c r="I811">
        <v>1.5</v>
      </c>
    </row>
    <row r="812" spans="1:9" x14ac:dyDescent="0.3">
      <c r="A812" t="s">
        <v>855</v>
      </c>
      <c r="B812" t="s">
        <v>30</v>
      </c>
      <c r="C812" t="s">
        <v>15</v>
      </c>
      <c r="D812">
        <v>27367.02</v>
      </c>
      <c r="E812">
        <v>3</v>
      </c>
      <c r="F812">
        <v>82101.06</v>
      </c>
      <c r="G812" s="1">
        <v>45476</v>
      </c>
      <c r="H812" t="s">
        <v>28</v>
      </c>
      <c r="I812">
        <v>1.4</v>
      </c>
    </row>
    <row r="813" spans="1:9" x14ac:dyDescent="0.3">
      <c r="A813" t="s">
        <v>856</v>
      </c>
      <c r="B813" t="s">
        <v>36</v>
      </c>
      <c r="C813" t="s">
        <v>22</v>
      </c>
      <c r="D813">
        <v>17213.3</v>
      </c>
      <c r="E813">
        <v>3</v>
      </c>
      <c r="F813">
        <v>51639.9</v>
      </c>
      <c r="G813" s="1">
        <v>45403</v>
      </c>
      <c r="H813" t="s">
        <v>56</v>
      </c>
      <c r="I813">
        <v>1.7</v>
      </c>
    </row>
    <row r="814" spans="1:9" x14ac:dyDescent="0.3">
      <c r="A814" t="s">
        <v>857</v>
      </c>
      <c r="B814" t="s">
        <v>27</v>
      </c>
      <c r="C814" t="s">
        <v>25</v>
      </c>
      <c r="D814">
        <v>4084.62</v>
      </c>
      <c r="E814">
        <v>5</v>
      </c>
      <c r="F814">
        <v>20423.099999999999</v>
      </c>
      <c r="G814" s="1">
        <v>45348</v>
      </c>
      <c r="H814" t="s">
        <v>16</v>
      </c>
      <c r="I814">
        <v>4.3</v>
      </c>
    </row>
    <row r="815" spans="1:9" x14ac:dyDescent="0.3">
      <c r="A815" t="s">
        <v>858</v>
      </c>
      <c r="B815" t="s">
        <v>32</v>
      </c>
      <c r="C815" t="s">
        <v>25</v>
      </c>
      <c r="D815">
        <v>9213.5499999999993</v>
      </c>
      <c r="E815">
        <v>4</v>
      </c>
      <c r="F815">
        <v>36854.199999999997</v>
      </c>
      <c r="G815" s="1">
        <v>45490</v>
      </c>
      <c r="H815" t="s">
        <v>42</v>
      </c>
      <c r="I815">
        <v>2.5</v>
      </c>
    </row>
    <row r="816" spans="1:9" x14ac:dyDescent="0.3">
      <c r="A816" t="s">
        <v>859</v>
      </c>
      <c r="B816" t="s">
        <v>54</v>
      </c>
      <c r="C816" t="s">
        <v>15</v>
      </c>
      <c r="D816">
        <v>6114.55</v>
      </c>
      <c r="E816">
        <v>4</v>
      </c>
      <c r="F816">
        <v>24458.2</v>
      </c>
      <c r="G816" s="1">
        <v>45531</v>
      </c>
      <c r="H816" t="s">
        <v>12</v>
      </c>
      <c r="I816">
        <v>3.7</v>
      </c>
    </row>
    <row r="817" spans="1:9" x14ac:dyDescent="0.3">
      <c r="A817" t="s">
        <v>860</v>
      </c>
      <c r="B817" t="s">
        <v>46</v>
      </c>
      <c r="C817" t="s">
        <v>11</v>
      </c>
      <c r="D817">
        <v>21670.52</v>
      </c>
      <c r="E817">
        <v>4</v>
      </c>
      <c r="F817">
        <v>86682.08</v>
      </c>
      <c r="G817" s="1">
        <v>45391</v>
      </c>
      <c r="H817" t="s">
        <v>42</v>
      </c>
      <c r="I817">
        <v>4.5999999999999996</v>
      </c>
    </row>
    <row r="818" spans="1:9" x14ac:dyDescent="0.3">
      <c r="A818" t="s">
        <v>861</v>
      </c>
      <c r="B818" t="s">
        <v>18</v>
      </c>
      <c r="C818" t="s">
        <v>19</v>
      </c>
      <c r="D818">
        <v>37528.53</v>
      </c>
      <c r="E818">
        <v>4</v>
      </c>
      <c r="F818">
        <v>150114.12</v>
      </c>
      <c r="G818" s="1">
        <v>45678</v>
      </c>
      <c r="H818" t="s">
        <v>16</v>
      </c>
      <c r="I818">
        <v>1.6</v>
      </c>
    </row>
    <row r="819" spans="1:9" x14ac:dyDescent="0.3">
      <c r="A819" t="s">
        <v>862</v>
      </c>
      <c r="B819" t="s">
        <v>44</v>
      </c>
      <c r="C819" t="s">
        <v>22</v>
      </c>
      <c r="D819">
        <v>46526.93</v>
      </c>
      <c r="E819">
        <v>5</v>
      </c>
      <c r="F819">
        <v>232634.65</v>
      </c>
      <c r="G819" s="1">
        <v>45646</v>
      </c>
      <c r="H819" t="s">
        <v>56</v>
      </c>
      <c r="I819">
        <v>2.2000000000000002</v>
      </c>
    </row>
    <row r="820" spans="1:9" x14ac:dyDescent="0.3">
      <c r="A820" t="s">
        <v>863</v>
      </c>
      <c r="B820" t="s">
        <v>100</v>
      </c>
      <c r="C820" t="s">
        <v>11</v>
      </c>
      <c r="D820">
        <v>4042.56</v>
      </c>
      <c r="E820">
        <v>2</v>
      </c>
      <c r="F820">
        <v>8085.12</v>
      </c>
      <c r="G820" s="1">
        <v>45365</v>
      </c>
      <c r="H820" t="s">
        <v>12</v>
      </c>
      <c r="I820">
        <v>3.7</v>
      </c>
    </row>
    <row r="821" spans="1:9" x14ac:dyDescent="0.3">
      <c r="A821" t="s">
        <v>864</v>
      </c>
      <c r="B821" t="s">
        <v>24</v>
      </c>
      <c r="C821" t="s">
        <v>25</v>
      </c>
      <c r="D821">
        <v>35777.51</v>
      </c>
      <c r="E821">
        <v>1</v>
      </c>
      <c r="F821">
        <v>35777.51</v>
      </c>
      <c r="G821" s="1">
        <v>45649</v>
      </c>
      <c r="H821" t="s">
        <v>56</v>
      </c>
      <c r="I821">
        <v>3.2</v>
      </c>
    </row>
    <row r="822" spans="1:9" x14ac:dyDescent="0.3">
      <c r="A822" t="s">
        <v>865</v>
      </c>
      <c r="B822" t="s">
        <v>60</v>
      </c>
      <c r="C822" t="s">
        <v>25</v>
      </c>
      <c r="D822">
        <v>4160.5200000000004</v>
      </c>
      <c r="E822">
        <v>2</v>
      </c>
      <c r="F822">
        <v>8321.0400000000009</v>
      </c>
      <c r="G822" s="1">
        <v>45632</v>
      </c>
      <c r="H822" t="s">
        <v>56</v>
      </c>
      <c r="I822">
        <v>3.8</v>
      </c>
    </row>
    <row r="823" spans="1:9" x14ac:dyDescent="0.3">
      <c r="A823" t="s">
        <v>866</v>
      </c>
      <c r="B823" t="s">
        <v>71</v>
      </c>
      <c r="C823" t="s">
        <v>22</v>
      </c>
      <c r="D823">
        <v>20754.919999999998</v>
      </c>
      <c r="E823">
        <v>3</v>
      </c>
      <c r="F823">
        <v>62264.76</v>
      </c>
      <c r="G823" s="1">
        <v>45514</v>
      </c>
      <c r="H823" t="s">
        <v>12</v>
      </c>
      <c r="I823">
        <v>1.9</v>
      </c>
    </row>
    <row r="824" spans="1:9" x14ac:dyDescent="0.3">
      <c r="A824" t="s">
        <v>867</v>
      </c>
      <c r="B824" t="s">
        <v>46</v>
      </c>
      <c r="C824" t="s">
        <v>11</v>
      </c>
      <c r="D824">
        <v>34460.43</v>
      </c>
      <c r="E824">
        <v>2</v>
      </c>
      <c r="F824">
        <v>68920.86</v>
      </c>
      <c r="G824" s="1">
        <v>45357</v>
      </c>
      <c r="H824" t="s">
        <v>42</v>
      </c>
      <c r="I824">
        <v>4.5999999999999996</v>
      </c>
    </row>
    <row r="825" spans="1:9" x14ac:dyDescent="0.3">
      <c r="A825" t="s">
        <v>868</v>
      </c>
      <c r="B825" t="s">
        <v>32</v>
      </c>
      <c r="C825" t="s">
        <v>25</v>
      </c>
      <c r="D825">
        <v>22835.78</v>
      </c>
      <c r="E825">
        <v>5</v>
      </c>
      <c r="F825">
        <v>114178.9</v>
      </c>
      <c r="G825" s="1">
        <v>45344</v>
      </c>
      <c r="H825" t="s">
        <v>28</v>
      </c>
      <c r="I825">
        <v>4.0999999999999996</v>
      </c>
    </row>
    <row r="826" spans="1:9" x14ac:dyDescent="0.3">
      <c r="A826" t="s">
        <v>869</v>
      </c>
      <c r="B826" t="s">
        <v>75</v>
      </c>
      <c r="C826" t="s">
        <v>19</v>
      </c>
      <c r="D826">
        <v>5361.18</v>
      </c>
      <c r="E826">
        <v>2</v>
      </c>
      <c r="F826">
        <v>10722.36</v>
      </c>
      <c r="G826" s="1">
        <v>45581</v>
      </c>
      <c r="H826" t="s">
        <v>56</v>
      </c>
      <c r="I826">
        <v>3</v>
      </c>
    </row>
    <row r="827" spans="1:9" x14ac:dyDescent="0.3">
      <c r="A827" t="s">
        <v>870</v>
      </c>
      <c r="B827" t="s">
        <v>34</v>
      </c>
      <c r="C827" t="s">
        <v>15</v>
      </c>
      <c r="D827">
        <v>41996.61</v>
      </c>
      <c r="E827">
        <v>2</v>
      </c>
      <c r="F827">
        <v>83993.22</v>
      </c>
      <c r="G827" s="1">
        <v>45616</v>
      </c>
      <c r="H827" t="s">
        <v>42</v>
      </c>
      <c r="I827">
        <v>2.1</v>
      </c>
    </row>
    <row r="828" spans="1:9" x14ac:dyDescent="0.3">
      <c r="A828" t="s">
        <v>871</v>
      </c>
      <c r="B828" t="s">
        <v>38</v>
      </c>
      <c r="C828" t="s">
        <v>19</v>
      </c>
      <c r="D828">
        <v>43606.83</v>
      </c>
      <c r="E828">
        <v>4</v>
      </c>
      <c r="F828">
        <v>174427.32</v>
      </c>
      <c r="G828" s="1">
        <v>45393</v>
      </c>
      <c r="H828" t="s">
        <v>12</v>
      </c>
      <c r="I828">
        <v>3.6</v>
      </c>
    </row>
    <row r="829" spans="1:9" x14ac:dyDescent="0.3">
      <c r="A829" t="s">
        <v>872</v>
      </c>
      <c r="B829" t="s">
        <v>21</v>
      </c>
      <c r="C829" t="s">
        <v>22</v>
      </c>
      <c r="D829">
        <v>14290.07</v>
      </c>
      <c r="E829">
        <v>5</v>
      </c>
      <c r="F829">
        <v>71450.350000000006</v>
      </c>
      <c r="G829" s="1">
        <v>45638</v>
      </c>
      <c r="H829" t="s">
        <v>12</v>
      </c>
      <c r="I829">
        <v>2.2999999999999998</v>
      </c>
    </row>
    <row r="830" spans="1:9" x14ac:dyDescent="0.3">
      <c r="A830" t="s">
        <v>873</v>
      </c>
      <c r="B830" t="s">
        <v>71</v>
      </c>
      <c r="C830" t="s">
        <v>22</v>
      </c>
      <c r="D830">
        <v>32760.67</v>
      </c>
      <c r="E830">
        <v>3</v>
      </c>
      <c r="F830">
        <v>98282.01</v>
      </c>
      <c r="G830" s="1">
        <v>45469</v>
      </c>
      <c r="H830" t="s">
        <v>56</v>
      </c>
      <c r="I830">
        <v>1</v>
      </c>
    </row>
    <row r="831" spans="1:9" x14ac:dyDescent="0.3">
      <c r="A831" t="s">
        <v>874</v>
      </c>
      <c r="B831" t="s">
        <v>46</v>
      </c>
      <c r="C831" t="s">
        <v>11</v>
      </c>
      <c r="D831">
        <v>26403.73</v>
      </c>
      <c r="E831">
        <v>1</v>
      </c>
      <c r="F831">
        <v>26403.73</v>
      </c>
      <c r="G831" s="1">
        <v>45604</v>
      </c>
      <c r="H831" t="s">
        <v>12</v>
      </c>
      <c r="I831">
        <v>3.3</v>
      </c>
    </row>
    <row r="832" spans="1:9" x14ac:dyDescent="0.3">
      <c r="A832" t="s">
        <v>875</v>
      </c>
      <c r="B832" t="s">
        <v>69</v>
      </c>
      <c r="C832" t="s">
        <v>19</v>
      </c>
      <c r="D832">
        <v>34069.64</v>
      </c>
      <c r="E832">
        <v>1</v>
      </c>
      <c r="F832">
        <v>34069.64</v>
      </c>
      <c r="G832" s="1">
        <v>45610</v>
      </c>
      <c r="H832" t="s">
        <v>28</v>
      </c>
      <c r="I832">
        <v>3</v>
      </c>
    </row>
    <row r="833" spans="1:9" x14ac:dyDescent="0.3">
      <c r="A833" t="s">
        <v>876</v>
      </c>
      <c r="B833" t="s">
        <v>32</v>
      </c>
      <c r="C833" t="s">
        <v>25</v>
      </c>
      <c r="D833">
        <v>47284.54</v>
      </c>
      <c r="E833">
        <v>5</v>
      </c>
      <c r="F833">
        <v>236422.7</v>
      </c>
      <c r="G833" s="1">
        <v>45352</v>
      </c>
      <c r="H833" t="s">
        <v>56</v>
      </c>
      <c r="I833">
        <v>2.4</v>
      </c>
    </row>
    <row r="834" spans="1:9" x14ac:dyDescent="0.3">
      <c r="A834" t="s">
        <v>877</v>
      </c>
      <c r="B834" t="s">
        <v>21</v>
      </c>
      <c r="C834" t="s">
        <v>22</v>
      </c>
      <c r="D834">
        <v>28678.880000000001</v>
      </c>
      <c r="E834">
        <v>4</v>
      </c>
      <c r="F834">
        <v>114715.52</v>
      </c>
      <c r="G834" s="1">
        <v>45582</v>
      </c>
      <c r="H834" t="s">
        <v>56</v>
      </c>
      <c r="I834">
        <v>3.7</v>
      </c>
    </row>
    <row r="835" spans="1:9" x14ac:dyDescent="0.3">
      <c r="A835" t="s">
        <v>878</v>
      </c>
      <c r="B835" t="s">
        <v>18</v>
      </c>
      <c r="C835" t="s">
        <v>19</v>
      </c>
      <c r="D835">
        <v>44918.35</v>
      </c>
      <c r="E835">
        <v>5</v>
      </c>
      <c r="F835">
        <v>224591.75</v>
      </c>
      <c r="G835" s="1">
        <v>45496</v>
      </c>
      <c r="H835" t="s">
        <v>28</v>
      </c>
      <c r="I835">
        <v>4.4000000000000004</v>
      </c>
    </row>
    <row r="836" spans="1:9" x14ac:dyDescent="0.3">
      <c r="A836" t="s">
        <v>879</v>
      </c>
      <c r="B836" t="s">
        <v>69</v>
      </c>
      <c r="C836" t="s">
        <v>19</v>
      </c>
      <c r="D836">
        <v>31727.37</v>
      </c>
      <c r="E836">
        <v>1</v>
      </c>
      <c r="F836">
        <v>31727.37</v>
      </c>
      <c r="G836" s="1">
        <v>45607</v>
      </c>
      <c r="H836" t="s">
        <v>12</v>
      </c>
      <c r="I836">
        <v>1.7</v>
      </c>
    </row>
    <row r="837" spans="1:9" x14ac:dyDescent="0.3">
      <c r="A837" t="s">
        <v>880</v>
      </c>
      <c r="B837" t="s">
        <v>60</v>
      </c>
      <c r="C837" t="s">
        <v>25</v>
      </c>
      <c r="D837">
        <v>10766.58</v>
      </c>
      <c r="E837">
        <v>3</v>
      </c>
      <c r="F837">
        <v>32299.74</v>
      </c>
      <c r="G837" s="1">
        <v>45387</v>
      </c>
      <c r="H837" t="s">
        <v>47</v>
      </c>
      <c r="I837">
        <v>4.2</v>
      </c>
    </row>
    <row r="838" spans="1:9" x14ac:dyDescent="0.3">
      <c r="A838" t="s">
        <v>881</v>
      </c>
      <c r="B838" t="s">
        <v>40</v>
      </c>
      <c r="C838" t="s">
        <v>19</v>
      </c>
      <c r="D838">
        <v>25288.2</v>
      </c>
      <c r="E838">
        <v>4</v>
      </c>
      <c r="F838">
        <v>101152.8</v>
      </c>
      <c r="G838" s="1">
        <v>45519</v>
      </c>
      <c r="H838" t="s">
        <v>12</v>
      </c>
      <c r="I838">
        <v>4.8</v>
      </c>
    </row>
    <row r="839" spans="1:9" x14ac:dyDescent="0.3">
      <c r="A839" t="s">
        <v>882</v>
      </c>
      <c r="B839" t="s">
        <v>71</v>
      </c>
      <c r="C839" t="s">
        <v>22</v>
      </c>
      <c r="D839">
        <v>35506.5</v>
      </c>
      <c r="E839">
        <v>5</v>
      </c>
      <c r="F839">
        <v>177532.5</v>
      </c>
      <c r="G839" s="1">
        <v>45438</v>
      </c>
      <c r="H839" t="s">
        <v>16</v>
      </c>
      <c r="I839">
        <v>4.5</v>
      </c>
    </row>
    <row r="840" spans="1:9" x14ac:dyDescent="0.3">
      <c r="A840" t="s">
        <v>883</v>
      </c>
      <c r="B840" t="s">
        <v>93</v>
      </c>
      <c r="C840" t="s">
        <v>11</v>
      </c>
      <c r="D840">
        <v>7682.98</v>
      </c>
      <c r="E840">
        <v>4</v>
      </c>
      <c r="F840">
        <v>30731.919999999998</v>
      </c>
      <c r="G840" s="1">
        <v>45519</v>
      </c>
      <c r="H840" t="s">
        <v>42</v>
      </c>
      <c r="I840">
        <v>4.8</v>
      </c>
    </row>
    <row r="841" spans="1:9" x14ac:dyDescent="0.3">
      <c r="A841" t="s">
        <v>884</v>
      </c>
      <c r="B841" t="s">
        <v>44</v>
      </c>
      <c r="C841" t="s">
        <v>22</v>
      </c>
      <c r="D841">
        <v>32664.01</v>
      </c>
      <c r="E841">
        <v>2</v>
      </c>
      <c r="F841">
        <v>65328.02</v>
      </c>
      <c r="G841" s="1">
        <v>45373</v>
      </c>
      <c r="H841" t="s">
        <v>56</v>
      </c>
      <c r="I841">
        <v>2.5</v>
      </c>
    </row>
    <row r="842" spans="1:9" x14ac:dyDescent="0.3">
      <c r="A842" t="s">
        <v>885</v>
      </c>
      <c r="B842" t="s">
        <v>32</v>
      </c>
      <c r="C842" t="s">
        <v>25</v>
      </c>
      <c r="D842">
        <v>14359.56</v>
      </c>
      <c r="E842">
        <v>3</v>
      </c>
      <c r="F842">
        <v>43078.68</v>
      </c>
      <c r="G842" s="1">
        <v>45482</v>
      </c>
      <c r="H842" t="s">
        <v>12</v>
      </c>
      <c r="I842">
        <v>2.2999999999999998</v>
      </c>
    </row>
    <row r="843" spans="1:9" x14ac:dyDescent="0.3">
      <c r="A843" t="s">
        <v>886</v>
      </c>
      <c r="B843" t="s">
        <v>30</v>
      </c>
      <c r="C843" t="s">
        <v>15</v>
      </c>
      <c r="D843">
        <v>3632.93</v>
      </c>
      <c r="E843">
        <v>5</v>
      </c>
      <c r="F843">
        <v>18164.650000000001</v>
      </c>
      <c r="G843" s="1">
        <v>45528</v>
      </c>
      <c r="H843" t="s">
        <v>47</v>
      </c>
      <c r="I843">
        <v>2.1</v>
      </c>
    </row>
    <row r="844" spans="1:9" x14ac:dyDescent="0.3">
      <c r="A844" t="s">
        <v>887</v>
      </c>
      <c r="B844" t="s">
        <v>27</v>
      </c>
      <c r="C844" t="s">
        <v>25</v>
      </c>
      <c r="D844">
        <v>30519.71</v>
      </c>
      <c r="E844">
        <v>1</v>
      </c>
      <c r="F844">
        <v>30519.71</v>
      </c>
      <c r="G844" s="1">
        <v>45335</v>
      </c>
      <c r="H844" t="s">
        <v>56</v>
      </c>
      <c r="I844">
        <v>3.2</v>
      </c>
    </row>
    <row r="845" spans="1:9" x14ac:dyDescent="0.3">
      <c r="A845" t="s">
        <v>888</v>
      </c>
      <c r="B845" t="s">
        <v>120</v>
      </c>
      <c r="C845" t="s">
        <v>25</v>
      </c>
      <c r="D845">
        <v>999.54</v>
      </c>
      <c r="E845">
        <v>3</v>
      </c>
      <c r="F845">
        <v>2998.62</v>
      </c>
      <c r="G845" s="1">
        <v>45660</v>
      </c>
      <c r="H845" t="s">
        <v>12</v>
      </c>
      <c r="I845">
        <v>3.2</v>
      </c>
    </row>
    <row r="846" spans="1:9" x14ac:dyDescent="0.3">
      <c r="A846" t="s">
        <v>889</v>
      </c>
      <c r="B846" t="s">
        <v>27</v>
      </c>
      <c r="C846" t="s">
        <v>25</v>
      </c>
      <c r="D846">
        <v>15481.49</v>
      </c>
      <c r="E846">
        <v>3</v>
      </c>
      <c r="F846">
        <v>46444.47</v>
      </c>
      <c r="G846" s="1">
        <v>45432</v>
      </c>
      <c r="H846" t="s">
        <v>28</v>
      </c>
      <c r="I846">
        <v>2.1</v>
      </c>
    </row>
    <row r="847" spans="1:9" x14ac:dyDescent="0.3">
      <c r="A847" t="s">
        <v>890</v>
      </c>
      <c r="B847" t="s">
        <v>32</v>
      </c>
      <c r="C847" t="s">
        <v>25</v>
      </c>
      <c r="D847">
        <v>33814.720000000001</v>
      </c>
      <c r="E847">
        <v>2</v>
      </c>
      <c r="F847">
        <v>67629.440000000002</v>
      </c>
      <c r="G847" s="1">
        <v>45574</v>
      </c>
      <c r="H847" t="s">
        <v>56</v>
      </c>
      <c r="I847">
        <v>1.3</v>
      </c>
    </row>
    <row r="848" spans="1:9" x14ac:dyDescent="0.3">
      <c r="A848" t="s">
        <v>891</v>
      </c>
      <c r="B848" t="s">
        <v>32</v>
      </c>
      <c r="C848" t="s">
        <v>25</v>
      </c>
      <c r="D848">
        <v>13559.39</v>
      </c>
      <c r="E848">
        <v>3</v>
      </c>
      <c r="F848">
        <v>40678.17</v>
      </c>
      <c r="G848" s="1">
        <v>45550</v>
      </c>
      <c r="H848" t="s">
        <v>56</v>
      </c>
      <c r="I848">
        <v>3.6</v>
      </c>
    </row>
    <row r="849" spans="1:9" x14ac:dyDescent="0.3">
      <c r="A849" t="s">
        <v>892</v>
      </c>
      <c r="B849" t="s">
        <v>54</v>
      </c>
      <c r="C849" t="s">
        <v>15</v>
      </c>
      <c r="D849">
        <v>18461.509999999998</v>
      </c>
      <c r="E849">
        <v>3</v>
      </c>
      <c r="F849">
        <v>55384.53</v>
      </c>
      <c r="G849" s="1">
        <v>45549</v>
      </c>
      <c r="H849" t="s">
        <v>42</v>
      </c>
      <c r="I849">
        <v>4.4000000000000004</v>
      </c>
    </row>
    <row r="850" spans="1:9" x14ac:dyDescent="0.3">
      <c r="A850" t="s">
        <v>893</v>
      </c>
      <c r="B850" t="s">
        <v>44</v>
      </c>
      <c r="C850" t="s">
        <v>22</v>
      </c>
      <c r="D850">
        <v>22868.39</v>
      </c>
      <c r="E850">
        <v>4</v>
      </c>
      <c r="F850">
        <v>91473.56</v>
      </c>
      <c r="G850" s="1">
        <v>45446</v>
      </c>
      <c r="H850" t="s">
        <v>12</v>
      </c>
      <c r="I850">
        <v>1.3</v>
      </c>
    </row>
    <row r="851" spans="1:9" x14ac:dyDescent="0.3">
      <c r="A851" t="s">
        <v>894</v>
      </c>
      <c r="B851" t="s">
        <v>120</v>
      </c>
      <c r="C851" t="s">
        <v>25</v>
      </c>
      <c r="D851">
        <v>17795.7</v>
      </c>
      <c r="E851">
        <v>2</v>
      </c>
      <c r="F851">
        <v>35591.4</v>
      </c>
      <c r="G851" s="1">
        <v>45458</v>
      </c>
      <c r="H851" t="s">
        <v>42</v>
      </c>
      <c r="I851">
        <v>4.2</v>
      </c>
    </row>
    <row r="852" spans="1:9" x14ac:dyDescent="0.3">
      <c r="A852" t="s">
        <v>895</v>
      </c>
      <c r="B852" t="s">
        <v>38</v>
      </c>
      <c r="C852" t="s">
        <v>19</v>
      </c>
      <c r="D852">
        <v>20095.189999999999</v>
      </c>
      <c r="E852">
        <v>4</v>
      </c>
      <c r="F852">
        <v>80380.759999999995</v>
      </c>
      <c r="G852" s="1">
        <v>45670</v>
      </c>
      <c r="H852" t="s">
        <v>47</v>
      </c>
      <c r="I852">
        <v>2.7</v>
      </c>
    </row>
    <row r="853" spans="1:9" x14ac:dyDescent="0.3">
      <c r="A853" t="s">
        <v>896</v>
      </c>
      <c r="B853" t="s">
        <v>24</v>
      </c>
      <c r="C853" t="s">
        <v>25</v>
      </c>
      <c r="D853">
        <v>13998.81</v>
      </c>
      <c r="E853">
        <v>2</v>
      </c>
      <c r="F853">
        <v>27997.62</v>
      </c>
      <c r="G853" s="1">
        <v>45486</v>
      </c>
      <c r="H853" t="s">
        <v>56</v>
      </c>
      <c r="I853">
        <v>2.7</v>
      </c>
    </row>
    <row r="854" spans="1:9" x14ac:dyDescent="0.3">
      <c r="A854" t="s">
        <v>897</v>
      </c>
      <c r="B854" t="s">
        <v>27</v>
      </c>
      <c r="C854" t="s">
        <v>25</v>
      </c>
      <c r="D854">
        <v>787.27</v>
      </c>
      <c r="E854">
        <v>3</v>
      </c>
      <c r="F854">
        <v>2361.81</v>
      </c>
      <c r="G854" s="1">
        <v>45388</v>
      </c>
      <c r="H854" t="s">
        <v>16</v>
      </c>
      <c r="I854">
        <v>2.1</v>
      </c>
    </row>
    <row r="855" spans="1:9" x14ac:dyDescent="0.3">
      <c r="A855" t="s">
        <v>898</v>
      </c>
      <c r="B855" t="s">
        <v>71</v>
      </c>
      <c r="C855" t="s">
        <v>22</v>
      </c>
      <c r="D855">
        <v>47363.199999999997</v>
      </c>
      <c r="E855">
        <v>3</v>
      </c>
      <c r="F855">
        <v>142089.60000000001</v>
      </c>
      <c r="G855" s="1">
        <v>45608</v>
      </c>
      <c r="H855" t="s">
        <v>47</v>
      </c>
      <c r="I855">
        <v>3.3</v>
      </c>
    </row>
    <row r="856" spans="1:9" x14ac:dyDescent="0.3">
      <c r="A856" t="s">
        <v>899</v>
      </c>
      <c r="B856" t="s">
        <v>30</v>
      </c>
      <c r="C856" t="s">
        <v>15</v>
      </c>
      <c r="D856">
        <v>9655.0300000000007</v>
      </c>
      <c r="E856">
        <v>4</v>
      </c>
      <c r="F856">
        <v>38620.120000000003</v>
      </c>
      <c r="G856" s="1">
        <v>45612</v>
      </c>
      <c r="H856" t="s">
        <v>47</v>
      </c>
      <c r="I856">
        <v>1.5</v>
      </c>
    </row>
    <row r="857" spans="1:9" x14ac:dyDescent="0.3">
      <c r="A857" t="s">
        <v>900</v>
      </c>
      <c r="B857" t="s">
        <v>24</v>
      </c>
      <c r="C857" t="s">
        <v>25</v>
      </c>
      <c r="D857">
        <v>24151.49</v>
      </c>
      <c r="E857">
        <v>1</v>
      </c>
      <c r="F857">
        <v>24151.49</v>
      </c>
      <c r="G857" s="1">
        <v>45567</v>
      </c>
      <c r="H857" t="s">
        <v>16</v>
      </c>
      <c r="I857">
        <v>4.8</v>
      </c>
    </row>
    <row r="858" spans="1:9" x14ac:dyDescent="0.3">
      <c r="A858" t="s">
        <v>901</v>
      </c>
      <c r="B858" t="s">
        <v>46</v>
      </c>
      <c r="C858" t="s">
        <v>11</v>
      </c>
      <c r="D858">
        <v>3697.32</v>
      </c>
      <c r="E858">
        <v>4</v>
      </c>
      <c r="F858">
        <v>14789.28</v>
      </c>
      <c r="G858" s="1">
        <v>45349</v>
      </c>
      <c r="H858" t="s">
        <v>16</v>
      </c>
      <c r="I858">
        <v>1.3</v>
      </c>
    </row>
    <row r="859" spans="1:9" x14ac:dyDescent="0.3">
      <c r="A859" t="s">
        <v>902</v>
      </c>
      <c r="B859" t="s">
        <v>10</v>
      </c>
      <c r="C859" t="s">
        <v>11</v>
      </c>
      <c r="D859">
        <v>43840.04</v>
      </c>
      <c r="E859">
        <v>5</v>
      </c>
      <c r="F859">
        <v>219200.2</v>
      </c>
      <c r="G859" s="1">
        <v>45638</v>
      </c>
      <c r="H859" t="s">
        <v>47</v>
      </c>
      <c r="I859">
        <v>3</v>
      </c>
    </row>
    <row r="860" spans="1:9" x14ac:dyDescent="0.3">
      <c r="A860" t="s">
        <v>903</v>
      </c>
      <c r="B860" t="s">
        <v>120</v>
      </c>
      <c r="C860" t="s">
        <v>25</v>
      </c>
      <c r="D860">
        <v>6494.62</v>
      </c>
      <c r="E860">
        <v>5</v>
      </c>
      <c r="F860">
        <v>32473.1</v>
      </c>
      <c r="G860" s="1">
        <v>45539</v>
      </c>
      <c r="H860" t="s">
        <v>16</v>
      </c>
      <c r="I860">
        <v>2.6</v>
      </c>
    </row>
    <row r="861" spans="1:9" x14ac:dyDescent="0.3">
      <c r="A861" t="s">
        <v>904</v>
      </c>
      <c r="B861" t="s">
        <v>10</v>
      </c>
      <c r="C861" t="s">
        <v>11</v>
      </c>
      <c r="D861">
        <v>7761.67</v>
      </c>
      <c r="E861">
        <v>1</v>
      </c>
      <c r="F861">
        <v>7761.67</v>
      </c>
      <c r="G861" s="1">
        <v>45691</v>
      </c>
      <c r="H861" t="s">
        <v>16</v>
      </c>
      <c r="I861">
        <v>4.8</v>
      </c>
    </row>
    <row r="862" spans="1:9" x14ac:dyDescent="0.3">
      <c r="A862" t="s">
        <v>905</v>
      </c>
      <c r="B862" t="s">
        <v>69</v>
      </c>
      <c r="C862" t="s">
        <v>19</v>
      </c>
      <c r="D862">
        <v>43300.52</v>
      </c>
      <c r="E862">
        <v>4</v>
      </c>
      <c r="F862">
        <v>173202.08</v>
      </c>
      <c r="G862" s="1">
        <v>45588</v>
      </c>
      <c r="H862" t="s">
        <v>42</v>
      </c>
      <c r="I862">
        <v>1.1000000000000001</v>
      </c>
    </row>
    <row r="863" spans="1:9" x14ac:dyDescent="0.3">
      <c r="A863" t="s">
        <v>906</v>
      </c>
      <c r="B863" t="s">
        <v>120</v>
      </c>
      <c r="C863" t="s">
        <v>25</v>
      </c>
      <c r="D863">
        <v>36583.040000000001</v>
      </c>
      <c r="E863">
        <v>4</v>
      </c>
      <c r="F863">
        <v>146332.16</v>
      </c>
      <c r="G863" s="1">
        <v>45400</v>
      </c>
      <c r="H863" t="s">
        <v>42</v>
      </c>
      <c r="I863">
        <v>2</v>
      </c>
    </row>
    <row r="864" spans="1:9" x14ac:dyDescent="0.3">
      <c r="A864" t="s">
        <v>907</v>
      </c>
      <c r="B864" t="s">
        <v>21</v>
      </c>
      <c r="C864" t="s">
        <v>22</v>
      </c>
      <c r="D864">
        <v>43298.080000000002</v>
      </c>
      <c r="E864">
        <v>3</v>
      </c>
      <c r="F864">
        <v>129894.24</v>
      </c>
      <c r="G864" s="1">
        <v>45501</v>
      </c>
      <c r="H864" t="s">
        <v>16</v>
      </c>
      <c r="I864">
        <v>1.6</v>
      </c>
    </row>
    <row r="865" spans="1:9" x14ac:dyDescent="0.3">
      <c r="A865" t="s">
        <v>908</v>
      </c>
      <c r="B865" t="s">
        <v>100</v>
      </c>
      <c r="C865" t="s">
        <v>11</v>
      </c>
      <c r="D865">
        <v>47427.3</v>
      </c>
      <c r="E865">
        <v>5</v>
      </c>
      <c r="F865">
        <v>237136.5</v>
      </c>
      <c r="G865" s="1">
        <v>45380</v>
      </c>
      <c r="H865" t="s">
        <v>28</v>
      </c>
      <c r="I865">
        <v>4</v>
      </c>
    </row>
    <row r="866" spans="1:9" x14ac:dyDescent="0.3">
      <c r="A866" t="s">
        <v>909</v>
      </c>
      <c r="B866" t="s">
        <v>44</v>
      </c>
      <c r="C866" t="s">
        <v>22</v>
      </c>
      <c r="D866">
        <v>32950.949999999997</v>
      </c>
      <c r="E866">
        <v>5</v>
      </c>
      <c r="F866">
        <v>164754.75</v>
      </c>
      <c r="G866" s="1">
        <v>45499</v>
      </c>
      <c r="H866" t="s">
        <v>56</v>
      </c>
      <c r="I866">
        <v>2.2000000000000002</v>
      </c>
    </row>
    <row r="867" spans="1:9" x14ac:dyDescent="0.3">
      <c r="A867" t="s">
        <v>910</v>
      </c>
      <c r="B867" t="s">
        <v>18</v>
      </c>
      <c r="C867" t="s">
        <v>19</v>
      </c>
      <c r="D867">
        <v>14064.35</v>
      </c>
      <c r="E867">
        <v>2</v>
      </c>
      <c r="F867">
        <v>28128.7</v>
      </c>
      <c r="G867" s="1">
        <v>45401</v>
      </c>
      <c r="H867" t="s">
        <v>56</v>
      </c>
      <c r="I867">
        <v>2.9</v>
      </c>
    </row>
    <row r="868" spans="1:9" x14ac:dyDescent="0.3">
      <c r="A868" t="s">
        <v>911</v>
      </c>
      <c r="B868" t="s">
        <v>40</v>
      </c>
      <c r="C868" t="s">
        <v>19</v>
      </c>
      <c r="D868">
        <v>49911.75</v>
      </c>
      <c r="E868">
        <v>3</v>
      </c>
      <c r="F868">
        <v>149735.25</v>
      </c>
      <c r="G868" s="1">
        <v>45430</v>
      </c>
      <c r="H868" t="s">
        <v>28</v>
      </c>
      <c r="I868">
        <v>3.1</v>
      </c>
    </row>
    <row r="869" spans="1:9" x14ac:dyDescent="0.3">
      <c r="A869" t="s">
        <v>912</v>
      </c>
      <c r="B869" t="s">
        <v>82</v>
      </c>
      <c r="C869" t="s">
        <v>22</v>
      </c>
      <c r="D869">
        <v>40986.82</v>
      </c>
      <c r="E869">
        <v>3</v>
      </c>
      <c r="F869">
        <v>122960.46</v>
      </c>
      <c r="G869" s="1">
        <v>45679</v>
      </c>
      <c r="H869" t="s">
        <v>42</v>
      </c>
      <c r="I869">
        <v>3.5</v>
      </c>
    </row>
    <row r="870" spans="1:9" x14ac:dyDescent="0.3">
      <c r="A870" t="s">
        <v>913</v>
      </c>
      <c r="B870" t="s">
        <v>120</v>
      </c>
      <c r="C870" t="s">
        <v>25</v>
      </c>
      <c r="D870">
        <v>32863.879999999997</v>
      </c>
      <c r="E870">
        <v>4</v>
      </c>
      <c r="F870">
        <v>131455.51999999999</v>
      </c>
      <c r="G870" s="1">
        <v>45366</v>
      </c>
      <c r="H870" t="s">
        <v>28</v>
      </c>
      <c r="I870">
        <v>4.9000000000000004</v>
      </c>
    </row>
    <row r="871" spans="1:9" x14ac:dyDescent="0.3">
      <c r="A871" t="s">
        <v>914</v>
      </c>
      <c r="B871" t="s">
        <v>38</v>
      </c>
      <c r="C871" t="s">
        <v>19</v>
      </c>
      <c r="D871">
        <v>37424.589999999997</v>
      </c>
      <c r="E871">
        <v>4</v>
      </c>
      <c r="F871">
        <v>149698.35999999999</v>
      </c>
      <c r="G871" s="1">
        <v>45505</v>
      </c>
      <c r="H871" t="s">
        <v>56</v>
      </c>
      <c r="I871">
        <v>1.2</v>
      </c>
    </row>
    <row r="872" spans="1:9" x14ac:dyDescent="0.3">
      <c r="A872" t="s">
        <v>915</v>
      </c>
      <c r="B872" t="s">
        <v>32</v>
      </c>
      <c r="C872" t="s">
        <v>25</v>
      </c>
      <c r="D872">
        <v>36930.76</v>
      </c>
      <c r="E872">
        <v>2</v>
      </c>
      <c r="F872">
        <v>73861.52</v>
      </c>
      <c r="G872" s="1">
        <v>45427</v>
      </c>
      <c r="H872" t="s">
        <v>12</v>
      </c>
      <c r="I872">
        <v>1.9</v>
      </c>
    </row>
    <row r="873" spans="1:9" x14ac:dyDescent="0.3">
      <c r="A873" t="s">
        <v>916</v>
      </c>
      <c r="B873" t="s">
        <v>50</v>
      </c>
      <c r="C873" t="s">
        <v>11</v>
      </c>
      <c r="D873">
        <v>40379.730000000003</v>
      </c>
      <c r="E873">
        <v>1</v>
      </c>
      <c r="F873">
        <v>40379.730000000003</v>
      </c>
      <c r="G873" s="1">
        <v>45598</v>
      </c>
      <c r="H873" t="s">
        <v>42</v>
      </c>
      <c r="I873">
        <v>3.8</v>
      </c>
    </row>
    <row r="874" spans="1:9" x14ac:dyDescent="0.3">
      <c r="A874" t="s">
        <v>917</v>
      </c>
      <c r="B874" t="s">
        <v>54</v>
      </c>
      <c r="C874" t="s">
        <v>15</v>
      </c>
      <c r="D874">
        <v>16938.75</v>
      </c>
      <c r="E874">
        <v>5</v>
      </c>
      <c r="F874">
        <v>84693.75</v>
      </c>
      <c r="G874" s="1">
        <v>45351</v>
      </c>
      <c r="H874" t="s">
        <v>12</v>
      </c>
      <c r="I874">
        <v>3.2</v>
      </c>
    </row>
    <row r="875" spans="1:9" x14ac:dyDescent="0.3">
      <c r="A875" t="s">
        <v>918</v>
      </c>
      <c r="B875" t="s">
        <v>151</v>
      </c>
      <c r="C875" t="s">
        <v>15</v>
      </c>
      <c r="D875">
        <v>2415.3200000000002</v>
      </c>
      <c r="E875">
        <v>5</v>
      </c>
      <c r="F875">
        <v>12076.6</v>
      </c>
      <c r="G875" s="1">
        <v>45559</v>
      </c>
      <c r="H875" t="s">
        <v>42</v>
      </c>
      <c r="I875">
        <v>3.2</v>
      </c>
    </row>
    <row r="876" spans="1:9" x14ac:dyDescent="0.3">
      <c r="A876" t="s">
        <v>919</v>
      </c>
      <c r="B876" t="s">
        <v>69</v>
      </c>
      <c r="C876" t="s">
        <v>19</v>
      </c>
      <c r="D876">
        <v>49127.14</v>
      </c>
      <c r="E876">
        <v>3</v>
      </c>
      <c r="F876">
        <v>147381.42000000001</v>
      </c>
      <c r="G876" s="1">
        <v>45535</v>
      </c>
      <c r="H876" t="s">
        <v>16</v>
      </c>
      <c r="I876">
        <v>1</v>
      </c>
    </row>
    <row r="877" spans="1:9" x14ac:dyDescent="0.3">
      <c r="A877" t="s">
        <v>920</v>
      </c>
      <c r="B877" t="s">
        <v>34</v>
      </c>
      <c r="C877" t="s">
        <v>15</v>
      </c>
      <c r="D877">
        <v>1416.84</v>
      </c>
      <c r="E877">
        <v>3</v>
      </c>
      <c r="F877">
        <v>4250.5200000000004</v>
      </c>
      <c r="G877" s="1">
        <v>45450</v>
      </c>
      <c r="H877" t="s">
        <v>56</v>
      </c>
      <c r="I877">
        <v>1.8</v>
      </c>
    </row>
    <row r="878" spans="1:9" x14ac:dyDescent="0.3">
      <c r="A878" t="s">
        <v>921</v>
      </c>
      <c r="B878" t="s">
        <v>69</v>
      </c>
      <c r="C878" t="s">
        <v>19</v>
      </c>
      <c r="D878">
        <v>21112.13</v>
      </c>
      <c r="E878">
        <v>3</v>
      </c>
      <c r="F878">
        <v>63336.39</v>
      </c>
      <c r="G878" s="1">
        <v>45526</v>
      </c>
      <c r="H878" t="s">
        <v>16</v>
      </c>
      <c r="I878">
        <v>1.9</v>
      </c>
    </row>
    <row r="879" spans="1:9" x14ac:dyDescent="0.3">
      <c r="A879" t="s">
        <v>922</v>
      </c>
      <c r="B879" t="s">
        <v>40</v>
      </c>
      <c r="C879" t="s">
        <v>19</v>
      </c>
      <c r="D879">
        <v>13061.91</v>
      </c>
      <c r="E879">
        <v>5</v>
      </c>
      <c r="F879">
        <v>65309.55</v>
      </c>
      <c r="G879" s="1">
        <v>45589</v>
      </c>
      <c r="H879" t="s">
        <v>12</v>
      </c>
      <c r="I879">
        <v>1.9</v>
      </c>
    </row>
    <row r="880" spans="1:9" x14ac:dyDescent="0.3">
      <c r="A880" t="s">
        <v>923</v>
      </c>
      <c r="B880" t="s">
        <v>100</v>
      </c>
      <c r="C880" t="s">
        <v>11</v>
      </c>
      <c r="D880">
        <v>7465.89</v>
      </c>
      <c r="E880">
        <v>5</v>
      </c>
      <c r="F880">
        <v>37329.449999999997</v>
      </c>
      <c r="G880" s="1">
        <v>45379</v>
      </c>
      <c r="H880" t="s">
        <v>12</v>
      </c>
      <c r="I880">
        <v>4.4000000000000004</v>
      </c>
    </row>
    <row r="881" spans="1:9" x14ac:dyDescent="0.3">
      <c r="A881" t="s">
        <v>924</v>
      </c>
      <c r="B881" t="s">
        <v>93</v>
      </c>
      <c r="C881" t="s">
        <v>11</v>
      </c>
      <c r="D881">
        <v>38005.050000000003</v>
      </c>
      <c r="E881">
        <v>1</v>
      </c>
      <c r="F881">
        <v>38005.050000000003</v>
      </c>
      <c r="G881" s="1">
        <v>45658</v>
      </c>
      <c r="H881" t="s">
        <v>16</v>
      </c>
      <c r="I881">
        <v>4</v>
      </c>
    </row>
    <row r="882" spans="1:9" x14ac:dyDescent="0.3">
      <c r="A882" t="s">
        <v>925</v>
      </c>
      <c r="B882" t="s">
        <v>54</v>
      </c>
      <c r="C882" t="s">
        <v>15</v>
      </c>
      <c r="D882">
        <v>42307.18</v>
      </c>
      <c r="E882">
        <v>5</v>
      </c>
      <c r="F882">
        <v>211535.9</v>
      </c>
      <c r="G882" s="1">
        <v>45525</v>
      </c>
      <c r="H882" t="s">
        <v>42</v>
      </c>
      <c r="I882">
        <v>4.0999999999999996</v>
      </c>
    </row>
    <row r="883" spans="1:9" x14ac:dyDescent="0.3">
      <c r="A883" t="s">
        <v>926</v>
      </c>
      <c r="B883" t="s">
        <v>27</v>
      </c>
      <c r="C883" t="s">
        <v>25</v>
      </c>
      <c r="D883">
        <v>28727.4</v>
      </c>
      <c r="E883">
        <v>3</v>
      </c>
      <c r="F883">
        <v>86182.2</v>
      </c>
      <c r="G883" s="1">
        <v>45434</v>
      </c>
      <c r="H883" t="s">
        <v>42</v>
      </c>
      <c r="I883">
        <v>4.7</v>
      </c>
    </row>
    <row r="884" spans="1:9" x14ac:dyDescent="0.3">
      <c r="A884" t="s">
        <v>927</v>
      </c>
      <c r="B884" t="s">
        <v>69</v>
      </c>
      <c r="C884" t="s">
        <v>19</v>
      </c>
      <c r="D884">
        <v>8465.2800000000007</v>
      </c>
      <c r="E884">
        <v>3</v>
      </c>
      <c r="F884">
        <v>25395.84</v>
      </c>
      <c r="G884" s="1">
        <v>45638</v>
      </c>
      <c r="H884" t="s">
        <v>47</v>
      </c>
      <c r="I884">
        <v>1.8</v>
      </c>
    </row>
    <row r="885" spans="1:9" x14ac:dyDescent="0.3">
      <c r="A885" t="s">
        <v>928</v>
      </c>
      <c r="B885" t="s">
        <v>50</v>
      </c>
      <c r="C885" t="s">
        <v>11</v>
      </c>
      <c r="D885">
        <v>17194.75</v>
      </c>
      <c r="E885">
        <v>3</v>
      </c>
      <c r="F885">
        <v>51584.25</v>
      </c>
      <c r="G885" s="1">
        <v>45427</v>
      </c>
      <c r="H885" t="s">
        <v>28</v>
      </c>
      <c r="I885">
        <v>1.9</v>
      </c>
    </row>
    <row r="886" spans="1:9" x14ac:dyDescent="0.3">
      <c r="A886" t="s">
        <v>929</v>
      </c>
      <c r="B886" t="s">
        <v>30</v>
      </c>
      <c r="C886" t="s">
        <v>15</v>
      </c>
      <c r="D886">
        <v>26550.66</v>
      </c>
      <c r="E886">
        <v>4</v>
      </c>
      <c r="F886">
        <v>106202.64</v>
      </c>
      <c r="G886" s="1">
        <v>45360</v>
      </c>
      <c r="H886" t="s">
        <v>42</v>
      </c>
      <c r="I886">
        <v>3.3</v>
      </c>
    </row>
    <row r="887" spans="1:9" x14ac:dyDescent="0.3">
      <c r="A887" t="s">
        <v>930</v>
      </c>
      <c r="B887" t="s">
        <v>10</v>
      </c>
      <c r="C887" t="s">
        <v>11</v>
      </c>
      <c r="D887">
        <v>24335.78</v>
      </c>
      <c r="E887">
        <v>4</v>
      </c>
      <c r="F887">
        <v>97343.12</v>
      </c>
      <c r="G887" s="1">
        <v>45391</v>
      </c>
      <c r="H887" t="s">
        <v>16</v>
      </c>
      <c r="I887">
        <v>3.1</v>
      </c>
    </row>
    <row r="888" spans="1:9" x14ac:dyDescent="0.3">
      <c r="A888" t="s">
        <v>931</v>
      </c>
      <c r="B888" t="s">
        <v>120</v>
      </c>
      <c r="C888" t="s">
        <v>25</v>
      </c>
      <c r="D888">
        <v>17308.52</v>
      </c>
      <c r="E888">
        <v>1</v>
      </c>
      <c r="F888">
        <v>17308.52</v>
      </c>
      <c r="G888" s="1">
        <v>45594</v>
      </c>
      <c r="H888" t="s">
        <v>56</v>
      </c>
      <c r="I888">
        <v>2.2000000000000002</v>
      </c>
    </row>
    <row r="889" spans="1:9" x14ac:dyDescent="0.3">
      <c r="A889" t="s">
        <v>932</v>
      </c>
      <c r="B889" t="s">
        <v>71</v>
      </c>
      <c r="C889" t="s">
        <v>22</v>
      </c>
      <c r="D889">
        <v>18097.79</v>
      </c>
      <c r="E889">
        <v>1</v>
      </c>
      <c r="F889">
        <v>18097.79</v>
      </c>
      <c r="G889" s="1">
        <v>45434</v>
      </c>
      <c r="H889" t="s">
        <v>56</v>
      </c>
      <c r="I889">
        <v>3.8</v>
      </c>
    </row>
    <row r="890" spans="1:9" x14ac:dyDescent="0.3">
      <c r="A890" t="s">
        <v>933</v>
      </c>
      <c r="B890" t="s">
        <v>50</v>
      </c>
      <c r="C890" t="s">
        <v>11</v>
      </c>
      <c r="D890">
        <v>45792.57</v>
      </c>
      <c r="E890">
        <v>2</v>
      </c>
      <c r="F890">
        <v>91585.14</v>
      </c>
      <c r="G890" s="1">
        <v>45453</v>
      </c>
      <c r="H890" t="s">
        <v>47</v>
      </c>
      <c r="I890">
        <v>3.1</v>
      </c>
    </row>
    <row r="891" spans="1:9" x14ac:dyDescent="0.3">
      <c r="A891" t="s">
        <v>934</v>
      </c>
      <c r="B891" t="s">
        <v>69</v>
      </c>
      <c r="C891" t="s">
        <v>19</v>
      </c>
      <c r="D891">
        <v>35879.79</v>
      </c>
      <c r="E891">
        <v>4</v>
      </c>
      <c r="F891">
        <v>143519.16</v>
      </c>
      <c r="G891" s="1">
        <v>45353</v>
      </c>
      <c r="H891" t="s">
        <v>16</v>
      </c>
      <c r="I891">
        <v>4.4000000000000004</v>
      </c>
    </row>
    <row r="892" spans="1:9" x14ac:dyDescent="0.3">
      <c r="A892" t="s">
        <v>935</v>
      </c>
      <c r="B892" t="s">
        <v>24</v>
      </c>
      <c r="C892" t="s">
        <v>25</v>
      </c>
      <c r="D892">
        <v>16158.74</v>
      </c>
      <c r="E892">
        <v>3</v>
      </c>
      <c r="F892">
        <v>48476.22</v>
      </c>
      <c r="G892" s="1">
        <v>45528</v>
      </c>
      <c r="H892" t="s">
        <v>42</v>
      </c>
      <c r="I892">
        <v>4.2</v>
      </c>
    </row>
    <row r="893" spans="1:9" x14ac:dyDescent="0.3">
      <c r="A893" t="s">
        <v>936</v>
      </c>
      <c r="B893" t="s">
        <v>14</v>
      </c>
      <c r="C893" t="s">
        <v>15</v>
      </c>
      <c r="D893">
        <v>15387.4</v>
      </c>
      <c r="E893">
        <v>1</v>
      </c>
      <c r="F893">
        <v>15387.4</v>
      </c>
      <c r="G893" s="1">
        <v>45354</v>
      </c>
      <c r="H893" t="s">
        <v>16</v>
      </c>
      <c r="I893">
        <v>4.2</v>
      </c>
    </row>
    <row r="894" spans="1:9" x14ac:dyDescent="0.3">
      <c r="A894" t="s">
        <v>937</v>
      </c>
      <c r="B894" t="s">
        <v>93</v>
      </c>
      <c r="C894" t="s">
        <v>11</v>
      </c>
      <c r="D894">
        <v>11134.83</v>
      </c>
      <c r="E894">
        <v>5</v>
      </c>
      <c r="F894">
        <v>55674.15</v>
      </c>
      <c r="G894" s="1">
        <v>45574</v>
      </c>
      <c r="H894" t="s">
        <v>56</v>
      </c>
      <c r="I894">
        <v>3.2</v>
      </c>
    </row>
    <row r="895" spans="1:9" x14ac:dyDescent="0.3">
      <c r="A895" t="s">
        <v>938</v>
      </c>
      <c r="B895" t="s">
        <v>18</v>
      </c>
      <c r="C895" t="s">
        <v>19</v>
      </c>
      <c r="D895">
        <v>49835.85</v>
      </c>
      <c r="E895">
        <v>3</v>
      </c>
      <c r="F895">
        <v>149507.54999999999</v>
      </c>
      <c r="G895" s="1">
        <v>45537</v>
      </c>
      <c r="H895" t="s">
        <v>47</v>
      </c>
      <c r="I895">
        <v>4.5</v>
      </c>
    </row>
    <row r="896" spans="1:9" x14ac:dyDescent="0.3">
      <c r="A896" t="s">
        <v>939</v>
      </c>
      <c r="B896" t="s">
        <v>36</v>
      </c>
      <c r="C896" t="s">
        <v>22</v>
      </c>
      <c r="D896">
        <v>1002.29</v>
      </c>
      <c r="E896">
        <v>1</v>
      </c>
      <c r="F896">
        <v>1002.29</v>
      </c>
      <c r="G896" s="1">
        <v>45665</v>
      </c>
      <c r="H896" t="s">
        <v>16</v>
      </c>
      <c r="I896">
        <v>1.4</v>
      </c>
    </row>
    <row r="897" spans="1:9" x14ac:dyDescent="0.3">
      <c r="A897" t="s">
        <v>940</v>
      </c>
      <c r="B897" t="s">
        <v>82</v>
      </c>
      <c r="C897" t="s">
        <v>22</v>
      </c>
      <c r="D897">
        <v>26448.240000000002</v>
      </c>
      <c r="E897">
        <v>4</v>
      </c>
      <c r="F897">
        <v>105792.96000000001</v>
      </c>
      <c r="G897" s="1">
        <v>45493</v>
      </c>
      <c r="H897" t="s">
        <v>56</v>
      </c>
      <c r="I897">
        <v>1.2</v>
      </c>
    </row>
    <row r="898" spans="1:9" x14ac:dyDescent="0.3">
      <c r="A898" t="s">
        <v>941</v>
      </c>
      <c r="B898" t="s">
        <v>40</v>
      </c>
      <c r="C898" t="s">
        <v>19</v>
      </c>
      <c r="D898">
        <v>30650.46</v>
      </c>
      <c r="E898">
        <v>5</v>
      </c>
      <c r="F898">
        <v>153252.29999999999</v>
      </c>
      <c r="G898" s="1">
        <v>45547</v>
      </c>
      <c r="H898" t="s">
        <v>56</v>
      </c>
      <c r="I898">
        <v>1.6</v>
      </c>
    </row>
    <row r="899" spans="1:9" x14ac:dyDescent="0.3">
      <c r="A899" t="s">
        <v>942</v>
      </c>
      <c r="B899" t="s">
        <v>27</v>
      </c>
      <c r="C899" t="s">
        <v>25</v>
      </c>
      <c r="D899">
        <v>31978.03</v>
      </c>
      <c r="E899">
        <v>2</v>
      </c>
      <c r="F899">
        <v>63956.06</v>
      </c>
      <c r="G899" s="1">
        <v>45431</v>
      </c>
      <c r="H899" t="s">
        <v>47</v>
      </c>
      <c r="I899">
        <v>3.7</v>
      </c>
    </row>
    <row r="900" spans="1:9" x14ac:dyDescent="0.3">
      <c r="A900" t="s">
        <v>943</v>
      </c>
      <c r="B900" t="s">
        <v>151</v>
      </c>
      <c r="C900" t="s">
        <v>15</v>
      </c>
      <c r="D900">
        <v>45516.21</v>
      </c>
      <c r="E900">
        <v>1</v>
      </c>
      <c r="F900">
        <v>45516.21</v>
      </c>
      <c r="G900" s="1">
        <v>45492</v>
      </c>
      <c r="H900" t="s">
        <v>16</v>
      </c>
      <c r="I900">
        <v>1</v>
      </c>
    </row>
    <row r="901" spans="1:9" x14ac:dyDescent="0.3">
      <c r="A901" t="s">
        <v>944</v>
      </c>
      <c r="B901" t="s">
        <v>46</v>
      </c>
      <c r="C901" t="s">
        <v>11</v>
      </c>
      <c r="D901">
        <v>31922.03</v>
      </c>
      <c r="E901">
        <v>1</v>
      </c>
      <c r="F901">
        <v>31922.03</v>
      </c>
      <c r="G901" s="1">
        <v>45433</v>
      </c>
      <c r="H901" t="s">
        <v>56</v>
      </c>
      <c r="I901">
        <v>2.5</v>
      </c>
    </row>
    <row r="902" spans="1:9" x14ac:dyDescent="0.3">
      <c r="A902" t="s">
        <v>945</v>
      </c>
      <c r="B902" t="s">
        <v>40</v>
      </c>
      <c r="C902" t="s">
        <v>19</v>
      </c>
      <c r="D902">
        <v>3481.52</v>
      </c>
      <c r="E902">
        <v>3</v>
      </c>
      <c r="F902">
        <v>10444.56</v>
      </c>
      <c r="G902" s="1">
        <v>45508</v>
      </c>
      <c r="H902" t="s">
        <v>56</v>
      </c>
      <c r="I902">
        <v>1.1000000000000001</v>
      </c>
    </row>
    <row r="903" spans="1:9" x14ac:dyDescent="0.3">
      <c r="A903" t="s">
        <v>946</v>
      </c>
      <c r="B903" t="s">
        <v>32</v>
      </c>
      <c r="C903" t="s">
        <v>25</v>
      </c>
      <c r="D903">
        <v>27507.360000000001</v>
      </c>
      <c r="E903">
        <v>4</v>
      </c>
      <c r="F903">
        <v>110029.44</v>
      </c>
      <c r="G903" s="1">
        <v>45549</v>
      </c>
      <c r="H903" t="s">
        <v>47</v>
      </c>
      <c r="I903">
        <v>4.5</v>
      </c>
    </row>
    <row r="904" spans="1:9" x14ac:dyDescent="0.3">
      <c r="A904" t="s">
        <v>947</v>
      </c>
      <c r="B904" t="s">
        <v>32</v>
      </c>
      <c r="C904" t="s">
        <v>25</v>
      </c>
      <c r="D904">
        <v>34870.120000000003</v>
      </c>
      <c r="E904">
        <v>5</v>
      </c>
      <c r="F904">
        <v>174350.6</v>
      </c>
      <c r="G904" s="1">
        <v>45680</v>
      </c>
      <c r="H904" t="s">
        <v>12</v>
      </c>
      <c r="I904">
        <v>2.7</v>
      </c>
    </row>
    <row r="905" spans="1:9" x14ac:dyDescent="0.3">
      <c r="A905" t="s">
        <v>948</v>
      </c>
      <c r="B905" t="s">
        <v>32</v>
      </c>
      <c r="C905" t="s">
        <v>25</v>
      </c>
      <c r="D905">
        <v>11540.73</v>
      </c>
      <c r="E905">
        <v>1</v>
      </c>
      <c r="F905">
        <v>11540.73</v>
      </c>
      <c r="G905" s="1">
        <v>45512</v>
      </c>
      <c r="H905" t="s">
        <v>28</v>
      </c>
      <c r="I905">
        <v>3.6</v>
      </c>
    </row>
    <row r="906" spans="1:9" x14ac:dyDescent="0.3">
      <c r="A906" t="s">
        <v>949</v>
      </c>
      <c r="B906" t="s">
        <v>71</v>
      </c>
      <c r="C906" t="s">
        <v>22</v>
      </c>
      <c r="D906">
        <v>2926.8</v>
      </c>
      <c r="E906">
        <v>4</v>
      </c>
      <c r="F906">
        <v>11707.2</v>
      </c>
      <c r="G906" s="1">
        <v>45341</v>
      </c>
      <c r="H906" t="s">
        <v>47</v>
      </c>
      <c r="I906">
        <v>2.2999999999999998</v>
      </c>
    </row>
    <row r="907" spans="1:9" x14ac:dyDescent="0.3">
      <c r="A907" t="s">
        <v>950</v>
      </c>
      <c r="B907" t="s">
        <v>10</v>
      </c>
      <c r="C907" t="s">
        <v>11</v>
      </c>
      <c r="D907">
        <v>37341.949999999997</v>
      </c>
      <c r="E907">
        <v>2</v>
      </c>
      <c r="F907">
        <v>74683.899999999994</v>
      </c>
      <c r="G907" s="1">
        <v>45567</v>
      </c>
      <c r="H907" t="s">
        <v>12</v>
      </c>
      <c r="I907">
        <v>4.8</v>
      </c>
    </row>
    <row r="908" spans="1:9" x14ac:dyDescent="0.3">
      <c r="A908" t="s">
        <v>951</v>
      </c>
      <c r="B908" t="s">
        <v>32</v>
      </c>
      <c r="C908" t="s">
        <v>25</v>
      </c>
      <c r="D908">
        <v>30100.73</v>
      </c>
      <c r="E908">
        <v>1</v>
      </c>
      <c r="F908">
        <v>30100.73</v>
      </c>
      <c r="G908" s="1">
        <v>45352</v>
      </c>
      <c r="H908" t="s">
        <v>16</v>
      </c>
      <c r="I908">
        <v>1.7</v>
      </c>
    </row>
    <row r="909" spans="1:9" x14ac:dyDescent="0.3">
      <c r="A909" t="s">
        <v>952</v>
      </c>
      <c r="B909" t="s">
        <v>14</v>
      </c>
      <c r="C909" t="s">
        <v>15</v>
      </c>
      <c r="D909">
        <v>4442.1000000000004</v>
      </c>
      <c r="E909">
        <v>3</v>
      </c>
      <c r="F909">
        <v>13326.3</v>
      </c>
      <c r="G909" s="1">
        <v>45380</v>
      </c>
      <c r="H909" t="s">
        <v>12</v>
      </c>
      <c r="I909">
        <v>2.8</v>
      </c>
    </row>
    <row r="910" spans="1:9" x14ac:dyDescent="0.3">
      <c r="A910" t="s">
        <v>953</v>
      </c>
      <c r="B910" t="s">
        <v>60</v>
      </c>
      <c r="C910" t="s">
        <v>25</v>
      </c>
      <c r="D910">
        <v>18657.990000000002</v>
      </c>
      <c r="E910">
        <v>5</v>
      </c>
      <c r="F910">
        <v>93289.95</v>
      </c>
      <c r="G910" s="1">
        <v>45659</v>
      </c>
      <c r="H910" t="s">
        <v>56</v>
      </c>
      <c r="I910">
        <v>1.7</v>
      </c>
    </row>
    <row r="911" spans="1:9" x14ac:dyDescent="0.3">
      <c r="A911" t="s">
        <v>954</v>
      </c>
      <c r="B911" t="s">
        <v>75</v>
      </c>
      <c r="C911" t="s">
        <v>19</v>
      </c>
      <c r="D911">
        <v>41402.76</v>
      </c>
      <c r="E911">
        <v>1</v>
      </c>
      <c r="F911">
        <v>41402.76</v>
      </c>
      <c r="G911" s="1">
        <v>45483</v>
      </c>
      <c r="H911" t="s">
        <v>47</v>
      </c>
      <c r="I911">
        <v>3.2</v>
      </c>
    </row>
    <row r="912" spans="1:9" x14ac:dyDescent="0.3">
      <c r="A912" t="s">
        <v>955</v>
      </c>
      <c r="B912" t="s">
        <v>10</v>
      </c>
      <c r="C912" t="s">
        <v>11</v>
      </c>
      <c r="D912">
        <v>49796.61</v>
      </c>
      <c r="E912">
        <v>1</v>
      </c>
      <c r="F912">
        <v>49796.61</v>
      </c>
      <c r="G912" s="1">
        <v>45590</v>
      </c>
      <c r="H912" t="s">
        <v>42</v>
      </c>
      <c r="I912">
        <v>4.0999999999999996</v>
      </c>
    </row>
    <row r="913" spans="1:9" x14ac:dyDescent="0.3">
      <c r="A913" t="s">
        <v>956</v>
      </c>
      <c r="B913" t="s">
        <v>38</v>
      </c>
      <c r="C913" t="s">
        <v>19</v>
      </c>
      <c r="D913">
        <v>32712.91</v>
      </c>
      <c r="E913">
        <v>2</v>
      </c>
      <c r="F913">
        <v>65425.82</v>
      </c>
      <c r="G913" s="1">
        <v>45415</v>
      </c>
      <c r="H913" t="s">
        <v>56</v>
      </c>
      <c r="I913">
        <v>4.2</v>
      </c>
    </row>
    <row r="914" spans="1:9" x14ac:dyDescent="0.3">
      <c r="A914" t="s">
        <v>957</v>
      </c>
      <c r="B914" t="s">
        <v>18</v>
      </c>
      <c r="C914" t="s">
        <v>19</v>
      </c>
      <c r="D914">
        <v>26281.98</v>
      </c>
      <c r="E914">
        <v>1</v>
      </c>
      <c r="F914">
        <v>26281.98</v>
      </c>
      <c r="G914" s="1">
        <v>45467</v>
      </c>
      <c r="H914" t="s">
        <v>12</v>
      </c>
      <c r="I914">
        <v>4.3</v>
      </c>
    </row>
    <row r="915" spans="1:9" x14ac:dyDescent="0.3">
      <c r="A915" t="s">
        <v>958</v>
      </c>
      <c r="B915" t="s">
        <v>32</v>
      </c>
      <c r="C915" t="s">
        <v>25</v>
      </c>
      <c r="D915">
        <v>30805.88</v>
      </c>
      <c r="E915">
        <v>5</v>
      </c>
      <c r="F915">
        <v>154029.4</v>
      </c>
      <c r="G915" s="1">
        <v>45458</v>
      </c>
      <c r="H915" t="s">
        <v>47</v>
      </c>
      <c r="I915">
        <v>1.1000000000000001</v>
      </c>
    </row>
    <row r="916" spans="1:9" x14ac:dyDescent="0.3">
      <c r="A916" t="s">
        <v>959</v>
      </c>
      <c r="B916" t="s">
        <v>151</v>
      </c>
      <c r="C916" t="s">
        <v>15</v>
      </c>
      <c r="D916">
        <v>9045.23</v>
      </c>
      <c r="E916">
        <v>5</v>
      </c>
      <c r="F916">
        <v>45226.15</v>
      </c>
      <c r="G916" s="1">
        <v>45477</v>
      </c>
      <c r="H916" t="s">
        <v>42</v>
      </c>
      <c r="I916">
        <v>4.5999999999999996</v>
      </c>
    </row>
    <row r="917" spans="1:9" x14ac:dyDescent="0.3">
      <c r="A917" t="s">
        <v>960</v>
      </c>
      <c r="B917" t="s">
        <v>82</v>
      </c>
      <c r="C917" t="s">
        <v>22</v>
      </c>
      <c r="D917">
        <v>16003.38</v>
      </c>
      <c r="E917">
        <v>2</v>
      </c>
      <c r="F917">
        <v>32006.76</v>
      </c>
      <c r="G917" s="1">
        <v>45548</v>
      </c>
      <c r="H917" t="s">
        <v>16</v>
      </c>
      <c r="I917">
        <v>4.0999999999999996</v>
      </c>
    </row>
    <row r="918" spans="1:9" x14ac:dyDescent="0.3">
      <c r="A918" t="s">
        <v>961</v>
      </c>
      <c r="B918" t="s">
        <v>14</v>
      </c>
      <c r="C918" t="s">
        <v>15</v>
      </c>
      <c r="D918">
        <v>35139.53</v>
      </c>
      <c r="E918">
        <v>1</v>
      </c>
      <c r="F918">
        <v>35139.53</v>
      </c>
      <c r="G918" s="1">
        <v>45431</v>
      </c>
      <c r="H918" t="s">
        <v>28</v>
      </c>
      <c r="I918">
        <v>2.9</v>
      </c>
    </row>
    <row r="919" spans="1:9" x14ac:dyDescent="0.3">
      <c r="A919" t="s">
        <v>962</v>
      </c>
      <c r="B919" t="s">
        <v>93</v>
      </c>
      <c r="C919" t="s">
        <v>11</v>
      </c>
      <c r="D919">
        <v>13640.1</v>
      </c>
      <c r="E919">
        <v>4</v>
      </c>
      <c r="F919">
        <v>54560.4</v>
      </c>
      <c r="G919" s="1">
        <v>45392</v>
      </c>
      <c r="H919" t="s">
        <v>28</v>
      </c>
      <c r="I919">
        <v>3.3</v>
      </c>
    </row>
    <row r="920" spans="1:9" x14ac:dyDescent="0.3">
      <c r="A920" t="s">
        <v>963</v>
      </c>
      <c r="B920" t="s">
        <v>24</v>
      </c>
      <c r="C920" t="s">
        <v>25</v>
      </c>
      <c r="D920">
        <v>5535.76</v>
      </c>
      <c r="E920">
        <v>2</v>
      </c>
      <c r="F920">
        <v>11071.52</v>
      </c>
      <c r="G920" s="1">
        <v>45692</v>
      </c>
      <c r="H920" t="s">
        <v>16</v>
      </c>
      <c r="I920">
        <v>3.6</v>
      </c>
    </row>
    <row r="921" spans="1:9" x14ac:dyDescent="0.3">
      <c r="A921" t="s">
        <v>964</v>
      </c>
      <c r="B921" t="s">
        <v>27</v>
      </c>
      <c r="C921" t="s">
        <v>25</v>
      </c>
      <c r="D921">
        <v>1039.1099999999999</v>
      </c>
      <c r="E921">
        <v>4</v>
      </c>
      <c r="F921">
        <v>4156.4399999999996</v>
      </c>
      <c r="G921" s="1">
        <v>45582</v>
      </c>
      <c r="H921" t="s">
        <v>47</v>
      </c>
      <c r="I921">
        <v>3.8</v>
      </c>
    </row>
    <row r="922" spans="1:9" x14ac:dyDescent="0.3">
      <c r="A922" t="s">
        <v>965</v>
      </c>
      <c r="B922" t="s">
        <v>32</v>
      </c>
      <c r="C922" t="s">
        <v>25</v>
      </c>
      <c r="D922">
        <v>41169.65</v>
      </c>
      <c r="E922">
        <v>5</v>
      </c>
      <c r="F922">
        <v>205848.25</v>
      </c>
      <c r="G922" s="1">
        <v>45641</v>
      </c>
      <c r="H922" t="s">
        <v>47</v>
      </c>
      <c r="I922">
        <v>2.7</v>
      </c>
    </row>
    <row r="923" spans="1:9" x14ac:dyDescent="0.3">
      <c r="A923" t="s">
        <v>966</v>
      </c>
      <c r="B923" t="s">
        <v>71</v>
      </c>
      <c r="C923" t="s">
        <v>22</v>
      </c>
      <c r="D923">
        <v>21472.14</v>
      </c>
      <c r="E923">
        <v>2</v>
      </c>
      <c r="F923">
        <v>42944.28</v>
      </c>
      <c r="G923" s="1">
        <v>45543</v>
      </c>
      <c r="H923" t="s">
        <v>12</v>
      </c>
      <c r="I923">
        <v>3.4</v>
      </c>
    </row>
    <row r="924" spans="1:9" x14ac:dyDescent="0.3">
      <c r="A924" t="s">
        <v>967</v>
      </c>
      <c r="B924" t="s">
        <v>46</v>
      </c>
      <c r="C924" t="s">
        <v>11</v>
      </c>
      <c r="D924">
        <v>7936.7</v>
      </c>
      <c r="E924">
        <v>5</v>
      </c>
      <c r="F924">
        <v>39683.5</v>
      </c>
      <c r="G924" s="1">
        <v>45636</v>
      </c>
      <c r="H924" t="s">
        <v>12</v>
      </c>
      <c r="I924">
        <v>3.1</v>
      </c>
    </row>
    <row r="925" spans="1:9" x14ac:dyDescent="0.3">
      <c r="A925" t="s">
        <v>968</v>
      </c>
      <c r="B925" t="s">
        <v>34</v>
      </c>
      <c r="C925" t="s">
        <v>15</v>
      </c>
      <c r="D925">
        <v>23939.919999999998</v>
      </c>
      <c r="E925">
        <v>3</v>
      </c>
      <c r="F925">
        <v>71819.759999999995</v>
      </c>
      <c r="G925" s="1">
        <v>45636</v>
      </c>
      <c r="H925" t="s">
        <v>56</v>
      </c>
      <c r="I925">
        <v>2.1</v>
      </c>
    </row>
    <row r="926" spans="1:9" x14ac:dyDescent="0.3">
      <c r="A926" t="s">
        <v>969</v>
      </c>
      <c r="B926" t="s">
        <v>14</v>
      </c>
      <c r="C926" t="s">
        <v>15</v>
      </c>
      <c r="D926">
        <v>47480.71</v>
      </c>
      <c r="E926">
        <v>5</v>
      </c>
      <c r="F926">
        <v>237403.55</v>
      </c>
      <c r="G926" s="1">
        <v>45544</v>
      </c>
      <c r="H926" t="s">
        <v>16</v>
      </c>
      <c r="I926">
        <v>3.1</v>
      </c>
    </row>
    <row r="927" spans="1:9" x14ac:dyDescent="0.3">
      <c r="A927" t="s">
        <v>970</v>
      </c>
      <c r="B927" t="s">
        <v>120</v>
      </c>
      <c r="C927" t="s">
        <v>25</v>
      </c>
      <c r="D927">
        <v>8058.4</v>
      </c>
      <c r="E927">
        <v>3</v>
      </c>
      <c r="F927">
        <v>24175.200000000001</v>
      </c>
      <c r="G927" s="1">
        <v>45624</v>
      </c>
      <c r="H927" t="s">
        <v>56</v>
      </c>
      <c r="I927">
        <v>2.9</v>
      </c>
    </row>
    <row r="928" spans="1:9" x14ac:dyDescent="0.3">
      <c r="A928" t="s">
        <v>971</v>
      </c>
      <c r="B928" t="s">
        <v>75</v>
      </c>
      <c r="C928" t="s">
        <v>19</v>
      </c>
      <c r="D928">
        <v>32369.52</v>
      </c>
      <c r="E928">
        <v>2</v>
      </c>
      <c r="F928">
        <v>64739.040000000001</v>
      </c>
      <c r="G928" s="1">
        <v>45684</v>
      </c>
      <c r="H928" t="s">
        <v>12</v>
      </c>
      <c r="I928">
        <v>2.7</v>
      </c>
    </row>
    <row r="929" spans="1:9" x14ac:dyDescent="0.3">
      <c r="A929" t="s">
        <v>972</v>
      </c>
      <c r="B929" t="s">
        <v>14</v>
      </c>
      <c r="C929" t="s">
        <v>15</v>
      </c>
      <c r="D929">
        <v>29604.77</v>
      </c>
      <c r="E929">
        <v>4</v>
      </c>
      <c r="F929">
        <v>118419.08</v>
      </c>
      <c r="G929" s="1">
        <v>45418</v>
      </c>
      <c r="H929" t="s">
        <v>28</v>
      </c>
      <c r="I929">
        <v>3.7</v>
      </c>
    </row>
    <row r="930" spans="1:9" x14ac:dyDescent="0.3">
      <c r="A930" t="s">
        <v>973</v>
      </c>
      <c r="B930" t="s">
        <v>34</v>
      </c>
      <c r="C930" t="s">
        <v>15</v>
      </c>
      <c r="D930">
        <v>19927.72</v>
      </c>
      <c r="E930">
        <v>2</v>
      </c>
      <c r="F930">
        <v>39855.440000000002</v>
      </c>
      <c r="G930" s="1">
        <v>45450</v>
      </c>
      <c r="H930" t="s">
        <v>47</v>
      </c>
      <c r="I930">
        <v>3.7</v>
      </c>
    </row>
    <row r="931" spans="1:9" x14ac:dyDescent="0.3">
      <c r="A931" t="s">
        <v>974</v>
      </c>
      <c r="B931" t="s">
        <v>46</v>
      </c>
      <c r="C931" t="s">
        <v>11</v>
      </c>
      <c r="D931">
        <v>42170.48</v>
      </c>
      <c r="E931">
        <v>1</v>
      </c>
      <c r="F931">
        <v>42170.48</v>
      </c>
      <c r="G931" s="1">
        <v>45594</v>
      </c>
      <c r="H931" t="s">
        <v>16</v>
      </c>
      <c r="I931">
        <v>4.4000000000000004</v>
      </c>
    </row>
    <row r="932" spans="1:9" x14ac:dyDescent="0.3">
      <c r="A932" t="s">
        <v>975</v>
      </c>
      <c r="B932" t="s">
        <v>151</v>
      </c>
      <c r="C932" t="s">
        <v>15</v>
      </c>
      <c r="D932">
        <v>15950.41</v>
      </c>
      <c r="E932">
        <v>5</v>
      </c>
      <c r="F932">
        <v>79752.05</v>
      </c>
      <c r="G932" s="1">
        <v>45632</v>
      </c>
      <c r="H932" t="s">
        <v>42</v>
      </c>
      <c r="I932">
        <v>1.5</v>
      </c>
    </row>
    <row r="933" spans="1:9" x14ac:dyDescent="0.3">
      <c r="A933" t="s">
        <v>976</v>
      </c>
      <c r="B933" t="s">
        <v>93</v>
      </c>
      <c r="C933" t="s">
        <v>11</v>
      </c>
      <c r="D933">
        <v>791.45</v>
      </c>
      <c r="E933">
        <v>4</v>
      </c>
      <c r="F933">
        <v>3165.8</v>
      </c>
      <c r="G933" s="1">
        <v>45372</v>
      </c>
      <c r="H933" t="s">
        <v>47</v>
      </c>
      <c r="I933">
        <v>1.2</v>
      </c>
    </row>
    <row r="934" spans="1:9" x14ac:dyDescent="0.3">
      <c r="A934" t="s">
        <v>977</v>
      </c>
      <c r="B934" t="s">
        <v>14</v>
      </c>
      <c r="C934" t="s">
        <v>15</v>
      </c>
      <c r="D934">
        <v>28534.99</v>
      </c>
      <c r="E934">
        <v>3</v>
      </c>
      <c r="F934">
        <v>85604.97</v>
      </c>
      <c r="G934" s="1">
        <v>45519</v>
      </c>
      <c r="H934" t="s">
        <v>56</v>
      </c>
      <c r="I934">
        <v>1.8</v>
      </c>
    </row>
    <row r="935" spans="1:9" x14ac:dyDescent="0.3">
      <c r="A935" t="s">
        <v>978</v>
      </c>
      <c r="B935" t="s">
        <v>27</v>
      </c>
      <c r="C935" t="s">
        <v>25</v>
      </c>
      <c r="D935">
        <v>13371.43</v>
      </c>
      <c r="E935">
        <v>4</v>
      </c>
      <c r="F935">
        <v>53485.72</v>
      </c>
      <c r="G935" s="1">
        <v>45449</v>
      </c>
      <c r="H935" t="s">
        <v>56</v>
      </c>
      <c r="I935">
        <v>1.2</v>
      </c>
    </row>
    <row r="936" spans="1:9" x14ac:dyDescent="0.3">
      <c r="A936" t="s">
        <v>979</v>
      </c>
      <c r="B936" t="s">
        <v>71</v>
      </c>
      <c r="C936" t="s">
        <v>22</v>
      </c>
      <c r="D936">
        <v>48073.8</v>
      </c>
      <c r="E936">
        <v>4</v>
      </c>
      <c r="F936">
        <v>192295.2</v>
      </c>
      <c r="G936" s="1">
        <v>45568</v>
      </c>
      <c r="H936" t="s">
        <v>47</v>
      </c>
      <c r="I936">
        <v>4.0999999999999996</v>
      </c>
    </row>
    <row r="937" spans="1:9" x14ac:dyDescent="0.3">
      <c r="A937" t="s">
        <v>980</v>
      </c>
      <c r="B937" t="s">
        <v>93</v>
      </c>
      <c r="C937" t="s">
        <v>11</v>
      </c>
      <c r="D937">
        <v>15240.16</v>
      </c>
      <c r="E937">
        <v>5</v>
      </c>
      <c r="F937">
        <v>76200.800000000003</v>
      </c>
      <c r="G937" s="1">
        <v>45457</v>
      </c>
      <c r="H937" t="s">
        <v>56</v>
      </c>
      <c r="I937">
        <v>3.6</v>
      </c>
    </row>
    <row r="938" spans="1:9" x14ac:dyDescent="0.3">
      <c r="A938" t="s">
        <v>981</v>
      </c>
      <c r="B938" t="s">
        <v>46</v>
      </c>
      <c r="C938" t="s">
        <v>11</v>
      </c>
      <c r="D938">
        <v>11216.38</v>
      </c>
      <c r="E938">
        <v>5</v>
      </c>
      <c r="F938">
        <v>56081.9</v>
      </c>
      <c r="G938" s="1">
        <v>45362</v>
      </c>
      <c r="H938" t="s">
        <v>42</v>
      </c>
      <c r="I938">
        <v>2.8</v>
      </c>
    </row>
    <row r="939" spans="1:9" x14ac:dyDescent="0.3">
      <c r="A939" t="s">
        <v>982</v>
      </c>
      <c r="B939" t="s">
        <v>93</v>
      </c>
      <c r="C939" t="s">
        <v>11</v>
      </c>
      <c r="D939">
        <v>540.63</v>
      </c>
      <c r="E939">
        <v>3</v>
      </c>
      <c r="F939">
        <v>1621.89</v>
      </c>
      <c r="G939" s="1">
        <v>45394</v>
      </c>
      <c r="H939" t="s">
        <v>42</v>
      </c>
      <c r="I939">
        <v>3.5</v>
      </c>
    </row>
    <row r="940" spans="1:9" x14ac:dyDescent="0.3">
      <c r="A940" t="s">
        <v>983</v>
      </c>
      <c r="B940" t="s">
        <v>21</v>
      </c>
      <c r="C940" t="s">
        <v>22</v>
      </c>
      <c r="D940">
        <v>19845.72</v>
      </c>
      <c r="E940">
        <v>3</v>
      </c>
      <c r="F940">
        <v>59537.16</v>
      </c>
      <c r="G940" s="1">
        <v>45420</v>
      </c>
      <c r="H940" t="s">
        <v>42</v>
      </c>
      <c r="I940">
        <v>4</v>
      </c>
    </row>
    <row r="941" spans="1:9" x14ac:dyDescent="0.3">
      <c r="A941" t="s">
        <v>984</v>
      </c>
      <c r="B941" t="s">
        <v>34</v>
      </c>
      <c r="C941" t="s">
        <v>15</v>
      </c>
      <c r="D941">
        <v>31486.57</v>
      </c>
      <c r="E941">
        <v>1</v>
      </c>
      <c r="F941">
        <v>31486.57</v>
      </c>
      <c r="G941" s="1">
        <v>45520</v>
      </c>
      <c r="H941" t="s">
        <v>28</v>
      </c>
      <c r="I941">
        <v>3</v>
      </c>
    </row>
    <row r="942" spans="1:9" x14ac:dyDescent="0.3">
      <c r="A942" t="s">
        <v>985</v>
      </c>
      <c r="B942" t="s">
        <v>21</v>
      </c>
      <c r="C942" t="s">
        <v>22</v>
      </c>
      <c r="D942">
        <v>47899.72</v>
      </c>
      <c r="E942">
        <v>2</v>
      </c>
      <c r="F942">
        <v>95799.44</v>
      </c>
      <c r="G942" s="1">
        <v>45483</v>
      </c>
      <c r="H942" t="s">
        <v>42</v>
      </c>
      <c r="I942">
        <v>4</v>
      </c>
    </row>
    <row r="943" spans="1:9" x14ac:dyDescent="0.3">
      <c r="A943" t="s">
        <v>986</v>
      </c>
      <c r="B943" t="s">
        <v>10</v>
      </c>
      <c r="C943" t="s">
        <v>11</v>
      </c>
      <c r="D943">
        <v>39842.15</v>
      </c>
      <c r="E943">
        <v>5</v>
      </c>
      <c r="F943">
        <v>199210.75</v>
      </c>
      <c r="G943" s="1">
        <v>45674</v>
      </c>
      <c r="H943" t="s">
        <v>12</v>
      </c>
      <c r="I943">
        <v>4.8</v>
      </c>
    </row>
    <row r="944" spans="1:9" x14ac:dyDescent="0.3">
      <c r="A944" t="s">
        <v>987</v>
      </c>
      <c r="B944" t="s">
        <v>30</v>
      </c>
      <c r="C944" t="s">
        <v>15</v>
      </c>
      <c r="D944">
        <v>46101.14</v>
      </c>
      <c r="E944">
        <v>2</v>
      </c>
      <c r="F944">
        <v>92202.28</v>
      </c>
      <c r="G944" s="1">
        <v>45352</v>
      </c>
      <c r="H944" t="s">
        <v>56</v>
      </c>
      <c r="I944">
        <v>4</v>
      </c>
    </row>
    <row r="945" spans="1:9" x14ac:dyDescent="0.3">
      <c r="A945" t="s">
        <v>988</v>
      </c>
      <c r="B945" t="s">
        <v>93</v>
      </c>
      <c r="C945" t="s">
        <v>11</v>
      </c>
      <c r="D945">
        <v>46563.35</v>
      </c>
      <c r="E945">
        <v>5</v>
      </c>
      <c r="F945">
        <v>232816.75</v>
      </c>
      <c r="G945" s="1">
        <v>45420</v>
      </c>
      <c r="H945" t="s">
        <v>12</v>
      </c>
      <c r="I945">
        <v>1.2</v>
      </c>
    </row>
    <row r="946" spans="1:9" x14ac:dyDescent="0.3">
      <c r="A946" t="s">
        <v>989</v>
      </c>
      <c r="B946" t="s">
        <v>36</v>
      </c>
      <c r="C946" t="s">
        <v>22</v>
      </c>
      <c r="D946">
        <v>35922.639999999999</v>
      </c>
      <c r="E946">
        <v>4</v>
      </c>
      <c r="F946">
        <v>143690.56</v>
      </c>
      <c r="G946" s="1">
        <v>45339</v>
      </c>
      <c r="H946" t="s">
        <v>16</v>
      </c>
      <c r="I946">
        <v>3.1</v>
      </c>
    </row>
    <row r="947" spans="1:9" x14ac:dyDescent="0.3">
      <c r="A947" t="s">
        <v>990</v>
      </c>
      <c r="B947" t="s">
        <v>71</v>
      </c>
      <c r="C947" t="s">
        <v>22</v>
      </c>
      <c r="D947">
        <v>33745.33</v>
      </c>
      <c r="E947">
        <v>1</v>
      </c>
      <c r="F947">
        <v>33745.33</v>
      </c>
      <c r="G947" s="1">
        <v>45670</v>
      </c>
      <c r="H947" t="s">
        <v>42</v>
      </c>
      <c r="I947">
        <v>2.7</v>
      </c>
    </row>
    <row r="948" spans="1:9" x14ac:dyDescent="0.3">
      <c r="A948" t="s">
        <v>991</v>
      </c>
      <c r="B948" t="s">
        <v>151</v>
      </c>
      <c r="C948" t="s">
        <v>15</v>
      </c>
      <c r="D948">
        <v>22870.53</v>
      </c>
      <c r="E948">
        <v>5</v>
      </c>
      <c r="F948">
        <v>114352.65</v>
      </c>
      <c r="G948" s="1">
        <v>45463</v>
      </c>
      <c r="H948" t="s">
        <v>42</v>
      </c>
      <c r="I948">
        <v>1.4</v>
      </c>
    </row>
    <row r="949" spans="1:9" x14ac:dyDescent="0.3">
      <c r="A949" t="s">
        <v>992</v>
      </c>
      <c r="B949" t="s">
        <v>120</v>
      </c>
      <c r="C949" t="s">
        <v>25</v>
      </c>
      <c r="D949">
        <v>29715.31</v>
      </c>
      <c r="E949">
        <v>2</v>
      </c>
      <c r="F949">
        <v>59430.62</v>
      </c>
      <c r="G949" s="1">
        <v>45394</v>
      </c>
      <c r="H949" t="s">
        <v>42</v>
      </c>
      <c r="I949">
        <v>3.5</v>
      </c>
    </row>
    <row r="950" spans="1:9" x14ac:dyDescent="0.3">
      <c r="A950" t="s">
        <v>993</v>
      </c>
      <c r="B950" t="s">
        <v>14</v>
      </c>
      <c r="C950" t="s">
        <v>15</v>
      </c>
      <c r="D950">
        <v>15543.65</v>
      </c>
      <c r="E950">
        <v>4</v>
      </c>
      <c r="F950">
        <v>62174.6</v>
      </c>
      <c r="G950" s="1">
        <v>45443</v>
      </c>
      <c r="H950" t="s">
        <v>47</v>
      </c>
      <c r="I950">
        <v>2.7</v>
      </c>
    </row>
    <row r="951" spans="1:9" x14ac:dyDescent="0.3">
      <c r="A951" t="s">
        <v>994</v>
      </c>
      <c r="B951" t="s">
        <v>44</v>
      </c>
      <c r="C951" t="s">
        <v>22</v>
      </c>
      <c r="D951">
        <v>8234.32</v>
      </c>
      <c r="E951">
        <v>2</v>
      </c>
      <c r="F951">
        <v>16468.64</v>
      </c>
      <c r="G951" s="1">
        <v>45445</v>
      </c>
      <c r="H951" t="s">
        <v>12</v>
      </c>
      <c r="I951">
        <v>1.9</v>
      </c>
    </row>
    <row r="952" spans="1:9" x14ac:dyDescent="0.3">
      <c r="A952" t="s">
        <v>995</v>
      </c>
      <c r="B952" t="s">
        <v>54</v>
      </c>
      <c r="C952" t="s">
        <v>15</v>
      </c>
      <c r="D952">
        <v>959.63</v>
      </c>
      <c r="E952">
        <v>1</v>
      </c>
      <c r="F952">
        <v>959.63</v>
      </c>
      <c r="G952" s="1">
        <v>45617</v>
      </c>
      <c r="H952" t="s">
        <v>28</v>
      </c>
      <c r="I952">
        <v>1.6</v>
      </c>
    </row>
    <row r="953" spans="1:9" x14ac:dyDescent="0.3">
      <c r="A953" t="s">
        <v>996</v>
      </c>
      <c r="B953" t="s">
        <v>18</v>
      </c>
      <c r="C953" t="s">
        <v>19</v>
      </c>
      <c r="D953">
        <v>34969.69</v>
      </c>
      <c r="E953">
        <v>5</v>
      </c>
      <c r="F953">
        <v>174848.45</v>
      </c>
      <c r="G953" s="1">
        <v>45381</v>
      </c>
      <c r="H953" t="s">
        <v>56</v>
      </c>
      <c r="I953">
        <v>4</v>
      </c>
    </row>
    <row r="954" spans="1:9" x14ac:dyDescent="0.3">
      <c r="A954" t="s">
        <v>997</v>
      </c>
      <c r="B954" t="s">
        <v>82</v>
      </c>
      <c r="C954" t="s">
        <v>22</v>
      </c>
      <c r="D954">
        <v>46553.58</v>
      </c>
      <c r="E954">
        <v>3</v>
      </c>
      <c r="F954">
        <v>139660.74</v>
      </c>
      <c r="G954" s="1">
        <v>45661</v>
      </c>
      <c r="H954" t="s">
        <v>42</v>
      </c>
      <c r="I954">
        <v>2.2999999999999998</v>
      </c>
    </row>
    <row r="955" spans="1:9" x14ac:dyDescent="0.3">
      <c r="A955" t="s">
        <v>998</v>
      </c>
      <c r="B955" t="s">
        <v>18</v>
      </c>
      <c r="C955" t="s">
        <v>19</v>
      </c>
      <c r="D955">
        <v>33472.93</v>
      </c>
      <c r="E955">
        <v>1</v>
      </c>
      <c r="F955">
        <v>33472.93</v>
      </c>
      <c r="G955" s="1">
        <v>45441</v>
      </c>
      <c r="H955" t="s">
        <v>47</v>
      </c>
      <c r="I955">
        <v>3.4</v>
      </c>
    </row>
    <row r="956" spans="1:9" x14ac:dyDescent="0.3">
      <c r="A956" t="s">
        <v>999</v>
      </c>
      <c r="B956" t="s">
        <v>44</v>
      </c>
      <c r="C956" t="s">
        <v>22</v>
      </c>
      <c r="D956">
        <v>29781.11</v>
      </c>
      <c r="E956">
        <v>2</v>
      </c>
      <c r="F956">
        <v>59562.22</v>
      </c>
      <c r="G956" s="1">
        <v>45359</v>
      </c>
      <c r="H956" t="s">
        <v>12</v>
      </c>
      <c r="I956">
        <v>3.6</v>
      </c>
    </row>
    <row r="957" spans="1:9" x14ac:dyDescent="0.3">
      <c r="A957" t="s">
        <v>1000</v>
      </c>
      <c r="B957" t="s">
        <v>24</v>
      </c>
      <c r="C957" t="s">
        <v>25</v>
      </c>
      <c r="D957">
        <v>30564.98</v>
      </c>
      <c r="E957">
        <v>3</v>
      </c>
      <c r="F957">
        <v>91694.94</v>
      </c>
      <c r="G957" s="1">
        <v>45487</v>
      </c>
      <c r="H957" t="s">
        <v>12</v>
      </c>
      <c r="I957">
        <v>3.8</v>
      </c>
    </row>
    <row r="958" spans="1:9" x14ac:dyDescent="0.3">
      <c r="A958" t="s">
        <v>1001</v>
      </c>
      <c r="B958" t="s">
        <v>30</v>
      </c>
      <c r="C958" t="s">
        <v>15</v>
      </c>
      <c r="D958">
        <v>42407.519999999997</v>
      </c>
      <c r="E958">
        <v>2</v>
      </c>
      <c r="F958">
        <v>84815.039999999994</v>
      </c>
      <c r="G958" s="1">
        <v>45438</v>
      </c>
      <c r="H958" t="s">
        <v>12</v>
      </c>
      <c r="I958">
        <v>4.7</v>
      </c>
    </row>
    <row r="959" spans="1:9" x14ac:dyDescent="0.3">
      <c r="A959" t="s">
        <v>1002</v>
      </c>
      <c r="B959" t="s">
        <v>93</v>
      </c>
      <c r="C959" t="s">
        <v>11</v>
      </c>
      <c r="D959">
        <v>10435.030000000001</v>
      </c>
      <c r="E959">
        <v>1</v>
      </c>
      <c r="F959">
        <v>10435.030000000001</v>
      </c>
      <c r="G959" s="1">
        <v>45558</v>
      </c>
      <c r="H959" t="s">
        <v>12</v>
      </c>
      <c r="I959">
        <v>3.1</v>
      </c>
    </row>
    <row r="960" spans="1:9" x14ac:dyDescent="0.3">
      <c r="A960" t="s">
        <v>1003</v>
      </c>
      <c r="B960" t="s">
        <v>82</v>
      </c>
      <c r="C960" t="s">
        <v>22</v>
      </c>
      <c r="D960">
        <v>35278.46</v>
      </c>
      <c r="E960">
        <v>3</v>
      </c>
      <c r="F960">
        <v>105835.38</v>
      </c>
      <c r="G960" s="1">
        <v>45531</v>
      </c>
      <c r="H960" t="s">
        <v>42</v>
      </c>
      <c r="I960">
        <v>1.2</v>
      </c>
    </row>
    <row r="961" spans="1:9" x14ac:dyDescent="0.3">
      <c r="A961" t="s">
        <v>1004</v>
      </c>
      <c r="B961" t="s">
        <v>44</v>
      </c>
      <c r="C961" t="s">
        <v>22</v>
      </c>
      <c r="D961">
        <v>34844.54</v>
      </c>
      <c r="E961">
        <v>3</v>
      </c>
      <c r="F961">
        <v>104533.62</v>
      </c>
      <c r="G961" s="1">
        <v>45561</v>
      </c>
      <c r="H961" t="s">
        <v>47</v>
      </c>
      <c r="I961">
        <v>4.8</v>
      </c>
    </row>
    <row r="962" spans="1:9" x14ac:dyDescent="0.3">
      <c r="A962" t="s">
        <v>1005</v>
      </c>
      <c r="B962" t="s">
        <v>46</v>
      </c>
      <c r="C962" t="s">
        <v>11</v>
      </c>
      <c r="D962">
        <v>31159.759999999998</v>
      </c>
      <c r="E962">
        <v>5</v>
      </c>
      <c r="F962">
        <v>155798.79999999999</v>
      </c>
      <c r="G962" s="1">
        <v>45682</v>
      </c>
      <c r="H962" t="s">
        <v>28</v>
      </c>
      <c r="I962">
        <v>1.1000000000000001</v>
      </c>
    </row>
    <row r="963" spans="1:9" x14ac:dyDescent="0.3">
      <c r="A963" t="s">
        <v>1006</v>
      </c>
      <c r="B963" t="s">
        <v>151</v>
      </c>
      <c r="C963" t="s">
        <v>15</v>
      </c>
      <c r="D963">
        <v>27369.17</v>
      </c>
      <c r="E963">
        <v>4</v>
      </c>
      <c r="F963">
        <v>109476.68</v>
      </c>
      <c r="G963" s="1">
        <v>45546</v>
      </c>
      <c r="H963" t="s">
        <v>16</v>
      </c>
      <c r="I963">
        <v>3.5</v>
      </c>
    </row>
    <row r="964" spans="1:9" x14ac:dyDescent="0.3">
      <c r="A964" t="s">
        <v>1007</v>
      </c>
      <c r="B964" t="s">
        <v>40</v>
      </c>
      <c r="C964" t="s">
        <v>19</v>
      </c>
      <c r="D964">
        <v>47055.28</v>
      </c>
      <c r="E964">
        <v>1</v>
      </c>
      <c r="F964">
        <v>47055.28</v>
      </c>
      <c r="G964" s="1">
        <v>45459</v>
      </c>
      <c r="H964" t="s">
        <v>47</v>
      </c>
      <c r="I964">
        <v>3</v>
      </c>
    </row>
    <row r="965" spans="1:9" x14ac:dyDescent="0.3">
      <c r="A965" t="s">
        <v>1008</v>
      </c>
      <c r="B965" t="s">
        <v>71</v>
      </c>
      <c r="C965" t="s">
        <v>22</v>
      </c>
      <c r="D965">
        <v>30706.15</v>
      </c>
      <c r="E965">
        <v>4</v>
      </c>
      <c r="F965">
        <v>122824.6</v>
      </c>
      <c r="G965" s="1">
        <v>45510</v>
      </c>
      <c r="H965" t="s">
        <v>16</v>
      </c>
      <c r="I965">
        <v>2.9</v>
      </c>
    </row>
    <row r="966" spans="1:9" x14ac:dyDescent="0.3">
      <c r="A966" t="s">
        <v>1009</v>
      </c>
      <c r="B966" t="s">
        <v>69</v>
      </c>
      <c r="C966" t="s">
        <v>19</v>
      </c>
      <c r="D966">
        <v>659.73</v>
      </c>
      <c r="E966">
        <v>4</v>
      </c>
      <c r="F966">
        <v>2638.92</v>
      </c>
      <c r="G966" s="1">
        <v>45634</v>
      </c>
      <c r="H966" t="s">
        <v>16</v>
      </c>
      <c r="I966">
        <v>3.5</v>
      </c>
    </row>
    <row r="967" spans="1:9" x14ac:dyDescent="0.3">
      <c r="A967" t="s">
        <v>1010</v>
      </c>
      <c r="B967" t="s">
        <v>38</v>
      </c>
      <c r="C967" t="s">
        <v>19</v>
      </c>
      <c r="D967">
        <v>14341.13</v>
      </c>
      <c r="E967">
        <v>4</v>
      </c>
      <c r="F967">
        <v>57364.52</v>
      </c>
      <c r="G967" s="1">
        <v>45471</v>
      </c>
      <c r="H967" t="s">
        <v>47</v>
      </c>
      <c r="I967">
        <v>1.5</v>
      </c>
    </row>
    <row r="968" spans="1:9" x14ac:dyDescent="0.3">
      <c r="A968" t="s">
        <v>1011</v>
      </c>
      <c r="B968" t="s">
        <v>10</v>
      </c>
      <c r="C968" t="s">
        <v>11</v>
      </c>
      <c r="D968">
        <v>22923.93</v>
      </c>
      <c r="E968">
        <v>4</v>
      </c>
      <c r="F968">
        <v>91695.72</v>
      </c>
      <c r="G968" s="1">
        <v>45636</v>
      </c>
      <c r="H968" t="s">
        <v>42</v>
      </c>
      <c r="I968">
        <v>2.7</v>
      </c>
    </row>
    <row r="969" spans="1:9" x14ac:dyDescent="0.3">
      <c r="A969" t="s">
        <v>1012</v>
      </c>
      <c r="B969" t="s">
        <v>32</v>
      </c>
      <c r="C969" t="s">
        <v>25</v>
      </c>
      <c r="D969">
        <v>20766.47</v>
      </c>
      <c r="E969">
        <v>2</v>
      </c>
      <c r="F969">
        <v>41532.94</v>
      </c>
      <c r="G969" s="1">
        <v>45405</v>
      </c>
      <c r="H969" t="s">
        <v>42</v>
      </c>
      <c r="I969">
        <v>1.8</v>
      </c>
    </row>
    <row r="970" spans="1:9" x14ac:dyDescent="0.3">
      <c r="A970" t="s">
        <v>1013</v>
      </c>
      <c r="B970" t="s">
        <v>71</v>
      </c>
      <c r="C970" t="s">
        <v>22</v>
      </c>
      <c r="D970">
        <v>36615.730000000003</v>
      </c>
      <c r="E970">
        <v>5</v>
      </c>
      <c r="F970">
        <v>183078.65</v>
      </c>
      <c r="G970" s="1">
        <v>45392</v>
      </c>
      <c r="H970" t="s">
        <v>56</v>
      </c>
      <c r="I970">
        <v>2</v>
      </c>
    </row>
    <row r="971" spans="1:9" x14ac:dyDescent="0.3">
      <c r="A971" t="s">
        <v>1014</v>
      </c>
      <c r="B971" t="s">
        <v>54</v>
      </c>
      <c r="C971" t="s">
        <v>15</v>
      </c>
      <c r="D971">
        <v>879.25</v>
      </c>
      <c r="E971">
        <v>4</v>
      </c>
      <c r="F971">
        <v>3517</v>
      </c>
      <c r="G971" s="1">
        <v>45542</v>
      </c>
      <c r="H971" t="s">
        <v>28</v>
      </c>
      <c r="I971">
        <v>4.9000000000000004</v>
      </c>
    </row>
    <row r="972" spans="1:9" x14ac:dyDescent="0.3">
      <c r="A972" t="s">
        <v>1015</v>
      </c>
      <c r="B972" t="s">
        <v>60</v>
      </c>
      <c r="C972" t="s">
        <v>25</v>
      </c>
      <c r="D972">
        <v>8571.5499999999993</v>
      </c>
      <c r="E972">
        <v>4</v>
      </c>
      <c r="F972">
        <v>34286.199999999997</v>
      </c>
      <c r="G972" s="1">
        <v>45669</v>
      </c>
      <c r="H972" t="s">
        <v>28</v>
      </c>
      <c r="I972">
        <v>3.9</v>
      </c>
    </row>
    <row r="973" spans="1:9" x14ac:dyDescent="0.3">
      <c r="A973" t="s">
        <v>1016</v>
      </c>
      <c r="B973" t="s">
        <v>82</v>
      </c>
      <c r="C973" t="s">
        <v>22</v>
      </c>
      <c r="D973">
        <v>23125.33</v>
      </c>
      <c r="E973">
        <v>5</v>
      </c>
      <c r="F973">
        <v>115626.65</v>
      </c>
      <c r="G973" s="1">
        <v>45676</v>
      </c>
      <c r="H973" t="s">
        <v>12</v>
      </c>
      <c r="I973">
        <v>3.7</v>
      </c>
    </row>
    <row r="974" spans="1:9" x14ac:dyDescent="0.3">
      <c r="A974" t="s">
        <v>1017</v>
      </c>
      <c r="B974" t="s">
        <v>10</v>
      </c>
      <c r="C974" t="s">
        <v>11</v>
      </c>
      <c r="D974">
        <v>5712.21</v>
      </c>
      <c r="E974">
        <v>3</v>
      </c>
      <c r="F974">
        <v>17136.63</v>
      </c>
      <c r="G974" s="1">
        <v>45546</v>
      </c>
      <c r="H974" t="s">
        <v>16</v>
      </c>
      <c r="I974">
        <v>3.6</v>
      </c>
    </row>
    <row r="975" spans="1:9" x14ac:dyDescent="0.3">
      <c r="A975" t="s">
        <v>1018</v>
      </c>
      <c r="B975" t="s">
        <v>54</v>
      </c>
      <c r="C975" t="s">
        <v>15</v>
      </c>
      <c r="D975">
        <v>1434.23</v>
      </c>
      <c r="E975">
        <v>2</v>
      </c>
      <c r="F975">
        <v>2868.46</v>
      </c>
      <c r="G975" s="1">
        <v>45375</v>
      </c>
      <c r="H975" t="s">
        <v>16</v>
      </c>
      <c r="I975">
        <v>3.5</v>
      </c>
    </row>
    <row r="976" spans="1:9" x14ac:dyDescent="0.3">
      <c r="A976" t="s">
        <v>1019</v>
      </c>
      <c r="B976" t="s">
        <v>93</v>
      </c>
      <c r="C976" t="s">
        <v>11</v>
      </c>
      <c r="D976">
        <v>43163.16</v>
      </c>
      <c r="E976">
        <v>2</v>
      </c>
      <c r="F976">
        <v>86326.32</v>
      </c>
      <c r="G976" s="1">
        <v>45635</v>
      </c>
      <c r="H976" t="s">
        <v>12</v>
      </c>
      <c r="I976">
        <v>1.9</v>
      </c>
    </row>
    <row r="977" spans="1:9" x14ac:dyDescent="0.3">
      <c r="A977" t="s">
        <v>1020</v>
      </c>
      <c r="B977" t="s">
        <v>120</v>
      </c>
      <c r="C977" t="s">
        <v>25</v>
      </c>
      <c r="D977">
        <v>38545.29</v>
      </c>
      <c r="E977">
        <v>1</v>
      </c>
      <c r="F977">
        <v>38545.29</v>
      </c>
      <c r="G977" s="1">
        <v>45541</v>
      </c>
      <c r="H977" t="s">
        <v>28</v>
      </c>
      <c r="I977">
        <v>1.3</v>
      </c>
    </row>
    <row r="978" spans="1:9" x14ac:dyDescent="0.3">
      <c r="A978" t="s">
        <v>1021</v>
      </c>
      <c r="B978" t="s">
        <v>40</v>
      </c>
      <c r="C978" t="s">
        <v>19</v>
      </c>
      <c r="D978">
        <v>8188.18</v>
      </c>
      <c r="E978">
        <v>2</v>
      </c>
      <c r="F978">
        <v>16376.36</v>
      </c>
      <c r="G978" s="1">
        <v>45519</v>
      </c>
      <c r="H978" t="s">
        <v>28</v>
      </c>
      <c r="I978">
        <v>1.3</v>
      </c>
    </row>
    <row r="979" spans="1:9" x14ac:dyDescent="0.3">
      <c r="A979" t="s">
        <v>1022</v>
      </c>
      <c r="B979" t="s">
        <v>32</v>
      </c>
      <c r="C979" t="s">
        <v>25</v>
      </c>
      <c r="D979">
        <v>35763.480000000003</v>
      </c>
      <c r="E979">
        <v>4</v>
      </c>
      <c r="F979">
        <v>143053.92000000001</v>
      </c>
      <c r="G979" s="1">
        <v>45653</v>
      </c>
      <c r="H979" t="s">
        <v>16</v>
      </c>
      <c r="I979">
        <v>3.7</v>
      </c>
    </row>
    <row r="980" spans="1:9" x14ac:dyDescent="0.3">
      <c r="A980" t="s">
        <v>1023</v>
      </c>
      <c r="B980" t="s">
        <v>24</v>
      </c>
      <c r="C980" t="s">
        <v>25</v>
      </c>
      <c r="D980">
        <v>10818.91</v>
      </c>
      <c r="E980">
        <v>2</v>
      </c>
      <c r="F980">
        <v>21637.82</v>
      </c>
      <c r="G980" s="1">
        <v>45505</v>
      </c>
      <c r="H980" t="s">
        <v>28</v>
      </c>
      <c r="I980">
        <v>1.8</v>
      </c>
    </row>
    <row r="981" spans="1:9" x14ac:dyDescent="0.3">
      <c r="A981" t="s">
        <v>1024</v>
      </c>
      <c r="B981" t="s">
        <v>38</v>
      </c>
      <c r="C981" t="s">
        <v>19</v>
      </c>
      <c r="D981">
        <v>35506.410000000003</v>
      </c>
      <c r="E981">
        <v>5</v>
      </c>
      <c r="F981">
        <v>177532.05</v>
      </c>
      <c r="G981" s="1">
        <v>45350</v>
      </c>
      <c r="H981" t="s">
        <v>28</v>
      </c>
      <c r="I981">
        <v>1.2</v>
      </c>
    </row>
    <row r="982" spans="1:9" x14ac:dyDescent="0.3">
      <c r="A982" t="s">
        <v>1025</v>
      </c>
      <c r="B982" t="s">
        <v>36</v>
      </c>
      <c r="C982" t="s">
        <v>22</v>
      </c>
      <c r="D982">
        <v>19010.38</v>
      </c>
      <c r="E982">
        <v>5</v>
      </c>
      <c r="F982">
        <v>95051.9</v>
      </c>
      <c r="G982" s="1">
        <v>45501</v>
      </c>
      <c r="H982" t="s">
        <v>28</v>
      </c>
      <c r="I982">
        <v>1.5</v>
      </c>
    </row>
    <row r="983" spans="1:9" x14ac:dyDescent="0.3">
      <c r="A983" t="s">
        <v>1026</v>
      </c>
      <c r="B983" t="s">
        <v>93</v>
      </c>
      <c r="C983" t="s">
        <v>11</v>
      </c>
      <c r="D983">
        <v>29678.85</v>
      </c>
      <c r="E983">
        <v>3</v>
      </c>
      <c r="F983">
        <v>89036.55</v>
      </c>
      <c r="G983" s="1">
        <v>45590</v>
      </c>
      <c r="H983" t="s">
        <v>16</v>
      </c>
      <c r="I983">
        <v>2.9</v>
      </c>
    </row>
    <row r="984" spans="1:9" x14ac:dyDescent="0.3">
      <c r="A984" t="s">
        <v>1027</v>
      </c>
      <c r="B984" t="s">
        <v>46</v>
      </c>
      <c r="C984" t="s">
        <v>11</v>
      </c>
      <c r="D984">
        <v>5412.9</v>
      </c>
      <c r="E984">
        <v>5</v>
      </c>
      <c r="F984">
        <v>27064.5</v>
      </c>
      <c r="G984" s="1">
        <v>45473</v>
      </c>
      <c r="H984" t="s">
        <v>42</v>
      </c>
      <c r="I984">
        <v>2.1</v>
      </c>
    </row>
    <row r="985" spans="1:9" x14ac:dyDescent="0.3">
      <c r="A985" t="s">
        <v>1028</v>
      </c>
      <c r="B985" t="s">
        <v>14</v>
      </c>
      <c r="C985" t="s">
        <v>15</v>
      </c>
      <c r="D985">
        <v>22890.95</v>
      </c>
      <c r="E985">
        <v>3</v>
      </c>
      <c r="F985">
        <v>68672.850000000006</v>
      </c>
      <c r="G985" s="1">
        <v>45626</v>
      </c>
      <c r="H985" t="s">
        <v>47</v>
      </c>
      <c r="I985">
        <v>3</v>
      </c>
    </row>
    <row r="986" spans="1:9" x14ac:dyDescent="0.3">
      <c r="A986" t="s">
        <v>1029</v>
      </c>
      <c r="B986" t="s">
        <v>14</v>
      </c>
      <c r="C986" t="s">
        <v>15</v>
      </c>
      <c r="D986">
        <v>40905.69</v>
      </c>
      <c r="E986">
        <v>5</v>
      </c>
      <c r="F986">
        <v>204528.45</v>
      </c>
      <c r="G986" s="1">
        <v>45684</v>
      </c>
      <c r="H986" t="s">
        <v>42</v>
      </c>
      <c r="I986">
        <v>1.9</v>
      </c>
    </row>
    <row r="987" spans="1:9" x14ac:dyDescent="0.3">
      <c r="A987" t="s">
        <v>1030</v>
      </c>
      <c r="B987" t="s">
        <v>60</v>
      </c>
      <c r="C987" t="s">
        <v>25</v>
      </c>
      <c r="D987">
        <v>17253.669999999998</v>
      </c>
      <c r="E987">
        <v>3</v>
      </c>
      <c r="F987">
        <v>51761.01</v>
      </c>
      <c r="G987" s="1">
        <v>45620</v>
      </c>
      <c r="H987" t="s">
        <v>12</v>
      </c>
      <c r="I987">
        <v>4.5999999999999996</v>
      </c>
    </row>
    <row r="988" spans="1:9" x14ac:dyDescent="0.3">
      <c r="A988" t="s">
        <v>1031</v>
      </c>
      <c r="B988" t="s">
        <v>10</v>
      </c>
      <c r="C988" t="s">
        <v>11</v>
      </c>
      <c r="D988">
        <v>27920.2</v>
      </c>
      <c r="E988">
        <v>5</v>
      </c>
      <c r="F988">
        <v>139601</v>
      </c>
      <c r="G988" s="1">
        <v>45336</v>
      </c>
      <c r="H988" t="s">
        <v>28</v>
      </c>
      <c r="I988">
        <v>2.7</v>
      </c>
    </row>
    <row r="989" spans="1:9" x14ac:dyDescent="0.3">
      <c r="A989" t="s">
        <v>1032</v>
      </c>
      <c r="B989" t="s">
        <v>34</v>
      </c>
      <c r="C989" t="s">
        <v>15</v>
      </c>
      <c r="D989">
        <v>46055.88</v>
      </c>
      <c r="E989">
        <v>5</v>
      </c>
      <c r="F989">
        <v>230279.4</v>
      </c>
      <c r="G989" s="1">
        <v>45632</v>
      </c>
      <c r="H989" t="s">
        <v>42</v>
      </c>
      <c r="I989">
        <v>4.2</v>
      </c>
    </row>
    <row r="990" spans="1:9" x14ac:dyDescent="0.3">
      <c r="A990" t="s">
        <v>1033</v>
      </c>
      <c r="B990" t="s">
        <v>21</v>
      </c>
      <c r="C990" t="s">
        <v>22</v>
      </c>
      <c r="D990">
        <v>49569.3</v>
      </c>
      <c r="E990">
        <v>4</v>
      </c>
      <c r="F990">
        <v>198277.2</v>
      </c>
      <c r="G990" s="1">
        <v>45423</v>
      </c>
      <c r="H990" t="s">
        <v>42</v>
      </c>
      <c r="I990">
        <v>1.2</v>
      </c>
    </row>
    <row r="991" spans="1:9" x14ac:dyDescent="0.3">
      <c r="A991" t="s">
        <v>1034</v>
      </c>
      <c r="B991" t="s">
        <v>10</v>
      </c>
      <c r="C991" t="s">
        <v>11</v>
      </c>
      <c r="D991">
        <v>35948.160000000003</v>
      </c>
      <c r="E991">
        <v>5</v>
      </c>
      <c r="F991">
        <v>179740.79999999999</v>
      </c>
      <c r="G991" s="1">
        <v>45595</v>
      </c>
      <c r="H991" t="s">
        <v>28</v>
      </c>
      <c r="I991">
        <v>2.5</v>
      </c>
    </row>
    <row r="992" spans="1:9" x14ac:dyDescent="0.3">
      <c r="A992" t="s">
        <v>1035</v>
      </c>
      <c r="B992" t="s">
        <v>93</v>
      </c>
      <c r="C992" t="s">
        <v>11</v>
      </c>
      <c r="D992">
        <v>9189.91</v>
      </c>
      <c r="E992">
        <v>5</v>
      </c>
      <c r="F992">
        <v>45949.55</v>
      </c>
      <c r="G992" s="1">
        <v>45501</v>
      </c>
      <c r="H992" t="s">
        <v>28</v>
      </c>
      <c r="I992">
        <v>4.9000000000000004</v>
      </c>
    </row>
    <row r="993" spans="1:9" x14ac:dyDescent="0.3">
      <c r="A993" t="s">
        <v>1036</v>
      </c>
      <c r="B993" t="s">
        <v>27</v>
      </c>
      <c r="C993" t="s">
        <v>25</v>
      </c>
      <c r="D993">
        <v>6075.65</v>
      </c>
      <c r="E993">
        <v>2</v>
      </c>
      <c r="F993">
        <v>12151.3</v>
      </c>
      <c r="G993" s="1">
        <v>45357</v>
      </c>
      <c r="H993" t="s">
        <v>47</v>
      </c>
      <c r="I993">
        <v>2.1</v>
      </c>
    </row>
    <row r="994" spans="1:9" x14ac:dyDescent="0.3">
      <c r="A994" t="s">
        <v>1037</v>
      </c>
      <c r="B994" t="s">
        <v>27</v>
      </c>
      <c r="C994" t="s">
        <v>25</v>
      </c>
      <c r="D994">
        <v>25511.46</v>
      </c>
      <c r="E994">
        <v>2</v>
      </c>
      <c r="F994">
        <v>51022.92</v>
      </c>
      <c r="G994" s="1">
        <v>45623</v>
      </c>
      <c r="H994" t="s">
        <v>56</v>
      </c>
      <c r="I994">
        <v>3.7</v>
      </c>
    </row>
    <row r="995" spans="1:9" x14ac:dyDescent="0.3">
      <c r="A995" t="s">
        <v>1038</v>
      </c>
      <c r="B995" t="s">
        <v>27</v>
      </c>
      <c r="C995" t="s">
        <v>25</v>
      </c>
      <c r="D995">
        <v>5815.52</v>
      </c>
      <c r="E995">
        <v>4</v>
      </c>
      <c r="F995">
        <v>23262.080000000002</v>
      </c>
      <c r="G995" s="1">
        <v>45577</v>
      </c>
      <c r="H995" t="s">
        <v>16</v>
      </c>
      <c r="I995">
        <v>2.2000000000000002</v>
      </c>
    </row>
    <row r="996" spans="1:9" x14ac:dyDescent="0.3">
      <c r="A996" t="s">
        <v>1039</v>
      </c>
      <c r="B996" t="s">
        <v>30</v>
      </c>
      <c r="C996" t="s">
        <v>15</v>
      </c>
      <c r="D996">
        <v>11479.89</v>
      </c>
      <c r="E996">
        <v>3</v>
      </c>
      <c r="F996">
        <v>34439.67</v>
      </c>
      <c r="G996" s="1">
        <v>45503</v>
      </c>
      <c r="H996" t="s">
        <v>56</v>
      </c>
      <c r="I996">
        <v>2.5</v>
      </c>
    </row>
    <row r="997" spans="1:9" x14ac:dyDescent="0.3">
      <c r="A997" t="s">
        <v>1040</v>
      </c>
      <c r="B997" t="s">
        <v>44</v>
      </c>
      <c r="C997" t="s">
        <v>22</v>
      </c>
      <c r="D997">
        <v>28995.81</v>
      </c>
      <c r="E997">
        <v>3</v>
      </c>
      <c r="F997">
        <v>86987.43</v>
      </c>
      <c r="G997" s="1">
        <v>45670</v>
      </c>
      <c r="H997" t="s">
        <v>42</v>
      </c>
      <c r="I997">
        <v>5</v>
      </c>
    </row>
    <row r="998" spans="1:9" x14ac:dyDescent="0.3">
      <c r="A998" t="s">
        <v>1041</v>
      </c>
      <c r="B998" t="s">
        <v>38</v>
      </c>
      <c r="C998" t="s">
        <v>19</v>
      </c>
      <c r="D998">
        <v>32799.51</v>
      </c>
      <c r="E998">
        <v>2</v>
      </c>
      <c r="F998">
        <v>65599.02</v>
      </c>
      <c r="G998" s="1">
        <v>45644</v>
      </c>
      <c r="H998" t="s">
        <v>28</v>
      </c>
      <c r="I998">
        <v>2.4</v>
      </c>
    </row>
    <row r="999" spans="1:9" x14ac:dyDescent="0.3">
      <c r="A999" t="s">
        <v>1042</v>
      </c>
      <c r="B999" t="s">
        <v>18</v>
      </c>
      <c r="C999" t="s">
        <v>19</v>
      </c>
      <c r="D999">
        <v>40840.800000000003</v>
      </c>
      <c r="E999">
        <v>1</v>
      </c>
      <c r="F999">
        <v>40840.800000000003</v>
      </c>
      <c r="G999" s="1">
        <v>45499</v>
      </c>
      <c r="H999" t="s">
        <v>16</v>
      </c>
      <c r="I999">
        <v>3.1</v>
      </c>
    </row>
    <row r="1000" spans="1:9" x14ac:dyDescent="0.3">
      <c r="A1000" t="s">
        <v>1043</v>
      </c>
      <c r="B1000" t="s">
        <v>24</v>
      </c>
      <c r="C1000" t="s">
        <v>25</v>
      </c>
      <c r="D1000">
        <v>34741.79</v>
      </c>
      <c r="E1000">
        <v>4</v>
      </c>
      <c r="F1000">
        <v>138967.16</v>
      </c>
      <c r="G1000" s="1">
        <v>45567</v>
      </c>
      <c r="H1000" t="s">
        <v>56</v>
      </c>
      <c r="I1000">
        <v>3.2</v>
      </c>
    </row>
    <row r="1001" spans="1:9" x14ac:dyDescent="0.3">
      <c r="A1001" t="s">
        <v>1044</v>
      </c>
      <c r="B1001" t="s">
        <v>32</v>
      </c>
      <c r="C1001" t="s">
        <v>25</v>
      </c>
      <c r="D1001">
        <v>16698.12</v>
      </c>
      <c r="E1001">
        <v>4</v>
      </c>
      <c r="F1001">
        <v>66792.479999999996</v>
      </c>
      <c r="G1001" s="1">
        <v>45377</v>
      </c>
      <c r="H1001" t="s">
        <v>47</v>
      </c>
      <c r="I1001">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96397-E2FA-4587-A18C-59B027580351}">
  <dimension ref="A1:Q1001"/>
  <sheetViews>
    <sheetView topLeftCell="A99" workbookViewId="0">
      <selection activeCell="M12" sqref="M12"/>
    </sheetView>
  </sheetViews>
  <sheetFormatPr defaultRowHeight="14.4" x14ac:dyDescent="0.3"/>
  <cols>
    <col min="1" max="1" width="10.109375" bestFit="1" customWidth="1"/>
    <col min="2" max="2" width="18.109375" bestFit="1" customWidth="1"/>
    <col min="3" max="3" width="15.33203125" bestFit="1" customWidth="1"/>
    <col min="4" max="4" width="12.21875" bestFit="1" customWidth="1"/>
    <col min="5" max="5" width="14.44140625" bestFit="1" customWidth="1"/>
    <col min="6" max="6" width="17" bestFit="1" customWidth="1"/>
    <col min="7" max="7" width="12.21875" bestFit="1" customWidth="1"/>
    <col min="8" max="8" width="17.21875" bestFit="1" customWidth="1"/>
    <col min="9" max="9" width="17" bestFit="1" customWidth="1"/>
    <col min="10" max="10" width="18.44140625" customWidth="1"/>
    <col min="11" max="11" width="16.44140625" customWidth="1"/>
    <col min="12" max="12" width="10.88671875" customWidth="1"/>
    <col min="13" max="13" width="19.21875" customWidth="1"/>
    <col min="14" max="14" width="11.33203125" customWidth="1"/>
    <col min="16" max="16" width="18.44140625" customWidth="1"/>
  </cols>
  <sheetData>
    <row r="1" spans="1:17" x14ac:dyDescent="0.3">
      <c r="A1" t="s">
        <v>0</v>
      </c>
      <c r="B1" t="s">
        <v>1</v>
      </c>
      <c r="C1" t="s">
        <v>2</v>
      </c>
      <c r="D1" t="s">
        <v>3</v>
      </c>
      <c r="E1" t="s">
        <v>4</v>
      </c>
      <c r="F1" t="s">
        <v>1084</v>
      </c>
      <c r="G1" t="s">
        <v>5</v>
      </c>
      <c r="H1" t="s">
        <v>6</v>
      </c>
      <c r="I1" t="s">
        <v>7</v>
      </c>
      <c r="J1" t="s">
        <v>8</v>
      </c>
      <c r="K1" t="s">
        <v>1082</v>
      </c>
      <c r="L1" t="s">
        <v>1083</v>
      </c>
      <c r="P1" t="s">
        <v>1045</v>
      </c>
      <c r="Q1" t="s">
        <v>1046</v>
      </c>
    </row>
    <row r="2" spans="1:17" x14ac:dyDescent="0.3">
      <c r="A2" t="s">
        <v>176</v>
      </c>
      <c r="B2" t="s">
        <v>1075</v>
      </c>
      <c r="C2" t="s">
        <v>1053</v>
      </c>
      <c r="D2">
        <v>15486.41</v>
      </c>
      <c r="E2">
        <v>4</v>
      </c>
      <c r="F2">
        <f>SUM(Table1_1[[#This Row],[Price (INR)]]*Table1_1[[#This Row],[Quantity Sold]])</f>
        <v>61945.64</v>
      </c>
      <c r="G2">
        <v>61945.64</v>
      </c>
      <c r="H2" s="1">
        <v>45402</v>
      </c>
      <c r="I2" t="s">
        <v>42</v>
      </c>
      <c r="J2">
        <v>5</v>
      </c>
      <c r="K2" t="str">
        <f>IF(Table1_1[[#This Row],[Quantity Sold]]&gt;=3,"BULK ORDER","REGULAR ORDER")</f>
        <v>BULK ORDER</v>
      </c>
      <c r="L2" t="str">
        <f>IF(Table1_1[[#This Row],[Customer Rating]]&gt;=4.5,"EXCELLENT",IF(Table1_1[[#This Row],[Customer Rating]]&lt;=4,"GOOD","AVERAGE"))</f>
        <v>EXCELLENT</v>
      </c>
      <c r="P2">
        <v>1</v>
      </c>
      <c r="Q2" t="s">
        <v>1081</v>
      </c>
    </row>
    <row r="3" spans="1:17" x14ac:dyDescent="0.3">
      <c r="A3" t="s">
        <v>470</v>
      </c>
      <c r="B3" t="s">
        <v>1072</v>
      </c>
      <c r="C3" t="s">
        <v>1057</v>
      </c>
      <c r="D3">
        <v>7322.87</v>
      </c>
      <c r="E3">
        <v>3</v>
      </c>
      <c r="F3">
        <f>SUM(Table1_1[[#This Row],[Price (INR)]]*Table1_1[[#This Row],[Quantity Sold]])</f>
        <v>21968.61</v>
      </c>
      <c r="G3">
        <v>21968.61</v>
      </c>
      <c r="H3" s="1">
        <v>45344</v>
      </c>
      <c r="I3" t="s">
        <v>42</v>
      </c>
      <c r="J3">
        <v>5</v>
      </c>
      <c r="K3" t="str">
        <f>IF(Table1_1[[#This Row],[Quantity Sold]]&gt;=3,"BULK ORDER","REGULAR ORDER")</f>
        <v>BULK ORDER</v>
      </c>
      <c r="L3" t="str">
        <f>IF(Table1_1[[#This Row],[Customer Rating]]&gt;=4.5,"EXCELLENT",IF(Table1_1[[#This Row],[Customer Rating]]&lt;=4,"GOOD","AVERAGE"))</f>
        <v>EXCELLENT</v>
      </c>
      <c r="P3">
        <v>2</v>
      </c>
      <c r="Q3">
        <f>SUM(Table1_1[Total Sales (INR)])</f>
        <v>75213112.740000024</v>
      </c>
    </row>
    <row r="4" spans="1:17" x14ac:dyDescent="0.3">
      <c r="A4" t="s">
        <v>767</v>
      </c>
      <c r="B4" t="s">
        <v>1067</v>
      </c>
      <c r="C4" t="s">
        <v>1048</v>
      </c>
      <c r="D4">
        <v>12798.83</v>
      </c>
      <c r="E4">
        <v>4</v>
      </c>
      <c r="F4">
        <f>SUM(Table1_1[[#This Row],[Price (INR)]]*Table1_1[[#This Row],[Quantity Sold]])</f>
        <v>51195.32</v>
      </c>
      <c r="G4">
        <v>51195.32</v>
      </c>
      <c r="H4" s="1">
        <v>45602</v>
      </c>
      <c r="I4" t="s">
        <v>16</v>
      </c>
      <c r="J4">
        <v>5</v>
      </c>
      <c r="K4" t="str">
        <f>IF(Table1_1[[#This Row],[Quantity Sold]]&gt;=3,"BULK ORDER","REGULAR ORDER")</f>
        <v>BULK ORDER</v>
      </c>
      <c r="L4" t="str">
        <f>IF(Table1_1[[#This Row],[Customer Rating]]&gt;=4.5,"EXCELLENT",IF(Table1_1[[#This Row],[Customer Rating]]&lt;=4,"GOOD","AVERAGE"))</f>
        <v>EXCELLENT</v>
      </c>
      <c r="P4">
        <v>3</v>
      </c>
      <c r="Q4" t="s">
        <v>1081</v>
      </c>
    </row>
    <row r="5" spans="1:17" x14ac:dyDescent="0.3">
      <c r="A5" t="s">
        <v>813</v>
      </c>
      <c r="B5" t="s">
        <v>1065</v>
      </c>
      <c r="C5" t="s">
        <v>1053</v>
      </c>
      <c r="D5">
        <v>22703.03</v>
      </c>
      <c r="E5">
        <v>2</v>
      </c>
      <c r="F5">
        <f>SUM(Table1_1[[#This Row],[Price (INR)]]*Table1_1[[#This Row],[Quantity Sold]])</f>
        <v>45406.06</v>
      </c>
      <c r="G5">
        <v>45406.06</v>
      </c>
      <c r="H5" s="1">
        <v>45418</v>
      </c>
      <c r="I5" t="s">
        <v>1071</v>
      </c>
      <c r="J5">
        <v>5</v>
      </c>
      <c r="K5" t="str">
        <f>IF(Table1_1[[#This Row],[Quantity Sold]]&gt;=3,"BULK ORDER","REGULAR ORDER")</f>
        <v>REGULAR ORDER</v>
      </c>
      <c r="L5" t="str">
        <f>IF(Table1_1[[#This Row],[Customer Rating]]&gt;=4.5,"EXCELLENT",IF(Table1_1[[#This Row],[Customer Rating]]&lt;=4,"GOOD","AVERAGE"))</f>
        <v>EXCELLENT</v>
      </c>
      <c r="P5" t="s">
        <v>1085</v>
      </c>
      <c r="Q5">
        <f>MAX(Table1_1[Price (INR)])</f>
        <v>49911.75</v>
      </c>
    </row>
    <row r="6" spans="1:17" x14ac:dyDescent="0.3">
      <c r="A6" t="s">
        <v>1040</v>
      </c>
      <c r="B6" t="s">
        <v>1066</v>
      </c>
      <c r="C6" t="s">
        <v>1055</v>
      </c>
      <c r="D6">
        <v>28995.81</v>
      </c>
      <c r="E6">
        <v>3</v>
      </c>
      <c r="F6">
        <f>SUM(Table1_1[[#This Row],[Price (INR)]]*Table1_1[[#This Row],[Quantity Sold]])</f>
        <v>86987.430000000008</v>
      </c>
      <c r="G6">
        <v>86987.43</v>
      </c>
      <c r="H6" s="1">
        <v>45670</v>
      </c>
      <c r="I6" t="s">
        <v>42</v>
      </c>
      <c r="J6">
        <v>5</v>
      </c>
      <c r="K6" t="str">
        <f>IF(Table1_1[[#This Row],[Quantity Sold]]&gt;=3,"BULK ORDER","REGULAR ORDER")</f>
        <v>BULK ORDER</v>
      </c>
      <c r="L6" t="str">
        <f>IF(Table1_1[[#This Row],[Customer Rating]]&gt;=4.5,"EXCELLENT",IF(Table1_1[[#This Row],[Customer Rating]]&lt;=4,"GOOD","AVERAGE"))</f>
        <v>EXCELLENT</v>
      </c>
      <c r="P6" t="s">
        <v>1086</v>
      </c>
      <c r="Q6">
        <f>MIN(Table1_1[Price (INR)])</f>
        <v>139.85</v>
      </c>
    </row>
    <row r="7" spans="1:17" x14ac:dyDescent="0.3">
      <c r="A7" t="s">
        <v>126</v>
      </c>
      <c r="B7" t="s">
        <v>1079</v>
      </c>
      <c r="C7" t="s">
        <v>1057</v>
      </c>
      <c r="D7">
        <v>29326.6</v>
      </c>
      <c r="E7">
        <v>3</v>
      </c>
      <c r="F7">
        <f>SUM(Table1_1[[#This Row],[Price (INR)]]*Table1_1[[#This Row],[Quantity Sold]])</f>
        <v>87979.799999999988</v>
      </c>
      <c r="G7">
        <v>87979.8</v>
      </c>
      <c r="H7" s="1">
        <v>45603</v>
      </c>
      <c r="I7" t="s">
        <v>1068</v>
      </c>
      <c r="J7">
        <v>4.9000000000000004</v>
      </c>
      <c r="K7" t="str">
        <f>IF(Table1_1[[#This Row],[Quantity Sold]]&gt;=3,"BULK ORDER","REGULAR ORDER")</f>
        <v>BULK ORDER</v>
      </c>
      <c r="L7" t="str">
        <f>IF(Table1_1[[#This Row],[Customer Rating]]&gt;=4.5,"EXCELLENT",IF(Table1_1[[#This Row],[Customer Rating]]&lt;=4,"GOOD","AVERAGE"))</f>
        <v>EXCELLENT</v>
      </c>
      <c r="P7">
        <v>5</v>
      </c>
      <c r="Q7">
        <f>COUNTA(Table1_1[Order ID])</f>
        <v>1000</v>
      </c>
    </row>
    <row r="8" spans="1:17" x14ac:dyDescent="0.3">
      <c r="A8" t="s">
        <v>189</v>
      </c>
      <c r="B8" t="s">
        <v>1066</v>
      </c>
      <c r="C8" t="s">
        <v>1055</v>
      </c>
      <c r="D8">
        <v>49142.57</v>
      </c>
      <c r="E8">
        <v>4</v>
      </c>
      <c r="F8">
        <f>SUM(Table1_1[[#This Row],[Price (INR)]]*Table1_1[[#This Row],[Quantity Sold]])</f>
        <v>196570.28</v>
      </c>
      <c r="G8">
        <v>196570.28</v>
      </c>
      <c r="H8" s="1">
        <v>45355</v>
      </c>
      <c r="I8" t="s">
        <v>16</v>
      </c>
      <c r="J8">
        <v>4.9000000000000004</v>
      </c>
      <c r="K8" t="str">
        <f>IF(Table1_1[[#This Row],[Quantity Sold]]&gt;=3,"BULK ORDER","REGULAR ORDER")</f>
        <v>BULK ORDER</v>
      </c>
      <c r="L8" t="str">
        <f>IF(Table1_1[[#This Row],[Customer Rating]]&gt;=4.5,"EXCELLENT",IF(Table1_1[[#This Row],[Customer Rating]]&lt;=4,"GOOD","AVERAGE"))</f>
        <v>EXCELLENT</v>
      </c>
      <c r="P8">
        <v>6</v>
      </c>
      <c r="Q8" t="s">
        <v>1081</v>
      </c>
    </row>
    <row r="9" spans="1:17" x14ac:dyDescent="0.3">
      <c r="A9" t="s">
        <v>229</v>
      </c>
      <c r="B9" t="s">
        <v>1079</v>
      </c>
      <c r="C9" t="s">
        <v>1057</v>
      </c>
      <c r="D9">
        <v>13011.44</v>
      </c>
      <c r="E9">
        <v>2</v>
      </c>
      <c r="F9">
        <f>SUM(Table1_1[[#This Row],[Price (INR)]]*Table1_1[[#This Row],[Quantity Sold]])</f>
        <v>26022.880000000001</v>
      </c>
      <c r="G9">
        <v>26022.880000000001</v>
      </c>
      <c r="H9" s="1">
        <v>45468</v>
      </c>
      <c r="I9" t="s">
        <v>1059</v>
      </c>
      <c r="J9">
        <v>4.9000000000000004</v>
      </c>
      <c r="K9" t="str">
        <f>IF(Table1_1[[#This Row],[Quantity Sold]]&gt;=3,"BULK ORDER","REGULAR ORDER")</f>
        <v>REGULAR ORDER</v>
      </c>
      <c r="L9" t="str">
        <f>IF(Table1_1[[#This Row],[Customer Rating]]&gt;=4.5,"EXCELLENT",IF(Table1_1[[#This Row],[Customer Rating]]&lt;=4,"GOOD","AVERAGE"))</f>
        <v>EXCELLENT</v>
      </c>
      <c r="P9">
        <v>7</v>
      </c>
      <c r="Q9">
        <f>SUMIF(Table1_1[Payment Method],"UPI",Table1_1[Total Sales (INR)])</f>
        <v>12790919.48</v>
      </c>
    </row>
    <row r="10" spans="1:17" x14ac:dyDescent="0.3">
      <c r="A10" t="s">
        <v>302</v>
      </c>
      <c r="B10" t="s">
        <v>1066</v>
      </c>
      <c r="C10" t="s">
        <v>1055</v>
      </c>
      <c r="D10">
        <v>11183.75</v>
      </c>
      <c r="E10">
        <v>1</v>
      </c>
      <c r="F10">
        <f>SUM(Table1_1[[#This Row],[Price (INR)]]*Table1_1[[#This Row],[Quantity Sold]])</f>
        <v>11183.75</v>
      </c>
      <c r="G10">
        <v>11183.75</v>
      </c>
      <c r="H10" s="1">
        <v>45611</v>
      </c>
      <c r="I10" t="s">
        <v>1068</v>
      </c>
      <c r="J10">
        <v>4.9000000000000004</v>
      </c>
      <c r="K10" t="str">
        <f>IF(Table1_1[[#This Row],[Quantity Sold]]&gt;=3,"BULK ORDER","REGULAR ORDER")</f>
        <v>REGULAR ORDER</v>
      </c>
      <c r="L10" t="str">
        <f>IF(Table1_1[[#This Row],[Customer Rating]]&gt;=4.5,"EXCELLENT",IF(Table1_1[[#This Row],[Customer Rating]]&lt;=4,"GOOD","AVERAGE"))</f>
        <v>EXCELLENT</v>
      </c>
      <c r="P10">
        <v>8</v>
      </c>
      <c r="Q10">
        <f>COUNTIF(Table1_1[Customer Rating],"&gt;=4")</f>
        <v>272</v>
      </c>
    </row>
    <row r="11" spans="1:17" x14ac:dyDescent="0.3">
      <c r="A11" t="s">
        <v>310</v>
      </c>
      <c r="B11" t="s">
        <v>1073</v>
      </c>
      <c r="C11" t="s">
        <v>1053</v>
      </c>
      <c r="D11">
        <v>40461.79</v>
      </c>
      <c r="E11">
        <v>1</v>
      </c>
      <c r="F11">
        <f>SUM(Table1_1[[#This Row],[Price (INR)]]*Table1_1[[#This Row],[Quantity Sold]])</f>
        <v>40461.79</v>
      </c>
      <c r="G11">
        <v>40461.79</v>
      </c>
      <c r="H11" s="1">
        <v>45431</v>
      </c>
      <c r="I11" t="s">
        <v>1068</v>
      </c>
      <c r="J11">
        <v>4.9000000000000004</v>
      </c>
      <c r="K11" t="str">
        <f>IF(Table1_1[[#This Row],[Quantity Sold]]&gt;=3,"BULK ORDER","REGULAR ORDER")</f>
        <v>REGULAR ORDER</v>
      </c>
      <c r="L11" t="str">
        <f>IF(Table1_1[[#This Row],[Customer Rating]]&gt;=4.5,"EXCELLENT",IF(Table1_1[[#This Row],[Customer Rating]]&lt;=4,"GOOD","AVERAGE"))</f>
        <v>EXCELLENT</v>
      </c>
      <c r="P11">
        <v>9</v>
      </c>
      <c r="Q11" t="s">
        <v>1081</v>
      </c>
    </row>
    <row r="12" spans="1:17" x14ac:dyDescent="0.3">
      <c r="A12" t="s">
        <v>354</v>
      </c>
      <c r="B12" t="s">
        <v>1077</v>
      </c>
      <c r="C12" t="s">
        <v>1048</v>
      </c>
      <c r="D12">
        <v>23562.27</v>
      </c>
      <c r="E12">
        <v>2</v>
      </c>
      <c r="F12">
        <f>SUM(Table1_1[[#This Row],[Price (INR)]]*Table1_1[[#This Row],[Quantity Sold]])</f>
        <v>47124.54</v>
      </c>
      <c r="G12">
        <v>47124.54</v>
      </c>
      <c r="H12" s="1">
        <v>45649</v>
      </c>
      <c r="I12" t="s">
        <v>1068</v>
      </c>
      <c r="J12">
        <v>4.9000000000000004</v>
      </c>
      <c r="K12" t="str">
        <f>IF(Table1_1[[#This Row],[Quantity Sold]]&gt;=3,"BULK ORDER","REGULAR ORDER")</f>
        <v>REGULAR ORDER</v>
      </c>
      <c r="L12" t="str">
        <f>IF(Table1_1[[#This Row],[Customer Rating]]&gt;=4.5,"EXCELLENT",IF(Table1_1[[#This Row],[Customer Rating]]&lt;=4,"GOOD","AVERAGE"))</f>
        <v>EXCELLENT</v>
      </c>
      <c r="P12">
        <v>10</v>
      </c>
      <c r="Q12" t="s">
        <v>1081</v>
      </c>
    </row>
    <row r="13" spans="1:17" x14ac:dyDescent="0.3">
      <c r="A13" t="s">
        <v>394</v>
      </c>
      <c r="B13" t="s">
        <v>1064</v>
      </c>
      <c r="C13" t="s">
        <v>1053</v>
      </c>
      <c r="D13">
        <v>45012.71</v>
      </c>
      <c r="E13">
        <v>3</v>
      </c>
      <c r="F13">
        <f>SUM(Table1_1[[#This Row],[Price (INR)]]*Table1_1[[#This Row],[Quantity Sold]])</f>
        <v>135038.13</v>
      </c>
      <c r="G13">
        <v>135038.13</v>
      </c>
      <c r="H13" s="1">
        <v>45580</v>
      </c>
      <c r="I13" t="s">
        <v>16</v>
      </c>
      <c r="J13">
        <v>4.9000000000000004</v>
      </c>
      <c r="K13" t="str">
        <f>IF(Table1_1[[#This Row],[Quantity Sold]]&gt;=3,"BULK ORDER","REGULAR ORDER")</f>
        <v>BULK ORDER</v>
      </c>
      <c r="L13" t="str">
        <f>IF(Table1_1[[#This Row],[Customer Rating]]&gt;=4.5,"EXCELLENT",IF(Table1_1[[#This Row],[Customer Rating]]&lt;=4,"GOOD","AVERAGE"))</f>
        <v>EXCELLENT</v>
      </c>
    </row>
    <row r="14" spans="1:17" x14ac:dyDescent="0.3">
      <c r="A14" t="s">
        <v>421</v>
      </c>
      <c r="B14" t="s">
        <v>1047</v>
      </c>
      <c r="C14" t="s">
        <v>1048</v>
      </c>
      <c r="D14">
        <v>20075.810000000001</v>
      </c>
      <c r="E14">
        <v>1</v>
      </c>
      <c r="F14">
        <f>SUM(Table1_1[[#This Row],[Price (INR)]]*Table1_1[[#This Row],[Quantity Sold]])</f>
        <v>20075.810000000001</v>
      </c>
      <c r="G14">
        <v>20075.810000000001</v>
      </c>
      <c r="H14" s="1">
        <v>45455</v>
      </c>
      <c r="I14" t="s">
        <v>1049</v>
      </c>
      <c r="J14">
        <v>4.9000000000000004</v>
      </c>
      <c r="K14" t="str">
        <f>IF(Table1_1[[#This Row],[Quantity Sold]]&gt;=3,"BULK ORDER","REGULAR ORDER")</f>
        <v>REGULAR ORDER</v>
      </c>
      <c r="L14" t="str">
        <f>IF(Table1_1[[#This Row],[Customer Rating]]&gt;=4.5,"EXCELLENT",IF(Table1_1[[#This Row],[Customer Rating]]&lt;=4,"GOOD","AVERAGE"))</f>
        <v>EXCELLENT</v>
      </c>
    </row>
    <row r="15" spans="1:17" x14ac:dyDescent="0.3">
      <c r="A15" t="s">
        <v>512</v>
      </c>
      <c r="B15" t="s">
        <v>1076</v>
      </c>
      <c r="C15" t="s">
        <v>1055</v>
      </c>
      <c r="D15">
        <v>18451.91</v>
      </c>
      <c r="E15">
        <v>5</v>
      </c>
      <c r="F15">
        <f>SUM(Table1_1[[#This Row],[Price (INR)]]*Table1_1[[#This Row],[Quantity Sold]])</f>
        <v>92259.55</v>
      </c>
      <c r="G15">
        <v>92259.55</v>
      </c>
      <c r="H15" s="1">
        <v>45547</v>
      </c>
      <c r="I15" t="s">
        <v>16</v>
      </c>
      <c r="J15">
        <v>4.9000000000000004</v>
      </c>
      <c r="K15" t="str">
        <f>IF(Table1_1[[#This Row],[Quantity Sold]]&gt;=3,"BULK ORDER","REGULAR ORDER")</f>
        <v>BULK ORDER</v>
      </c>
      <c r="L15" t="str">
        <f>IF(Table1_1[[#This Row],[Customer Rating]]&gt;=4.5,"EXCELLENT",IF(Table1_1[[#This Row],[Customer Rating]]&lt;=4,"GOOD","AVERAGE"))</f>
        <v>EXCELLENT</v>
      </c>
    </row>
    <row r="16" spans="1:17" x14ac:dyDescent="0.3">
      <c r="A16" t="s">
        <v>533</v>
      </c>
      <c r="B16" t="s">
        <v>1069</v>
      </c>
      <c r="C16" t="s">
        <v>1048</v>
      </c>
      <c r="D16">
        <v>48405.89</v>
      </c>
      <c r="E16">
        <v>4</v>
      </c>
      <c r="F16">
        <f>SUM(Table1_1[[#This Row],[Price (INR)]]*Table1_1[[#This Row],[Quantity Sold]])</f>
        <v>193623.56</v>
      </c>
      <c r="G16">
        <v>193623.56</v>
      </c>
      <c r="H16" s="1">
        <v>45382</v>
      </c>
      <c r="I16" t="s">
        <v>1059</v>
      </c>
      <c r="J16">
        <v>4.9000000000000004</v>
      </c>
      <c r="K16" t="str">
        <f>IF(Table1_1[[#This Row],[Quantity Sold]]&gt;=3,"BULK ORDER","REGULAR ORDER")</f>
        <v>BULK ORDER</v>
      </c>
      <c r="L16" t="str">
        <f>IF(Table1_1[[#This Row],[Customer Rating]]&gt;=4.5,"EXCELLENT",IF(Table1_1[[#This Row],[Customer Rating]]&lt;=4,"GOOD","AVERAGE"))</f>
        <v>EXCELLENT</v>
      </c>
    </row>
    <row r="17" spans="1:12" x14ac:dyDescent="0.3">
      <c r="A17" t="s">
        <v>541</v>
      </c>
      <c r="B17" t="s">
        <v>1061</v>
      </c>
      <c r="C17" t="s">
        <v>1057</v>
      </c>
      <c r="D17">
        <v>20859.61</v>
      </c>
      <c r="E17">
        <v>4</v>
      </c>
      <c r="F17">
        <f>SUM(Table1_1[[#This Row],[Price (INR)]]*Table1_1[[#This Row],[Quantity Sold]])</f>
        <v>83438.44</v>
      </c>
      <c r="G17">
        <v>83438.44</v>
      </c>
      <c r="H17" s="1">
        <v>45406</v>
      </c>
      <c r="I17" t="s">
        <v>1059</v>
      </c>
      <c r="J17">
        <v>4.9000000000000004</v>
      </c>
      <c r="K17" t="str">
        <f>IF(Table1_1[[#This Row],[Quantity Sold]]&gt;=3,"BULK ORDER","REGULAR ORDER")</f>
        <v>BULK ORDER</v>
      </c>
      <c r="L17" t="str">
        <f>IF(Table1_1[[#This Row],[Customer Rating]]&gt;=4.5,"EXCELLENT",IF(Table1_1[[#This Row],[Customer Rating]]&lt;=4,"GOOD","AVERAGE"))</f>
        <v>EXCELLENT</v>
      </c>
    </row>
    <row r="18" spans="1:12" x14ac:dyDescent="0.3">
      <c r="A18" t="s">
        <v>550</v>
      </c>
      <c r="B18" t="s">
        <v>1076</v>
      </c>
      <c r="C18" t="s">
        <v>1055</v>
      </c>
      <c r="D18">
        <v>8436.7099999999991</v>
      </c>
      <c r="E18">
        <v>5</v>
      </c>
      <c r="F18">
        <f>SUM(Table1_1[[#This Row],[Price (INR)]]*Table1_1[[#This Row],[Quantity Sold]])</f>
        <v>42183.549999999996</v>
      </c>
      <c r="G18">
        <v>42183.55</v>
      </c>
      <c r="H18" s="1">
        <v>45395</v>
      </c>
      <c r="I18" t="s">
        <v>1059</v>
      </c>
      <c r="J18">
        <v>4.9000000000000004</v>
      </c>
      <c r="K18" t="str">
        <f>IF(Table1_1[[#This Row],[Quantity Sold]]&gt;=3,"BULK ORDER","REGULAR ORDER")</f>
        <v>BULK ORDER</v>
      </c>
      <c r="L18" t="str">
        <f>IF(Table1_1[[#This Row],[Customer Rating]]&gt;=4.5,"EXCELLENT",IF(Table1_1[[#This Row],[Customer Rating]]&lt;=4,"GOOD","AVERAGE"))</f>
        <v>EXCELLENT</v>
      </c>
    </row>
    <row r="19" spans="1:12" x14ac:dyDescent="0.3">
      <c r="A19" t="s">
        <v>577</v>
      </c>
      <c r="B19" t="s">
        <v>1061</v>
      </c>
      <c r="C19" t="s">
        <v>1057</v>
      </c>
      <c r="D19">
        <v>46792.3</v>
      </c>
      <c r="E19">
        <v>1</v>
      </c>
      <c r="F19">
        <f>SUM(Table1_1[[#This Row],[Price (INR)]]*Table1_1[[#This Row],[Quantity Sold]])</f>
        <v>46792.3</v>
      </c>
      <c r="G19">
        <v>46792.3</v>
      </c>
      <c r="H19" s="1">
        <v>45459</v>
      </c>
      <c r="I19" t="s">
        <v>1068</v>
      </c>
      <c r="J19">
        <v>4.9000000000000004</v>
      </c>
      <c r="K19" t="str">
        <f>IF(Table1_1[[#This Row],[Quantity Sold]]&gt;=3,"BULK ORDER","REGULAR ORDER")</f>
        <v>REGULAR ORDER</v>
      </c>
      <c r="L19" t="str">
        <f>IF(Table1_1[[#This Row],[Customer Rating]]&gt;=4.5,"EXCELLENT",IF(Table1_1[[#This Row],[Customer Rating]]&lt;=4,"GOOD","AVERAGE"))</f>
        <v>EXCELLENT</v>
      </c>
    </row>
    <row r="20" spans="1:12" x14ac:dyDescent="0.3">
      <c r="A20" t="s">
        <v>681</v>
      </c>
      <c r="B20" t="s">
        <v>1047</v>
      </c>
      <c r="C20" t="s">
        <v>1048</v>
      </c>
      <c r="D20">
        <v>41619.15</v>
      </c>
      <c r="E20">
        <v>1</v>
      </c>
      <c r="F20">
        <f>SUM(Table1_1[[#This Row],[Price (INR)]]*Table1_1[[#This Row],[Quantity Sold]])</f>
        <v>41619.15</v>
      </c>
      <c r="G20">
        <v>41619.15</v>
      </c>
      <c r="H20" s="1">
        <v>45423</v>
      </c>
      <c r="I20" t="s">
        <v>1049</v>
      </c>
      <c r="J20">
        <v>4.9000000000000004</v>
      </c>
      <c r="K20" t="str">
        <f>IF(Table1_1[[#This Row],[Quantity Sold]]&gt;=3,"BULK ORDER","REGULAR ORDER")</f>
        <v>REGULAR ORDER</v>
      </c>
      <c r="L20" t="str">
        <f>IF(Table1_1[[#This Row],[Customer Rating]]&gt;=4.5,"EXCELLENT",IF(Table1_1[[#This Row],[Customer Rating]]&lt;=4,"GOOD","AVERAGE"))</f>
        <v>EXCELLENT</v>
      </c>
    </row>
    <row r="21" spans="1:12" x14ac:dyDescent="0.3">
      <c r="A21" t="s">
        <v>682</v>
      </c>
      <c r="B21" t="s">
        <v>1056</v>
      </c>
      <c r="C21" t="s">
        <v>1057</v>
      </c>
      <c r="D21">
        <v>14084.61</v>
      </c>
      <c r="E21">
        <v>3</v>
      </c>
      <c r="F21">
        <f>SUM(Table1_1[[#This Row],[Price (INR)]]*Table1_1[[#This Row],[Quantity Sold]])</f>
        <v>42253.83</v>
      </c>
      <c r="G21">
        <v>42253.83</v>
      </c>
      <c r="H21" s="1">
        <v>45550</v>
      </c>
      <c r="I21" t="s">
        <v>1059</v>
      </c>
      <c r="J21">
        <v>4.9000000000000004</v>
      </c>
      <c r="K21" t="str">
        <f>IF(Table1_1[[#This Row],[Quantity Sold]]&gt;=3,"BULK ORDER","REGULAR ORDER")</f>
        <v>BULK ORDER</v>
      </c>
      <c r="L21" t="str">
        <f>IF(Table1_1[[#This Row],[Customer Rating]]&gt;=4.5,"EXCELLENT",IF(Table1_1[[#This Row],[Customer Rating]]&lt;=4,"GOOD","AVERAGE"))</f>
        <v>EXCELLENT</v>
      </c>
    </row>
    <row r="22" spans="1:12" x14ac:dyDescent="0.3">
      <c r="A22" t="s">
        <v>709</v>
      </c>
      <c r="B22" t="s">
        <v>1064</v>
      </c>
      <c r="C22" t="s">
        <v>1053</v>
      </c>
      <c r="D22">
        <v>14622.12</v>
      </c>
      <c r="E22">
        <v>1</v>
      </c>
      <c r="F22">
        <f>SUM(Table1_1[[#This Row],[Price (INR)]]*Table1_1[[#This Row],[Quantity Sold]])</f>
        <v>14622.12</v>
      </c>
      <c r="G22">
        <v>14622.12</v>
      </c>
      <c r="H22" s="1">
        <v>45659</v>
      </c>
      <c r="I22" t="s">
        <v>1068</v>
      </c>
      <c r="J22">
        <v>4.9000000000000004</v>
      </c>
      <c r="K22" t="str">
        <f>IF(Table1_1[[#This Row],[Quantity Sold]]&gt;=3,"BULK ORDER","REGULAR ORDER")</f>
        <v>REGULAR ORDER</v>
      </c>
      <c r="L22" t="str">
        <f>IF(Table1_1[[#This Row],[Customer Rating]]&gt;=4.5,"EXCELLENT",IF(Table1_1[[#This Row],[Customer Rating]]&lt;=4,"GOOD","AVERAGE"))</f>
        <v>EXCELLENT</v>
      </c>
    </row>
    <row r="23" spans="1:12" x14ac:dyDescent="0.3">
      <c r="A23" t="s">
        <v>738</v>
      </c>
      <c r="B23" t="s">
        <v>1065</v>
      </c>
      <c r="C23" t="s">
        <v>1053</v>
      </c>
      <c r="D23">
        <v>27396.01</v>
      </c>
      <c r="E23">
        <v>1</v>
      </c>
      <c r="F23">
        <f>SUM(Table1_1[[#This Row],[Price (INR)]]*Table1_1[[#This Row],[Quantity Sold]])</f>
        <v>27396.01</v>
      </c>
      <c r="G23">
        <v>27396.01</v>
      </c>
      <c r="H23" s="1">
        <v>45371</v>
      </c>
      <c r="I23" t="s">
        <v>42</v>
      </c>
      <c r="J23">
        <v>4.9000000000000004</v>
      </c>
      <c r="K23" t="str">
        <f>IF(Table1_1[[#This Row],[Quantity Sold]]&gt;=3,"BULK ORDER","REGULAR ORDER")</f>
        <v>REGULAR ORDER</v>
      </c>
      <c r="L23" t="str">
        <f>IF(Table1_1[[#This Row],[Customer Rating]]&gt;=4.5,"EXCELLENT",IF(Table1_1[[#This Row],[Customer Rating]]&lt;=4,"GOOD","AVERAGE"))</f>
        <v>EXCELLENT</v>
      </c>
    </row>
    <row r="24" spans="1:12" x14ac:dyDescent="0.3">
      <c r="A24" t="s">
        <v>764</v>
      </c>
      <c r="B24" t="s">
        <v>1075</v>
      </c>
      <c r="C24" t="s">
        <v>1053</v>
      </c>
      <c r="D24">
        <v>4080.78</v>
      </c>
      <c r="E24">
        <v>3</v>
      </c>
      <c r="F24">
        <f>SUM(Table1_1[[#This Row],[Price (INR)]]*Table1_1[[#This Row],[Quantity Sold]])</f>
        <v>12242.34</v>
      </c>
      <c r="G24">
        <v>12242.34</v>
      </c>
      <c r="H24" s="1">
        <v>45390</v>
      </c>
      <c r="I24" t="s">
        <v>1068</v>
      </c>
      <c r="J24">
        <v>4.9000000000000004</v>
      </c>
      <c r="K24" t="str">
        <f>IF(Table1_1[[#This Row],[Quantity Sold]]&gt;=3,"BULK ORDER","REGULAR ORDER")</f>
        <v>BULK ORDER</v>
      </c>
      <c r="L24" t="str">
        <f>IF(Table1_1[[#This Row],[Customer Rating]]&gt;=4.5,"EXCELLENT",IF(Table1_1[[#This Row],[Customer Rating]]&lt;=4,"GOOD","AVERAGE"))</f>
        <v>EXCELLENT</v>
      </c>
    </row>
    <row r="25" spans="1:12" x14ac:dyDescent="0.3">
      <c r="A25" t="s">
        <v>779</v>
      </c>
      <c r="B25" t="s">
        <v>1067</v>
      </c>
      <c r="C25" t="s">
        <v>1048</v>
      </c>
      <c r="D25">
        <v>16174.96</v>
      </c>
      <c r="E25">
        <v>5</v>
      </c>
      <c r="F25">
        <f>SUM(Table1_1[[#This Row],[Price (INR)]]*Table1_1[[#This Row],[Quantity Sold]])</f>
        <v>80874.799999999988</v>
      </c>
      <c r="G25">
        <v>80874.8</v>
      </c>
      <c r="H25" s="1">
        <v>45341</v>
      </c>
      <c r="I25" t="s">
        <v>1068</v>
      </c>
      <c r="J25">
        <v>4.9000000000000004</v>
      </c>
      <c r="K25" t="str">
        <f>IF(Table1_1[[#This Row],[Quantity Sold]]&gt;=3,"BULK ORDER","REGULAR ORDER")</f>
        <v>BULK ORDER</v>
      </c>
      <c r="L25" t="str">
        <f>IF(Table1_1[[#This Row],[Customer Rating]]&gt;=4.5,"EXCELLENT",IF(Table1_1[[#This Row],[Customer Rating]]&lt;=4,"GOOD","AVERAGE"))</f>
        <v>EXCELLENT</v>
      </c>
    </row>
    <row r="26" spans="1:12" x14ac:dyDescent="0.3">
      <c r="A26" t="s">
        <v>818</v>
      </c>
      <c r="B26" t="s">
        <v>1054</v>
      </c>
      <c r="C26" t="s">
        <v>1055</v>
      </c>
      <c r="D26">
        <v>31265.89</v>
      </c>
      <c r="E26">
        <v>1</v>
      </c>
      <c r="F26">
        <f>SUM(Table1_1[[#This Row],[Price (INR)]]*Table1_1[[#This Row],[Quantity Sold]])</f>
        <v>31265.89</v>
      </c>
      <c r="G26">
        <v>31265.89</v>
      </c>
      <c r="H26" s="1">
        <v>45463</v>
      </c>
      <c r="I26" t="s">
        <v>16</v>
      </c>
      <c r="J26">
        <v>4.9000000000000004</v>
      </c>
      <c r="K26" t="str">
        <f>IF(Table1_1[[#This Row],[Quantity Sold]]&gt;=3,"BULK ORDER","REGULAR ORDER")</f>
        <v>REGULAR ORDER</v>
      </c>
      <c r="L26" t="str">
        <f>IF(Table1_1[[#This Row],[Customer Rating]]&gt;=4.5,"EXCELLENT",IF(Table1_1[[#This Row],[Customer Rating]]&lt;=4,"GOOD","AVERAGE"))</f>
        <v>EXCELLENT</v>
      </c>
    </row>
    <row r="27" spans="1:12" x14ac:dyDescent="0.3">
      <c r="A27" t="s">
        <v>913</v>
      </c>
      <c r="B27" t="s">
        <v>1079</v>
      </c>
      <c r="C27" t="s">
        <v>1057</v>
      </c>
      <c r="D27">
        <v>32863.879999999997</v>
      </c>
      <c r="E27">
        <v>4</v>
      </c>
      <c r="F27">
        <f>SUM(Table1_1[[#This Row],[Price (INR)]]*Table1_1[[#This Row],[Quantity Sold]])</f>
        <v>131455.51999999999</v>
      </c>
      <c r="G27">
        <v>131455.51999999999</v>
      </c>
      <c r="H27" s="1">
        <v>45366</v>
      </c>
      <c r="I27" t="s">
        <v>1059</v>
      </c>
      <c r="J27">
        <v>4.9000000000000004</v>
      </c>
      <c r="K27" t="str">
        <f>IF(Table1_1[[#This Row],[Quantity Sold]]&gt;=3,"BULK ORDER","REGULAR ORDER")</f>
        <v>BULK ORDER</v>
      </c>
      <c r="L27" t="str">
        <f>IF(Table1_1[[#This Row],[Customer Rating]]&gt;=4.5,"EXCELLENT",IF(Table1_1[[#This Row],[Customer Rating]]&lt;=4,"GOOD","AVERAGE"))</f>
        <v>EXCELLENT</v>
      </c>
    </row>
    <row r="28" spans="1:12" x14ac:dyDescent="0.3">
      <c r="A28" t="s">
        <v>1014</v>
      </c>
      <c r="B28" t="s">
        <v>1070</v>
      </c>
      <c r="C28" t="s">
        <v>1051</v>
      </c>
      <c r="D28">
        <v>879.25</v>
      </c>
      <c r="E28">
        <v>4</v>
      </c>
      <c r="F28">
        <f>SUM(Table1_1[[#This Row],[Price (INR)]]*Table1_1[[#This Row],[Quantity Sold]])</f>
        <v>3517</v>
      </c>
      <c r="G28">
        <v>3517</v>
      </c>
      <c r="H28" s="1">
        <v>45542</v>
      </c>
      <c r="I28" t="s">
        <v>1059</v>
      </c>
      <c r="J28">
        <v>4.9000000000000004</v>
      </c>
      <c r="K28" t="str">
        <f>IF(Table1_1[[#This Row],[Quantity Sold]]&gt;=3,"BULK ORDER","REGULAR ORDER")</f>
        <v>BULK ORDER</v>
      </c>
      <c r="L28" t="str">
        <f>IF(Table1_1[[#This Row],[Customer Rating]]&gt;=4.5,"EXCELLENT",IF(Table1_1[[#This Row],[Customer Rating]]&lt;=4,"GOOD","AVERAGE"))</f>
        <v>EXCELLENT</v>
      </c>
    </row>
    <row r="29" spans="1:12" x14ac:dyDescent="0.3">
      <c r="A29" t="s">
        <v>1035</v>
      </c>
      <c r="B29" t="s">
        <v>1077</v>
      </c>
      <c r="C29" t="s">
        <v>1048</v>
      </c>
      <c r="D29">
        <v>9189.91</v>
      </c>
      <c r="E29">
        <v>5</v>
      </c>
      <c r="F29">
        <f>SUM(Table1_1[[#This Row],[Price (INR)]]*Table1_1[[#This Row],[Quantity Sold]])</f>
        <v>45949.55</v>
      </c>
      <c r="G29">
        <v>45949.55</v>
      </c>
      <c r="H29" s="1">
        <v>45501</v>
      </c>
      <c r="I29" t="s">
        <v>1059</v>
      </c>
      <c r="J29">
        <v>4.9000000000000004</v>
      </c>
      <c r="K29" t="str">
        <f>IF(Table1_1[[#This Row],[Quantity Sold]]&gt;=3,"BULK ORDER","REGULAR ORDER")</f>
        <v>BULK ORDER</v>
      </c>
      <c r="L29" t="str">
        <f>IF(Table1_1[[#This Row],[Customer Rating]]&gt;=4.5,"EXCELLENT",IF(Table1_1[[#This Row],[Customer Rating]]&lt;=4,"GOOD","AVERAGE"))</f>
        <v>EXCELLENT</v>
      </c>
    </row>
    <row r="30" spans="1:12" x14ac:dyDescent="0.3">
      <c r="A30" t="s">
        <v>156</v>
      </c>
      <c r="B30" t="s">
        <v>1075</v>
      </c>
      <c r="C30" t="s">
        <v>1053</v>
      </c>
      <c r="D30">
        <v>45387.99</v>
      </c>
      <c r="E30">
        <v>3</v>
      </c>
      <c r="F30">
        <f>SUM(Table1_1[[#This Row],[Price (INR)]]*Table1_1[[#This Row],[Quantity Sold]])</f>
        <v>136163.97</v>
      </c>
      <c r="G30">
        <v>136163.97</v>
      </c>
      <c r="H30" s="1">
        <v>45649</v>
      </c>
      <c r="I30" t="s">
        <v>42</v>
      </c>
      <c r="J30">
        <v>4.8</v>
      </c>
      <c r="K30" t="str">
        <f>IF(Table1_1[[#This Row],[Quantity Sold]]&gt;=3,"BULK ORDER","REGULAR ORDER")</f>
        <v>BULK ORDER</v>
      </c>
      <c r="L30" t="str">
        <f>IF(Table1_1[[#This Row],[Customer Rating]]&gt;=4.5,"EXCELLENT",IF(Table1_1[[#This Row],[Customer Rating]]&lt;=4,"GOOD","AVERAGE"))</f>
        <v>EXCELLENT</v>
      </c>
    </row>
    <row r="31" spans="1:12" x14ac:dyDescent="0.3">
      <c r="A31" t="s">
        <v>200</v>
      </c>
      <c r="B31" t="s">
        <v>1052</v>
      </c>
      <c r="C31" t="s">
        <v>1053</v>
      </c>
      <c r="D31">
        <v>43522.080000000002</v>
      </c>
      <c r="E31">
        <v>5</v>
      </c>
      <c r="F31">
        <f>SUM(Table1_1[[#This Row],[Price (INR)]]*Table1_1[[#This Row],[Quantity Sold]])</f>
        <v>217610.40000000002</v>
      </c>
      <c r="G31">
        <v>217610.4</v>
      </c>
      <c r="H31" s="1">
        <v>45546</v>
      </c>
      <c r="I31" t="s">
        <v>42</v>
      </c>
      <c r="J31">
        <v>4.8</v>
      </c>
      <c r="K31" t="str">
        <f>IF(Table1_1[[#This Row],[Quantity Sold]]&gt;=3,"BULK ORDER","REGULAR ORDER")</f>
        <v>BULK ORDER</v>
      </c>
      <c r="L31" t="str">
        <f>IF(Table1_1[[#This Row],[Customer Rating]]&gt;=4.5,"EXCELLENT",IF(Table1_1[[#This Row],[Customer Rating]]&lt;=4,"GOOD","AVERAGE"))</f>
        <v>EXCELLENT</v>
      </c>
    </row>
    <row r="32" spans="1:12" x14ac:dyDescent="0.3">
      <c r="A32" t="s">
        <v>261</v>
      </c>
      <c r="B32" t="s">
        <v>1050</v>
      </c>
      <c r="C32" t="s">
        <v>1051</v>
      </c>
      <c r="D32">
        <v>25668.959999999999</v>
      </c>
      <c r="E32">
        <v>3</v>
      </c>
      <c r="F32">
        <f>SUM(Table1_1[[#This Row],[Price (INR)]]*Table1_1[[#This Row],[Quantity Sold]])</f>
        <v>77006.880000000005</v>
      </c>
      <c r="G32">
        <v>77006.880000000005</v>
      </c>
      <c r="H32" s="1">
        <v>45451</v>
      </c>
      <c r="I32" t="s">
        <v>1049</v>
      </c>
      <c r="J32">
        <v>4.8</v>
      </c>
      <c r="K32" t="str">
        <f>IF(Table1_1[[#This Row],[Quantity Sold]]&gt;=3,"BULK ORDER","REGULAR ORDER")</f>
        <v>BULK ORDER</v>
      </c>
      <c r="L32" t="str">
        <f>IF(Table1_1[[#This Row],[Customer Rating]]&gt;=4.5,"EXCELLENT",IF(Table1_1[[#This Row],[Customer Rating]]&lt;=4,"GOOD","AVERAGE"))</f>
        <v>EXCELLENT</v>
      </c>
    </row>
    <row r="33" spans="1:12" x14ac:dyDescent="0.3">
      <c r="A33" t="s">
        <v>289</v>
      </c>
      <c r="B33" t="s">
        <v>1069</v>
      </c>
      <c r="C33" t="s">
        <v>1048</v>
      </c>
      <c r="D33">
        <v>31059.47</v>
      </c>
      <c r="E33">
        <v>3</v>
      </c>
      <c r="F33">
        <f>SUM(Table1_1[[#This Row],[Price (INR)]]*Table1_1[[#This Row],[Quantity Sold]])</f>
        <v>93178.41</v>
      </c>
      <c r="G33">
        <v>93178.41</v>
      </c>
      <c r="H33" s="1">
        <v>45427</v>
      </c>
      <c r="I33" t="s">
        <v>1059</v>
      </c>
      <c r="J33">
        <v>4.8</v>
      </c>
      <c r="K33" t="str">
        <f>IF(Table1_1[[#This Row],[Quantity Sold]]&gt;=3,"BULK ORDER","REGULAR ORDER")</f>
        <v>BULK ORDER</v>
      </c>
      <c r="L33" t="str">
        <f>IF(Table1_1[[#This Row],[Customer Rating]]&gt;=4.5,"EXCELLENT",IF(Table1_1[[#This Row],[Customer Rating]]&lt;=4,"GOOD","AVERAGE"))</f>
        <v>EXCELLENT</v>
      </c>
    </row>
    <row r="34" spans="1:12" x14ac:dyDescent="0.3">
      <c r="A34" t="s">
        <v>415</v>
      </c>
      <c r="B34" t="s">
        <v>1074</v>
      </c>
      <c r="C34" t="s">
        <v>1055</v>
      </c>
      <c r="D34">
        <v>2258.27</v>
      </c>
      <c r="E34">
        <v>3</v>
      </c>
      <c r="F34">
        <f>SUM(Table1_1[[#This Row],[Price (INR)]]*Table1_1[[#This Row],[Quantity Sold]])</f>
        <v>6774.8099999999995</v>
      </c>
      <c r="G34">
        <v>6774.81</v>
      </c>
      <c r="H34" s="1">
        <v>45589</v>
      </c>
      <c r="I34" t="s">
        <v>1059</v>
      </c>
      <c r="J34">
        <v>4.8</v>
      </c>
      <c r="K34" t="str">
        <f>IF(Table1_1[[#This Row],[Quantity Sold]]&gt;=3,"BULK ORDER","REGULAR ORDER")</f>
        <v>BULK ORDER</v>
      </c>
      <c r="L34" t="str">
        <f>IF(Table1_1[[#This Row],[Customer Rating]]&gt;=4.5,"EXCELLENT",IF(Table1_1[[#This Row],[Customer Rating]]&lt;=4,"GOOD","AVERAGE"))</f>
        <v>EXCELLENT</v>
      </c>
    </row>
    <row r="35" spans="1:12" x14ac:dyDescent="0.3">
      <c r="A35" t="s">
        <v>451</v>
      </c>
      <c r="B35" t="s">
        <v>1050</v>
      </c>
      <c r="C35" t="s">
        <v>1051</v>
      </c>
      <c r="D35">
        <v>41122.81</v>
      </c>
      <c r="E35">
        <v>2</v>
      </c>
      <c r="F35">
        <f>SUM(Table1_1[[#This Row],[Price (INR)]]*Table1_1[[#This Row],[Quantity Sold]])</f>
        <v>82245.62</v>
      </c>
      <c r="G35">
        <v>82245.62</v>
      </c>
      <c r="H35" s="1">
        <v>45636</v>
      </c>
      <c r="I35" t="s">
        <v>1071</v>
      </c>
      <c r="J35">
        <v>4.8</v>
      </c>
      <c r="K35" t="str">
        <f>IF(Table1_1[[#This Row],[Quantity Sold]]&gt;=3,"BULK ORDER","REGULAR ORDER")</f>
        <v>REGULAR ORDER</v>
      </c>
      <c r="L35" t="str">
        <f>IF(Table1_1[[#This Row],[Customer Rating]]&gt;=4.5,"EXCELLENT",IF(Table1_1[[#This Row],[Customer Rating]]&lt;=4,"GOOD","AVERAGE"))</f>
        <v>EXCELLENT</v>
      </c>
    </row>
    <row r="36" spans="1:12" x14ac:dyDescent="0.3">
      <c r="A36" t="s">
        <v>463</v>
      </c>
      <c r="B36" t="s">
        <v>1052</v>
      </c>
      <c r="C36" t="s">
        <v>1053</v>
      </c>
      <c r="D36">
        <v>756.85</v>
      </c>
      <c r="E36">
        <v>3</v>
      </c>
      <c r="F36">
        <f>SUM(Table1_1[[#This Row],[Price (INR)]]*Table1_1[[#This Row],[Quantity Sold]])</f>
        <v>2270.5500000000002</v>
      </c>
      <c r="G36">
        <v>2270.5500000000002</v>
      </c>
      <c r="H36" s="1">
        <v>45600</v>
      </c>
      <c r="I36" t="s">
        <v>16</v>
      </c>
      <c r="J36">
        <v>4.8</v>
      </c>
      <c r="K36" t="str">
        <f>IF(Table1_1[[#This Row],[Quantity Sold]]&gt;=3,"BULK ORDER","REGULAR ORDER")</f>
        <v>BULK ORDER</v>
      </c>
      <c r="L36" t="str">
        <f>IF(Table1_1[[#This Row],[Customer Rating]]&gt;=4.5,"EXCELLENT",IF(Table1_1[[#This Row],[Customer Rating]]&lt;=4,"GOOD","AVERAGE"))</f>
        <v>EXCELLENT</v>
      </c>
    </row>
    <row r="37" spans="1:12" x14ac:dyDescent="0.3">
      <c r="A37" t="s">
        <v>490</v>
      </c>
      <c r="B37" t="s">
        <v>1078</v>
      </c>
      <c r="C37" t="s">
        <v>1048</v>
      </c>
      <c r="D37">
        <v>24012.7</v>
      </c>
      <c r="E37">
        <v>1</v>
      </c>
      <c r="F37">
        <f>SUM(Table1_1[[#This Row],[Price (INR)]]*Table1_1[[#This Row],[Quantity Sold]])</f>
        <v>24012.7</v>
      </c>
      <c r="G37">
        <v>24012.7</v>
      </c>
      <c r="H37" s="1">
        <v>45622</v>
      </c>
      <c r="I37" t="s">
        <v>1068</v>
      </c>
      <c r="J37">
        <v>4.8</v>
      </c>
      <c r="K37" t="str">
        <f>IF(Table1_1[[#This Row],[Quantity Sold]]&gt;=3,"BULK ORDER","REGULAR ORDER")</f>
        <v>REGULAR ORDER</v>
      </c>
      <c r="L37" t="str">
        <f>IF(Table1_1[[#This Row],[Customer Rating]]&gt;=4.5,"EXCELLENT",IF(Table1_1[[#This Row],[Customer Rating]]&lt;=4,"GOOD","AVERAGE"))</f>
        <v>EXCELLENT</v>
      </c>
    </row>
    <row r="38" spans="1:12" x14ac:dyDescent="0.3">
      <c r="A38" t="s">
        <v>513</v>
      </c>
      <c r="B38" t="s">
        <v>1054</v>
      </c>
      <c r="C38" t="s">
        <v>1055</v>
      </c>
      <c r="D38">
        <v>31793.09</v>
      </c>
      <c r="E38">
        <v>4</v>
      </c>
      <c r="F38">
        <f>SUM(Table1_1[[#This Row],[Price (INR)]]*Table1_1[[#This Row],[Quantity Sold]])</f>
        <v>127172.36</v>
      </c>
      <c r="G38">
        <v>127172.36</v>
      </c>
      <c r="H38" s="1">
        <v>45341</v>
      </c>
      <c r="I38" t="s">
        <v>42</v>
      </c>
      <c r="J38">
        <v>4.8</v>
      </c>
      <c r="K38" t="str">
        <f>IF(Table1_1[[#This Row],[Quantity Sold]]&gt;=3,"BULK ORDER","REGULAR ORDER")</f>
        <v>BULK ORDER</v>
      </c>
      <c r="L38" t="str">
        <f>IF(Table1_1[[#This Row],[Customer Rating]]&gt;=4.5,"EXCELLENT",IF(Table1_1[[#This Row],[Customer Rating]]&lt;=4,"GOOD","AVERAGE"))</f>
        <v>EXCELLENT</v>
      </c>
    </row>
    <row r="39" spans="1:12" x14ac:dyDescent="0.3">
      <c r="A39" t="s">
        <v>553</v>
      </c>
      <c r="B39" t="s">
        <v>1074</v>
      </c>
      <c r="C39" t="s">
        <v>1055</v>
      </c>
      <c r="D39">
        <v>28606.86</v>
      </c>
      <c r="E39">
        <v>5</v>
      </c>
      <c r="F39">
        <f>SUM(Table1_1[[#This Row],[Price (INR)]]*Table1_1[[#This Row],[Quantity Sold]])</f>
        <v>143034.29999999999</v>
      </c>
      <c r="G39">
        <v>143034.29999999999</v>
      </c>
      <c r="H39" s="1">
        <v>45520</v>
      </c>
      <c r="I39" t="s">
        <v>16</v>
      </c>
      <c r="J39">
        <v>4.8</v>
      </c>
      <c r="K39" t="str">
        <f>IF(Table1_1[[#This Row],[Quantity Sold]]&gt;=3,"BULK ORDER","REGULAR ORDER")</f>
        <v>BULK ORDER</v>
      </c>
      <c r="L39" t="str">
        <f>IF(Table1_1[[#This Row],[Customer Rating]]&gt;=4.5,"EXCELLENT",IF(Table1_1[[#This Row],[Customer Rating]]&lt;=4,"GOOD","AVERAGE"))</f>
        <v>EXCELLENT</v>
      </c>
    </row>
    <row r="40" spans="1:12" x14ac:dyDescent="0.3">
      <c r="A40" t="s">
        <v>567</v>
      </c>
      <c r="B40" t="s">
        <v>1056</v>
      </c>
      <c r="C40" t="s">
        <v>1057</v>
      </c>
      <c r="D40">
        <v>218.58</v>
      </c>
      <c r="E40">
        <v>5</v>
      </c>
      <c r="F40">
        <f>SUM(Table1_1[[#This Row],[Price (INR)]]*Table1_1[[#This Row],[Quantity Sold]])</f>
        <v>1092.9000000000001</v>
      </c>
      <c r="G40">
        <v>1092.9000000000001</v>
      </c>
      <c r="H40" s="1">
        <v>45402</v>
      </c>
      <c r="I40" t="s">
        <v>1059</v>
      </c>
      <c r="J40">
        <v>4.8</v>
      </c>
      <c r="K40" t="str">
        <f>IF(Table1_1[[#This Row],[Quantity Sold]]&gt;=3,"BULK ORDER","REGULAR ORDER")</f>
        <v>BULK ORDER</v>
      </c>
      <c r="L40" t="str">
        <f>IF(Table1_1[[#This Row],[Customer Rating]]&gt;=4.5,"EXCELLENT",IF(Table1_1[[#This Row],[Customer Rating]]&lt;=4,"GOOD","AVERAGE"))</f>
        <v>EXCELLENT</v>
      </c>
    </row>
    <row r="41" spans="1:12" x14ac:dyDescent="0.3">
      <c r="A41" t="s">
        <v>643</v>
      </c>
      <c r="B41" t="s">
        <v>1058</v>
      </c>
      <c r="C41" t="s">
        <v>1057</v>
      </c>
      <c r="D41">
        <v>30122.28</v>
      </c>
      <c r="E41">
        <v>5</v>
      </c>
      <c r="F41">
        <f>SUM(Table1_1[[#This Row],[Price (INR)]]*Table1_1[[#This Row],[Quantity Sold]])</f>
        <v>150611.4</v>
      </c>
      <c r="G41">
        <v>150611.4</v>
      </c>
      <c r="H41" s="1">
        <v>45687</v>
      </c>
      <c r="I41" t="s">
        <v>16</v>
      </c>
      <c r="J41">
        <v>4.8</v>
      </c>
      <c r="K41" t="str">
        <f>IF(Table1_1[[#This Row],[Quantity Sold]]&gt;=3,"BULK ORDER","REGULAR ORDER")</f>
        <v>BULK ORDER</v>
      </c>
      <c r="L41" t="str">
        <f>IF(Table1_1[[#This Row],[Customer Rating]]&gt;=4.5,"EXCELLENT",IF(Table1_1[[#This Row],[Customer Rating]]&lt;=4,"GOOD","AVERAGE"))</f>
        <v>EXCELLENT</v>
      </c>
    </row>
    <row r="42" spans="1:12" x14ac:dyDescent="0.3">
      <c r="A42" t="s">
        <v>647</v>
      </c>
      <c r="B42" t="s">
        <v>1072</v>
      </c>
      <c r="C42" t="s">
        <v>1057</v>
      </c>
      <c r="D42">
        <v>23005.86</v>
      </c>
      <c r="E42">
        <v>1</v>
      </c>
      <c r="F42">
        <f>SUM(Table1_1[[#This Row],[Price (INR)]]*Table1_1[[#This Row],[Quantity Sold]])</f>
        <v>23005.86</v>
      </c>
      <c r="G42">
        <v>23005.86</v>
      </c>
      <c r="H42" s="1">
        <v>45491</v>
      </c>
      <c r="I42" t="s">
        <v>1068</v>
      </c>
      <c r="J42">
        <v>4.8</v>
      </c>
      <c r="K42" t="str">
        <f>IF(Table1_1[[#This Row],[Quantity Sold]]&gt;=3,"BULK ORDER","REGULAR ORDER")</f>
        <v>REGULAR ORDER</v>
      </c>
      <c r="L42" t="str">
        <f>IF(Table1_1[[#This Row],[Customer Rating]]&gt;=4.5,"EXCELLENT",IF(Table1_1[[#This Row],[Customer Rating]]&lt;=4,"GOOD","AVERAGE"))</f>
        <v>EXCELLENT</v>
      </c>
    </row>
    <row r="43" spans="1:12" x14ac:dyDescent="0.3">
      <c r="A43" t="s">
        <v>684</v>
      </c>
      <c r="B43" t="s">
        <v>1054</v>
      </c>
      <c r="C43" t="s">
        <v>1055</v>
      </c>
      <c r="D43">
        <v>30657.64</v>
      </c>
      <c r="E43">
        <v>5</v>
      </c>
      <c r="F43">
        <f>SUM(Table1_1[[#This Row],[Price (INR)]]*Table1_1[[#This Row],[Quantity Sold]])</f>
        <v>153288.20000000001</v>
      </c>
      <c r="G43">
        <v>153288.20000000001</v>
      </c>
      <c r="H43" s="1">
        <v>45636</v>
      </c>
      <c r="I43" t="s">
        <v>1071</v>
      </c>
      <c r="J43">
        <v>4.8</v>
      </c>
      <c r="K43" t="str">
        <f>IF(Table1_1[[#This Row],[Quantity Sold]]&gt;=3,"BULK ORDER","REGULAR ORDER")</f>
        <v>BULK ORDER</v>
      </c>
      <c r="L43" t="str">
        <f>IF(Table1_1[[#This Row],[Customer Rating]]&gt;=4.5,"EXCELLENT",IF(Table1_1[[#This Row],[Customer Rating]]&lt;=4,"GOOD","AVERAGE"))</f>
        <v>EXCELLENT</v>
      </c>
    </row>
    <row r="44" spans="1:12" x14ac:dyDescent="0.3">
      <c r="A44" t="s">
        <v>761</v>
      </c>
      <c r="B44" t="s">
        <v>1077</v>
      </c>
      <c r="C44" t="s">
        <v>1048</v>
      </c>
      <c r="D44">
        <v>5975.89</v>
      </c>
      <c r="E44">
        <v>3</v>
      </c>
      <c r="F44">
        <f>SUM(Table1_1[[#This Row],[Price (INR)]]*Table1_1[[#This Row],[Quantity Sold]])</f>
        <v>17927.670000000002</v>
      </c>
      <c r="G44">
        <v>17927.669999999998</v>
      </c>
      <c r="H44" s="1">
        <v>45536</v>
      </c>
      <c r="I44" t="s">
        <v>16</v>
      </c>
      <c r="J44">
        <v>4.8</v>
      </c>
      <c r="K44" t="str">
        <f>IF(Table1_1[[#This Row],[Quantity Sold]]&gt;=3,"BULK ORDER","REGULAR ORDER")</f>
        <v>BULK ORDER</v>
      </c>
      <c r="L44" t="str">
        <f>IF(Table1_1[[#This Row],[Customer Rating]]&gt;=4.5,"EXCELLENT",IF(Table1_1[[#This Row],[Customer Rating]]&lt;=4,"GOOD","AVERAGE"))</f>
        <v>EXCELLENT</v>
      </c>
    </row>
    <row r="45" spans="1:12" x14ac:dyDescent="0.3">
      <c r="A45" t="s">
        <v>881</v>
      </c>
      <c r="B45" t="s">
        <v>1065</v>
      </c>
      <c r="C45" t="s">
        <v>1053</v>
      </c>
      <c r="D45">
        <v>25288.2</v>
      </c>
      <c r="E45">
        <v>4</v>
      </c>
      <c r="F45">
        <f>SUM(Table1_1[[#This Row],[Price (INR)]]*Table1_1[[#This Row],[Quantity Sold]])</f>
        <v>101152.8</v>
      </c>
      <c r="G45">
        <v>101152.8</v>
      </c>
      <c r="H45" s="1">
        <v>45519</v>
      </c>
      <c r="I45" t="s">
        <v>1049</v>
      </c>
      <c r="J45">
        <v>4.8</v>
      </c>
      <c r="K45" t="str">
        <f>IF(Table1_1[[#This Row],[Quantity Sold]]&gt;=3,"BULK ORDER","REGULAR ORDER")</f>
        <v>BULK ORDER</v>
      </c>
      <c r="L45" t="str">
        <f>IF(Table1_1[[#This Row],[Customer Rating]]&gt;=4.5,"EXCELLENT",IF(Table1_1[[#This Row],[Customer Rating]]&lt;=4,"GOOD","AVERAGE"))</f>
        <v>EXCELLENT</v>
      </c>
    </row>
    <row r="46" spans="1:12" x14ac:dyDescent="0.3">
      <c r="A46" t="s">
        <v>883</v>
      </c>
      <c r="B46" t="s">
        <v>1077</v>
      </c>
      <c r="C46" t="s">
        <v>1048</v>
      </c>
      <c r="D46">
        <v>7682.98</v>
      </c>
      <c r="E46">
        <v>4</v>
      </c>
      <c r="F46">
        <f>SUM(Table1_1[[#This Row],[Price (INR)]]*Table1_1[[#This Row],[Quantity Sold]])</f>
        <v>30731.919999999998</v>
      </c>
      <c r="G46">
        <v>30731.919999999998</v>
      </c>
      <c r="H46" s="1">
        <v>45519</v>
      </c>
      <c r="I46" t="s">
        <v>42</v>
      </c>
      <c r="J46">
        <v>4.8</v>
      </c>
      <c r="K46" t="str">
        <f>IF(Table1_1[[#This Row],[Quantity Sold]]&gt;=3,"BULK ORDER","REGULAR ORDER")</f>
        <v>BULK ORDER</v>
      </c>
      <c r="L46" t="str">
        <f>IF(Table1_1[[#This Row],[Customer Rating]]&gt;=4.5,"EXCELLENT",IF(Table1_1[[#This Row],[Customer Rating]]&lt;=4,"GOOD","AVERAGE"))</f>
        <v>EXCELLENT</v>
      </c>
    </row>
    <row r="47" spans="1:12" x14ac:dyDescent="0.3">
      <c r="A47" t="s">
        <v>900</v>
      </c>
      <c r="B47" t="s">
        <v>1056</v>
      </c>
      <c r="C47" t="s">
        <v>1057</v>
      </c>
      <c r="D47">
        <v>24151.49</v>
      </c>
      <c r="E47">
        <v>1</v>
      </c>
      <c r="F47">
        <f>SUM(Table1_1[[#This Row],[Price (INR)]]*Table1_1[[#This Row],[Quantity Sold]])</f>
        <v>24151.49</v>
      </c>
      <c r="G47">
        <v>24151.49</v>
      </c>
      <c r="H47" s="1">
        <v>45567</v>
      </c>
      <c r="I47" t="s">
        <v>16</v>
      </c>
      <c r="J47">
        <v>4.8</v>
      </c>
      <c r="K47" t="str">
        <f>IF(Table1_1[[#This Row],[Quantity Sold]]&gt;=3,"BULK ORDER","REGULAR ORDER")</f>
        <v>REGULAR ORDER</v>
      </c>
      <c r="L47" t="str">
        <f>IF(Table1_1[[#This Row],[Customer Rating]]&gt;=4.5,"EXCELLENT",IF(Table1_1[[#This Row],[Customer Rating]]&lt;=4,"GOOD","AVERAGE"))</f>
        <v>EXCELLENT</v>
      </c>
    </row>
    <row r="48" spans="1:12" x14ac:dyDescent="0.3">
      <c r="A48" t="s">
        <v>904</v>
      </c>
      <c r="B48" t="s">
        <v>1047</v>
      </c>
      <c r="C48" t="s">
        <v>1048</v>
      </c>
      <c r="D48">
        <v>7761.67</v>
      </c>
      <c r="E48">
        <v>1</v>
      </c>
      <c r="F48">
        <f>SUM(Table1_1[[#This Row],[Price (INR)]]*Table1_1[[#This Row],[Quantity Sold]])</f>
        <v>7761.67</v>
      </c>
      <c r="G48">
        <v>7761.67</v>
      </c>
      <c r="H48" s="1">
        <v>45691</v>
      </c>
      <c r="I48" t="s">
        <v>16</v>
      </c>
      <c r="J48">
        <v>4.8</v>
      </c>
      <c r="K48" t="str">
        <f>IF(Table1_1[[#This Row],[Quantity Sold]]&gt;=3,"BULK ORDER","REGULAR ORDER")</f>
        <v>REGULAR ORDER</v>
      </c>
      <c r="L48" t="str">
        <f>IF(Table1_1[[#This Row],[Customer Rating]]&gt;=4.5,"EXCELLENT",IF(Table1_1[[#This Row],[Customer Rating]]&lt;=4,"GOOD","AVERAGE"))</f>
        <v>EXCELLENT</v>
      </c>
    </row>
    <row r="49" spans="1:12" x14ac:dyDescent="0.3">
      <c r="A49" t="s">
        <v>950</v>
      </c>
      <c r="B49" t="s">
        <v>1047</v>
      </c>
      <c r="C49" t="s">
        <v>1048</v>
      </c>
      <c r="D49">
        <v>37341.949999999997</v>
      </c>
      <c r="E49">
        <v>2</v>
      </c>
      <c r="F49">
        <f>SUM(Table1_1[[#This Row],[Price (INR)]]*Table1_1[[#This Row],[Quantity Sold]])</f>
        <v>74683.899999999994</v>
      </c>
      <c r="G49">
        <v>74683.899999999994</v>
      </c>
      <c r="H49" s="1">
        <v>45567</v>
      </c>
      <c r="I49" t="s">
        <v>1049</v>
      </c>
      <c r="J49">
        <v>4.8</v>
      </c>
      <c r="K49" t="str">
        <f>IF(Table1_1[[#This Row],[Quantity Sold]]&gt;=3,"BULK ORDER","REGULAR ORDER")</f>
        <v>REGULAR ORDER</v>
      </c>
      <c r="L49" t="str">
        <f>IF(Table1_1[[#This Row],[Customer Rating]]&gt;=4.5,"EXCELLENT",IF(Table1_1[[#This Row],[Customer Rating]]&lt;=4,"GOOD","AVERAGE"))</f>
        <v>EXCELLENT</v>
      </c>
    </row>
    <row r="50" spans="1:12" x14ac:dyDescent="0.3">
      <c r="A50" t="s">
        <v>986</v>
      </c>
      <c r="B50" t="s">
        <v>1047</v>
      </c>
      <c r="C50" t="s">
        <v>1048</v>
      </c>
      <c r="D50">
        <v>39842.15</v>
      </c>
      <c r="E50">
        <v>5</v>
      </c>
      <c r="F50">
        <f>SUM(Table1_1[[#This Row],[Price (INR)]]*Table1_1[[#This Row],[Quantity Sold]])</f>
        <v>199210.75</v>
      </c>
      <c r="G50">
        <v>199210.75</v>
      </c>
      <c r="H50" s="1">
        <v>45674</v>
      </c>
      <c r="I50" t="s">
        <v>1049</v>
      </c>
      <c r="J50">
        <v>4.8</v>
      </c>
      <c r="K50" t="str">
        <f>IF(Table1_1[[#This Row],[Quantity Sold]]&gt;=3,"BULK ORDER","REGULAR ORDER")</f>
        <v>BULK ORDER</v>
      </c>
      <c r="L50" t="str">
        <f>IF(Table1_1[[#This Row],[Customer Rating]]&gt;=4.5,"EXCELLENT",IF(Table1_1[[#This Row],[Customer Rating]]&lt;=4,"GOOD","AVERAGE"))</f>
        <v>EXCELLENT</v>
      </c>
    </row>
    <row r="51" spans="1:12" x14ac:dyDescent="0.3">
      <c r="A51" t="s">
        <v>1004</v>
      </c>
      <c r="B51" t="s">
        <v>1066</v>
      </c>
      <c r="C51" t="s">
        <v>1055</v>
      </c>
      <c r="D51">
        <v>34844.54</v>
      </c>
      <c r="E51">
        <v>3</v>
      </c>
      <c r="F51">
        <f>SUM(Table1_1[[#This Row],[Price (INR)]]*Table1_1[[#This Row],[Quantity Sold]])</f>
        <v>104533.62</v>
      </c>
      <c r="G51">
        <v>104533.62</v>
      </c>
      <c r="H51" s="1">
        <v>45561</v>
      </c>
      <c r="I51" t="s">
        <v>1068</v>
      </c>
      <c r="J51">
        <v>4.8</v>
      </c>
      <c r="K51" t="str">
        <f>IF(Table1_1[[#This Row],[Quantity Sold]]&gt;=3,"BULK ORDER","REGULAR ORDER")</f>
        <v>BULK ORDER</v>
      </c>
      <c r="L51" t="str">
        <f>IF(Table1_1[[#This Row],[Customer Rating]]&gt;=4.5,"EXCELLENT",IF(Table1_1[[#This Row],[Customer Rating]]&lt;=4,"GOOD","AVERAGE"))</f>
        <v>EXCELLENT</v>
      </c>
    </row>
    <row r="52" spans="1:12" x14ac:dyDescent="0.3">
      <c r="A52" t="s">
        <v>87</v>
      </c>
      <c r="B52" t="s">
        <v>1062</v>
      </c>
      <c r="C52" t="s">
        <v>1051</v>
      </c>
      <c r="D52">
        <v>29592.5</v>
      </c>
      <c r="E52">
        <v>5</v>
      </c>
      <c r="F52">
        <f>SUM(Table1_1[[#This Row],[Price (INR)]]*Table1_1[[#This Row],[Quantity Sold]])</f>
        <v>147962.5</v>
      </c>
      <c r="G52">
        <v>147962.5</v>
      </c>
      <c r="H52" s="1">
        <v>45498</v>
      </c>
      <c r="I52" t="s">
        <v>1071</v>
      </c>
      <c r="J52">
        <v>4.7</v>
      </c>
      <c r="K52" t="str">
        <f>IF(Table1_1[[#This Row],[Quantity Sold]]&gt;=3,"BULK ORDER","REGULAR ORDER")</f>
        <v>BULK ORDER</v>
      </c>
      <c r="L52" t="str">
        <f>IF(Table1_1[[#This Row],[Customer Rating]]&gt;=4.5,"EXCELLENT",IF(Table1_1[[#This Row],[Customer Rating]]&lt;=4,"GOOD","AVERAGE"))</f>
        <v>EXCELLENT</v>
      </c>
    </row>
    <row r="53" spans="1:12" x14ac:dyDescent="0.3">
      <c r="A53" t="s">
        <v>110</v>
      </c>
      <c r="B53" t="s">
        <v>1054</v>
      </c>
      <c r="C53" t="s">
        <v>1055</v>
      </c>
      <c r="D53">
        <v>23621.02</v>
      </c>
      <c r="E53">
        <v>1</v>
      </c>
      <c r="F53">
        <f>SUM(Table1_1[[#This Row],[Price (INR)]]*Table1_1[[#This Row],[Quantity Sold]])</f>
        <v>23621.02</v>
      </c>
      <c r="G53">
        <v>23621.02</v>
      </c>
      <c r="H53" s="1">
        <v>45348</v>
      </c>
      <c r="I53" t="s">
        <v>1059</v>
      </c>
      <c r="J53">
        <v>4.7</v>
      </c>
      <c r="K53" t="str">
        <f>IF(Table1_1[[#This Row],[Quantity Sold]]&gt;=3,"BULK ORDER","REGULAR ORDER")</f>
        <v>REGULAR ORDER</v>
      </c>
      <c r="L53" t="str">
        <f>IF(Table1_1[[#This Row],[Customer Rating]]&gt;=4.5,"EXCELLENT",IF(Table1_1[[#This Row],[Customer Rating]]&lt;=4,"GOOD","AVERAGE"))</f>
        <v>EXCELLENT</v>
      </c>
    </row>
    <row r="54" spans="1:12" x14ac:dyDescent="0.3">
      <c r="A54" t="s">
        <v>128</v>
      </c>
      <c r="B54" t="s">
        <v>1063</v>
      </c>
      <c r="C54" t="s">
        <v>1055</v>
      </c>
      <c r="D54">
        <v>35033.120000000003</v>
      </c>
      <c r="E54">
        <v>4</v>
      </c>
      <c r="F54">
        <f>SUM(Table1_1[[#This Row],[Price (INR)]]*Table1_1[[#This Row],[Quantity Sold]])</f>
        <v>140132.48000000001</v>
      </c>
      <c r="G54">
        <v>140132.48000000001</v>
      </c>
      <c r="H54" s="1">
        <v>45629</v>
      </c>
      <c r="I54" t="s">
        <v>16</v>
      </c>
      <c r="J54">
        <v>4.7</v>
      </c>
      <c r="K54" t="str">
        <f>IF(Table1_1[[#This Row],[Quantity Sold]]&gt;=3,"BULK ORDER","REGULAR ORDER")</f>
        <v>BULK ORDER</v>
      </c>
      <c r="L54" t="str">
        <f>IF(Table1_1[[#This Row],[Customer Rating]]&gt;=4.5,"EXCELLENT",IF(Table1_1[[#This Row],[Customer Rating]]&lt;=4,"GOOD","AVERAGE"))</f>
        <v>EXCELLENT</v>
      </c>
    </row>
    <row r="55" spans="1:12" x14ac:dyDescent="0.3">
      <c r="A55" t="s">
        <v>202</v>
      </c>
      <c r="B55" t="s">
        <v>1077</v>
      </c>
      <c r="C55" t="s">
        <v>1048</v>
      </c>
      <c r="D55">
        <v>29882.47</v>
      </c>
      <c r="E55">
        <v>5</v>
      </c>
      <c r="F55">
        <f>SUM(Table1_1[[#This Row],[Price (INR)]]*Table1_1[[#This Row],[Quantity Sold]])</f>
        <v>149412.35</v>
      </c>
      <c r="G55">
        <v>149412.35</v>
      </c>
      <c r="H55" s="1">
        <v>45465</v>
      </c>
      <c r="I55" t="s">
        <v>1059</v>
      </c>
      <c r="J55">
        <v>4.7</v>
      </c>
      <c r="K55" t="str">
        <f>IF(Table1_1[[#This Row],[Quantity Sold]]&gt;=3,"BULK ORDER","REGULAR ORDER")</f>
        <v>BULK ORDER</v>
      </c>
      <c r="L55" t="str">
        <f>IF(Table1_1[[#This Row],[Customer Rating]]&gt;=4.5,"EXCELLENT",IF(Table1_1[[#This Row],[Customer Rating]]&lt;=4,"GOOD","AVERAGE"))</f>
        <v>EXCELLENT</v>
      </c>
    </row>
    <row r="56" spans="1:12" x14ac:dyDescent="0.3">
      <c r="A56" t="s">
        <v>207</v>
      </c>
      <c r="B56" t="s">
        <v>1058</v>
      </c>
      <c r="C56" t="s">
        <v>1057</v>
      </c>
      <c r="D56">
        <v>18426.900000000001</v>
      </c>
      <c r="E56">
        <v>4</v>
      </c>
      <c r="F56">
        <f>SUM(Table1_1[[#This Row],[Price (INR)]]*Table1_1[[#This Row],[Quantity Sold]])</f>
        <v>73707.600000000006</v>
      </c>
      <c r="G56">
        <v>73707.600000000006</v>
      </c>
      <c r="H56" s="1">
        <v>45583</v>
      </c>
      <c r="I56" t="s">
        <v>1049</v>
      </c>
      <c r="J56">
        <v>4.7</v>
      </c>
      <c r="K56" t="str">
        <f>IF(Table1_1[[#This Row],[Quantity Sold]]&gt;=3,"BULK ORDER","REGULAR ORDER")</f>
        <v>BULK ORDER</v>
      </c>
      <c r="L56" t="str">
        <f>IF(Table1_1[[#This Row],[Customer Rating]]&gt;=4.5,"EXCELLENT",IF(Table1_1[[#This Row],[Customer Rating]]&lt;=4,"GOOD","AVERAGE"))</f>
        <v>EXCELLENT</v>
      </c>
    </row>
    <row r="57" spans="1:12" x14ac:dyDescent="0.3">
      <c r="A57" t="s">
        <v>258</v>
      </c>
      <c r="B57" t="s">
        <v>1058</v>
      </c>
      <c r="C57" t="s">
        <v>1057</v>
      </c>
      <c r="D57">
        <v>32630.83</v>
      </c>
      <c r="E57">
        <v>2</v>
      </c>
      <c r="F57">
        <f>SUM(Table1_1[[#This Row],[Price (INR)]]*Table1_1[[#This Row],[Quantity Sold]])</f>
        <v>65261.66</v>
      </c>
      <c r="G57">
        <v>65261.66</v>
      </c>
      <c r="H57" s="1">
        <v>45648</v>
      </c>
      <c r="I57" t="s">
        <v>16</v>
      </c>
      <c r="J57">
        <v>4.7</v>
      </c>
      <c r="K57" t="str">
        <f>IF(Table1_1[[#This Row],[Quantity Sold]]&gt;=3,"BULK ORDER","REGULAR ORDER")</f>
        <v>REGULAR ORDER</v>
      </c>
      <c r="L57" t="str">
        <f>IF(Table1_1[[#This Row],[Customer Rating]]&gt;=4.5,"EXCELLENT",IF(Table1_1[[#This Row],[Customer Rating]]&lt;=4,"GOOD","AVERAGE"))</f>
        <v>EXCELLENT</v>
      </c>
    </row>
    <row r="58" spans="1:12" x14ac:dyDescent="0.3">
      <c r="A58" t="s">
        <v>284</v>
      </c>
      <c r="B58" t="s">
        <v>1072</v>
      </c>
      <c r="C58" t="s">
        <v>1057</v>
      </c>
      <c r="D58">
        <v>3955.86</v>
      </c>
      <c r="E58">
        <v>5</v>
      </c>
      <c r="F58">
        <f>SUM(Table1_1[[#This Row],[Price (INR)]]*Table1_1[[#This Row],[Quantity Sold]])</f>
        <v>19779.3</v>
      </c>
      <c r="G58">
        <v>19779.3</v>
      </c>
      <c r="H58" s="1">
        <v>45461</v>
      </c>
      <c r="I58" t="s">
        <v>1071</v>
      </c>
      <c r="J58">
        <v>4.7</v>
      </c>
      <c r="K58" t="str">
        <f>IF(Table1_1[[#This Row],[Quantity Sold]]&gt;=3,"BULK ORDER","REGULAR ORDER")</f>
        <v>BULK ORDER</v>
      </c>
      <c r="L58" t="str">
        <f>IF(Table1_1[[#This Row],[Customer Rating]]&gt;=4.5,"EXCELLENT",IF(Table1_1[[#This Row],[Customer Rating]]&lt;=4,"GOOD","AVERAGE"))</f>
        <v>EXCELLENT</v>
      </c>
    </row>
    <row r="59" spans="1:12" x14ac:dyDescent="0.3">
      <c r="A59" t="s">
        <v>579</v>
      </c>
      <c r="B59" t="s">
        <v>1054</v>
      </c>
      <c r="C59" t="s">
        <v>1055</v>
      </c>
      <c r="D59">
        <v>45019</v>
      </c>
      <c r="E59">
        <v>5</v>
      </c>
      <c r="F59">
        <f>SUM(Table1_1[[#This Row],[Price (INR)]]*Table1_1[[#This Row],[Quantity Sold]])</f>
        <v>225095</v>
      </c>
      <c r="G59">
        <v>225095</v>
      </c>
      <c r="H59" s="1">
        <v>45664</v>
      </c>
      <c r="I59" t="s">
        <v>42</v>
      </c>
      <c r="J59">
        <v>4.7</v>
      </c>
      <c r="K59" t="str">
        <f>IF(Table1_1[[#This Row],[Quantity Sold]]&gt;=3,"BULK ORDER","REGULAR ORDER")</f>
        <v>BULK ORDER</v>
      </c>
      <c r="L59" t="str">
        <f>IF(Table1_1[[#This Row],[Customer Rating]]&gt;=4.5,"EXCELLENT",IF(Table1_1[[#This Row],[Customer Rating]]&lt;=4,"GOOD","AVERAGE"))</f>
        <v>EXCELLENT</v>
      </c>
    </row>
    <row r="60" spans="1:12" x14ac:dyDescent="0.3">
      <c r="A60" t="s">
        <v>583</v>
      </c>
      <c r="B60" t="s">
        <v>1056</v>
      </c>
      <c r="C60" t="s">
        <v>1057</v>
      </c>
      <c r="D60">
        <v>17162.64</v>
      </c>
      <c r="E60">
        <v>3</v>
      </c>
      <c r="F60">
        <f>SUM(Table1_1[[#This Row],[Price (INR)]]*Table1_1[[#This Row],[Quantity Sold]])</f>
        <v>51487.92</v>
      </c>
      <c r="G60">
        <v>51487.92</v>
      </c>
      <c r="H60" s="1">
        <v>45485</v>
      </c>
      <c r="I60" t="s">
        <v>42</v>
      </c>
      <c r="J60">
        <v>4.7</v>
      </c>
      <c r="K60" t="str">
        <f>IF(Table1_1[[#This Row],[Quantity Sold]]&gt;=3,"BULK ORDER","REGULAR ORDER")</f>
        <v>BULK ORDER</v>
      </c>
      <c r="L60" t="str">
        <f>IF(Table1_1[[#This Row],[Customer Rating]]&gt;=4.5,"EXCELLENT",IF(Table1_1[[#This Row],[Customer Rating]]&lt;=4,"GOOD","AVERAGE"))</f>
        <v>EXCELLENT</v>
      </c>
    </row>
    <row r="61" spans="1:12" x14ac:dyDescent="0.3">
      <c r="A61" t="s">
        <v>629</v>
      </c>
      <c r="B61" t="s">
        <v>1063</v>
      </c>
      <c r="C61" t="s">
        <v>1055</v>
      </c>
      <c r="D61">
        <v>45112.24</v>
      </c>
      <c r="E61">
        <v>3</v>
      </c>
      <c r="F61">
        <f>SUM(Table1_1[[#This Row],[Price (INR)]]*Table1_1[[#This Row],[Quantity Sold]])</f>
        <v>135336.72</v>
      </c>
      <c r="G61">
        <v>135336.72</v>
      </c>
      <c r="H61" s="1">
        <v>45609</v>
      </c>
      <c r="I61" t="s">
        <v>1059</v>
      </c>
      <c r="J61">
        <v>4.7</v>
      </c>
      <c r="K61" t="str">
        <f>IF(Table1_1[[#This Row],[Quantity Sold]]&gt;=3,"BULK ORDER","REGULAR ORDER")</f>
        <v>BULK ORDER</v>
      </c>
      <c r="L61" t="str">
        <f>IF(Table1_1[[#This Row],[Customer Rating]]&gt;=4.5,"EXCELLENT",IF(Table1_1[[#This Row],[Customer Rating]]&lt;=4,"GOOD","AVERAGE"))</f>
        <v>EXCELLENT</v>
      </c>
    </row>
    <row r="62" spans="1:12" x14ac:dyDescent="0.3">
      <c r="A62" t="s">
        <v>678</v>
      </c>
      <c r="B62" t="s">
        <v>1054</v>
      </c>
      <c r="C62" t="s">
        <v>1055</v>
      </c>
      <c r="D62">
        <v>22226.76</v>
      </c>
      <c r="E62">
        <v>5</v>
      </c>
      <c r="F62">
        <f>SUM(Table1_1[[#This Row],[Price (INR)]]*Table1_1[[#This Row],[Quantity Sold]])</f>
        <v>111133.79999999999</v>
      </c>
      <c r="G62">
        <v>111133.8</v>
      </c>
      <c r="H62" s="1">
        <v>45458</v>
      </c>
      <c r="I62" t="s">
        <v>1049</v>
      </c>
      <c r="J62">
        <v>4.7</v>
      </c>
      <c r="K62" t="str">
        <f>IF(Table1_1[[#This Row],[Quantity Sold]]&gt;=3,"BULK ORDER","REGULAR ORDER")</f>
        <v>BULK ORDER</v>
      </c>
      <c r="L62" t="str">
        <f>IF(Table1_1[[#This Row],[Customer Rating]]&gt;=4.5,"EXCELLENT",IF(Table1_1[[#This Row],[Customer Rating]]&lt;=4,"GOOD","AVERAGE"))</f>
        <v>EXCELLENT</v>
      </c>
    </row>
    <row r="63" spans="1:12" x14ac:dyDescent="0.3">
      <c r="A63" t="s">
        <v>722</v>
      </c>
      <c r="B63" t="s">
        <v>1064</v>
      </c>
      <c r="C63" t="s">
        <v>1053</v>
      </c>
      <c r="D63">
        <v>12124.19</v>
      </c>
      <c r="E63">
        <v>3</v>
      </c>
      <c r="F63">
        <f>SUM(Table1_1[[#This Row],[Price (INR)]]*Table1_1[[#This Row],[Quantity Sold]])</f>
        <v>36372.57</v>
      </c>
      <c r="G63">
        <v>36372.57</v>
      </c>
      <c r="H63" s="1">
        <v>45617</v>
      </c>
      <c r="I63" t="s">
        <v>1049</v>
      </c>
      <c r="J63">
        <v>4.7</v>
      </c>
      <c r="K63" t="str">
        <f>IF(Table1_1[[#This Row],[Quantity Sold]]&gt;=3,"BULK ORDER","REGULAR ORDER")</f>
        <v>BULK ORDER</v>
      </c>
      <c r="L63" t="str">
        <f>IF(Table1_1[[#This Row],[Customer Rating]]&gt;=4.5,"EXCELLENT",IF(Table1_1[[#This Row],[Customer Rating]]&lt;=4,"GOOD","AVERAGE"))</f>
        <v>EXCELLENT</v>
      </c>
    </row>
    <row r="64" spans="1:12" x14ac:dyDescent="0.3">
      <c r="A64" t="s">
        <v>732</v>
      </c>
      <c r="B64" t="s">
        <v>1070</v>
      </c>
      <c r="C64" t="s">
        <v>1051</v>
      </c>
      <c r="D64">
        <v>10385.24</v>
      </c>
      <c r="E64">
        <v>2</v>
      </c>
      <c r="F64">
        <f>SUM(Table1_1[[#This Row],[Price (INR)]]*Table1_1[[#This Row],[Quantity Sold]])</f>
        <v>20770.48</v>
      </c>
      <c r="G64">
        <v>20770.48</v>
      </c>
      <c r="H64" s="1">
        <v>45373</v>
      </c>
      <c r="I64" t="s">
        <v>16</v>
      </c>
      <c r="J64">
        <v>4.7</v>
      </c>
      <c r="K64" t="str">
        <f>IF(Table1_1[[#This Row],[Quantity Sold]]&gt;=3,"BULK ORDER","REGULAR ORDER")</f>
        <v>REGULAR ORDER</v>
      </c>
      <c r="L64" t="str">
        <f>IF(Table1_1[[#This Row],[Customer Rating]]&gt;=4.5,"EXCELLENT",IF(Table1_1[[#This Row],[Customer Rating]]&lt;=4,"GOOD","AVERAGE"))</f>
        <v>EXCELLENT</v>
      </c>
    </row>
    <row r="65" spans="1:12" x14ac:dyDescent="0.3">
      <c r="A65" t="s">
        <v>751</v>
      </c>
      <c r="B65" t="s">
        <v>1047</v>
      </c>
      <c r="C65" t="s">
        <v>1048</v>
      </c>
      <c r="D65">
        <v>13420.4</v>
      </c>
      <c r="E65">
        <v>4</v>
      </c>
      <c r="F65">
        <f>SUM(Table1_1[[#This Row],[Price (INR)]]*Table1_1[[#This Row],[Quantity Sold]])</f>
        <v>53681.599999999999</v>
      </c>
      <c r="G65">
        <v>53681.599999999999</v>
      </c>
      <c r="H65" s="1">
        <v>45652</v>
      </c>
      <c r="I65" t="s">
        <v>42</v>
      </c>
      <c r="J65">
        <v>4.7</v>
      </c>
      <c r="K65" t="str">
        <f>IF(Table1_1[[#This Row],[Quantity Sold]]&gt;=3,"BULK ORDER","REGULAR ORDER")</f>
        <v>BULK ORDER</v>
      </c>
      <c r="L65" t="str">
        <f>IF(Table1_1[[#This Row],[Customer Rating]]&gt;=4.5,"EXCELLENT",IF(Table1_1[[#This Row],[Customer Rating]]&lt;=4,"GOOD","AVERAGE"))</f>
        <v>EXCELLENT</v>
      </c>
    </row>
    <row r="66" spans="1:12" x14ac:dyDescent="0.3">
      <c r="A66" t="s">
        <v>831</v>
      </c>
      <c r="B66" t="s">
        <v>1065</v>
      </c>
      <c r="C66" t="s">
        <v>1053</v>
      </c>
      <c r="D66">
        <v>1011.22</v>
      </c>
      <c r="E66">
        <v>5</v>
      </c>
      <c r="F66">
        <f>SUM(Table1_1[[#This Row],[Price (INR)]]*Table1_1[[#This Row],[Quantity Sold]])</f>
        <v>5056.1000000000004</v>
      </c>
      <c r="G66">
        <v>5056.1000000000004</v>
      </c>
      <c r="H66" s="1">
        <v>45601</v>
      </c>
      <c r="I66" t="s">
        <v>1071</v>
      </c>
      <c r="J66">
        <v>4.7</v>
      </c>
      <c r="K66" t="str">
        <f>IF(Table1_1[[#This Row],[Quantity Sold]]&gt;=3,"BULK ORDER","REGULAR ORDER")</f>
        <v>BULK ORDER</v>
      </c>
      <c r="L66" t="str">
        <f>IF(Table1_1[[#This Row],[Customer Rating]]&gt;=4.5,"EXCELLENT",IF(Table1_1[[#This Row],[Customer Rating]]&lt;=4,"GOOD","AVERAGE"))</f>
        <v>EXCELLENT</v>
      </c>
    </row>
    <row r="67" spans="1:12" x14ac:dyDescent="0.3">
      <c r="A67" t="s">
        <v>926</v>
      </c>
      <c r="B67" t="s">
        <v>1058</v>
      </c>
      <c r="C67" t="s">
        <v>1057</v>
      </c>
      <c r="D67">
        <v>28727.4</v>
      </c>
      <c r="E67">
        <v>3</v>
      </c>
      <c r="F67">
        <f>SUM(Table1_1[[#This Row],[Price (INR)]]*Table1_1[[#This Row],[Quantity Sold]])</f>
        <v>86182.200000000012</v>
      </c>
      <c r="G67">
        <v>86182.2</v>
      </c>
      <c r="H67" s="1">
        <v>45434</v>
      </c>
      <c r="I67" t="s">
        <v>42</v>
      </c>
      <c r="J67">
        <v>4.7</v>
      </c>
      <c r="K67" t="str">
        <f>IF(Table1_1[[#This Row],[Quantity Sold]]&gt;=3,"BULK ORDER","REGULAR ORDER")</f>
        <v>BULK ORDER</v>
      </c>
      <c r="L67" t="str">
        <f>IF(Table1_1[[#This Row],[Customer Rating]]&gt;=4.5,"EXCELLENT",IF(Table1_1[[#This Row],[Customer Rating]]&lt;=4,"GOOD","AVERAGE"))</f>
        <v>EXCELLENT</v>
      </c>
    </row>
    <row r="68" spans="1:12" x14ac:dyDescent="0.3">
      <c r="A68" t="s">
        <v>1001</v>
      </c>
      <c r="B68" t="s">
        <v>1060</v>
      </c>
      <c r="C68" t="s">
        <v>1051</v>
      </c>
      <c r="D68">
        <v>42407.519999999997</v>
      </c>
      <c r="E68">
        <v>2</v>
      </c>
      <c r="F68">
        <f>SUM(Table1_1[[#This Row],[Price (INR)]]*Table1_1[[#This Row],[Quantity Sold]])</f>
        <v>84815.039999999994</v>
      </c>
      <c r="G68">
        <v>84815.039999999994</v>
      </c>
      <c r="H68" s="1">
        <v>45438</v>
      </c>
      <c r="I68" t="s">
        <v>1049</v>
      </c>
      <c r="J68">
        <v>4.7</v>
      </c>
      <c r="K68" t="str">
        <f>IF(Table1_1[[#This Row],[Quantity Sold]]&gt;=3,"BULK ORDER","REGULAR ORDER")</f>
        <v>REGULAR ORDER</v>
      </c>
      <c r="L68" t="str">
        <f>IF(Table1_1[[#This Row],[Customer Rating]]&gt;=4.5,"EXCELLENT",IF(Table1_1[[#This Row],[Customer Rating]]&lt;=4,"GOOD","AVERAGE"))</f>
        <v>EXCELLENT</v>
      </c>
    </row>
    <row r="69" spans="1:12" x14ac:dyDescent="0.3">
      <c r="A69" t="s">
        <v>116</v>
      </c>
      <c r="B69" t="s">
        <v>1062</v>
      </c>
      <c r="C69" t="s">
        <v>1051</v>
      </c>
      <c r="D69">
        <v>34023.96</v>
      </c>
      <c r="E69">
        <v>3</v>
      </c>
      <c r="F69">
        <f>SUM(Table1_1[[#This Row],[Price (INR)]]*Table1_1[[#This Row],[Quantity Sold]])</f>
        <v>102071.88</v>
      </c>
      <c r="G69">
        <v>102071.88</v>
      </c>
      <c r="H69" s="1">
        <v>45335</v>
      </c>
      <c r="I69" t="s">
        <v>1068</v>
      </c>
      <c r="J69">
        <v>4.5999999999999996</v>
      </c>
      <c r="K69" t="str">
        <f>IF(Table1_1[[#This Row],[Quantity Sold]]&gt;=3,"BULK ORDER","REGULAR ORDER")</f>
        <v>BULK ORDER</v>
      </c>
      <c r="L69" t="str">
        <f>IF(Table1_1[[#This Row],[Customer Rating]]&gt;=4.5,"EXCELLENT",IF(Table1_1[[#This Row],[Customer Rating]]&lt;=4,"GOOD","AVERAGE"))</f>
        <v>EXCELLENT</v>
      </c>
    </row>
    <row r="70" spans="1:12" x14ac:dyDescent="0.3">
      <c r="A70" t="s">
        <v>171</v>
      </c>
      <c r="B70" t="s">
        <v>1062</v>
      </c>
      <c r="C70" t="s">
        <v>1051</v>
      </c>
      <c r="D70">
        <v>3979.4</v>
      </c>
      <c r="E70">
        <v>1</v>
      </c>
      <c r="F70">
        <f>SUM(Table1_1[[#This Row],[Price (INR)]]*Table1_1[[#This Row],[Quantity Sold]])</f>
        <v>3979.4</v>
      </c>
      <c r="G70">
        <v>3979.4</v>
      </c>
      <c r="H70" s="1">
        <v>45567</v>
      </c>
      <c r="I70" t="s">
        <v>1049</v>
      </c>
      <c r="J70">
        <v>4.5999999999999996</v>
      </c>
      <c r="K70" t="str">
        <f>IF(Table1_1[[#This Row],[Quantity Sold]]&gt;=3,"BULK ORDER","REGULAR ORDER")</f>
        <v>REGULAR ORDER</v>
      </c>
      <c r="L70" t="str">
        <f>IF(Table1_1[[#This Row],[Customer Rating]]&gt;=4.5,"EXCELLENT",IF(Table1_1[[#This Row],[Customer Rating]]&lt;=4,"GOOD","AVERAGE"))</f>
        <v>EXCELLENT</v>
      </c>
    </row>
    <row r="71" spans="1:12" x14ac:dyDescent="0.3">
      <c r="A71" t="s">
        <v>183</v>
      </c>
      <c r="B71" t="s">
        <v>1065</v>
      </c>
      <c r="C71" t="s">
        <v>1053</v>
      </c>
      <c r="D71">
        <v>3848.54</v>
      </c>
      <c r="E71">
        <v>1</v>
      </c>
      <c r="F71">
        <f>SUM(Table1_1[[#This Row],[Price (INR)]]*Table1_1[[#This Row],[Quantity Sold]])</f>
        <v>3848.54</v>
      </c>
      <c r="G71">
        <v>3848.54</v>
      </c>
      <c r="H71" s="1">
        <v>45691</v>
      </c>
      <c r="I71" t="s">
        <v>1071</v>
      </c>
      <c r="J71">
        <v>4.5999999999999996</v>
      </c>
      <c r="K71" t="str">
        <f>IF(Table1_1[[#This Row],[Quantity Sold]]&gt;=3,"BULK ORDER","REGULAR ORDER")</f>
        <v>REGULAR ORDER</v>
      </c>
      <c r="L71" t="str">
        <f>IF(Table1_1[[#This Row],[Customer Rating]]&gt;=4.5,"EXCELLENT",IF(Table1_1[[#This Row],[Customer Rating]]&lt;=4,"GOOD","AVERAGE"))</f>
        <v>EXCELLENT</v>
      </c>
    </row>
    <row r="72" spans="1:12" x14ac:dyDescent="0.3">
      <c r="A72" t="s">
        <v>206</v>
      </c>
      <c r="B72" t="s">
        <v>1077</v>
      </c>
      <c r="C72" t="s">
        <v>1048</v>
      </c>
      <c r="D72">
        <v>42533.26</v>
      </c>
      <c r="E72">
        <v>4</v>
      </c>
      <c r="F72">
        <f>SUM(Table1_1[[#This Row],[Price (INR)]]*Table1_1[[#This Row],[Quantity Sold]])</f>
        <v>170133.04</v>
      </c>
      <c r="G72">
        <v>170133.04</v>
      </c>
      <c r="H72" s="1">
        <v>45624</v>
      </c>
      <c r="I72" t="s">
        <v>1049</v>
      </c>
      <c r="J72">
        <v>4.5999999999999996</v>
      </c>
      <c r="K72" t="str">
        <f>IF(Table1_1[[#This Row],[Quantity Sold]]&gt;=3,"BULK ORDER","REGULAR ORDER")</f>
        <v>BULK ORDER</v>
      </c>
      <c r="L72" t="str">
        <f>IF(Table1_1[[#This Row],[Customer Rating]]&gt;=4.5,"EXCELLENT",IF(Table1_1[[#This Row],[Customer Rating]]&lt;=4,"GOOD","AVERAGE"))</f>
        <v>EXCELLENT</v>
      </c>
    </row>
    <row r="73" spans="1:12" x14ac:dyDescent="0.3">
      <c r="A73" t="s">
        <v>241</v>
      </c>
      <c r="B73" t="s">
        <v>1078</v>
      </c>
      <c r="C73" t="s">
        <v>1048</v>
      </c>
      <c r="D73">
        <v>16448.740000000002</v>
      </c>
      <c r="E73">
        <v>4</v>
      </c>
      <c r="F73">
        <f>SUM(Table1_1[[#This Row],[Price (INR)]]*Table1_1[[#This Row],[Quantity Sold]])</f>
        <v>65794.960000000006</v>
      </c>
      <c r="G73">
        <v>65794.960000000006</v>
      </c>
      <c r="H73" s="1">
        <v>45539</v>
      </c>
      <c r="I73" t="s">
        <v>1071</v>
      </c>
      <c r="J73">
        <v>4.5999999999999996</v>
      </c>
      <c r="K73" t="str">
        <f>IF(Table1_1[[#This Row],[Quantity Sold]]&gt;=3,"BULK ORDER","REGULAR ORDER")</f>
        <v>BULK ORDER</v>
      </c>
      <c r="L73" t="str">
        <f>IF(Table1_1[[#This Row],[Customer Rating]]&gt;=4.5,"EXCELLENT",IF(Table1_1[[#This Row],[Customer Rating]]&lt;=4,"GOOD","AVERAGE"))</f>
        <v>EXCELLENT</v>
      </c>
    </row>
    <row r="74" spans="1:12" x14ac:dyDescent="0.3">
      <c r="A74" t="s">
        <v>248</v>
      </c>
      <c r="B74" t="s">
        <v>1056</v>
      </c>
      <c r="C74" t="s">
        <v>1057</v>
      </c>
      <c r="D74">
        <v>4934.99</v>
      </c>
      <c r="E74">
        <v>3</v>
      </c>
      <c r="F74">
        <f>SUM(Table1_1[[#This Row],[Price (INR)]]*Table1_1[[#This Row],[Quantity Sold]])</f>
        <v>14804.97</v>
      </c>
      <c r="G74">
        <v>14804.97</v>
      </c>
      <c r="H74" s="1">
        <v>45581</v>
      </c>
      <c r="I74" t="s">
        <v>1068</v>
      </c>
      <c r="J74">
        <v>4.5999999999999996</v>
      </c>
      <c r="K74" t="str">
        <f>IF(Table1_1[[#This Row],[Quantity Sold]]&gt;=3,"BULK ORDER","REGULAR ORDER")</f>
        <v>BULK ORDER</v>
      </c>
      <c r="L74" t="str">
        <f>IF(Table1_1[[#This Row],[Customer Rating]]&gt;=4.5,"EXCELLENT",IF(Table1_1[[#This Row],[Customer Rating]]&lt;=4,"GOOD","AVERAGE"))</f>
        <v>EXCELLENT</v>
      </c>
    </row>
    <row r="75" spans="1:12" x14ac:dyDescent="0.3">
      <c r="A75" t="s">
        <v>257</v>
      </c>
      <c r="B75" t="s">
        <v>1047</v>
      </c>
      <c r="C75" t="s">
        <v>1048</v>
      </c>
      <c r="D75">
        <v>13608.58</v>
      </c>
      <c r="E75">
        <v>3</v>
      </c>
      <c r="F75">
        <f>SUM(Table1_1[[#This Row],[Price (INR)]]*Table1_1[[#This Row],[Quantity Sold]])</f>
        <v>40825.74</v>
      </c>
      <c r="G75">
        <v>40825.74</v>
      </c>
      <c r="H75" s="1">
        <v>45387</v>
      </c>
      <c r="I75" t="s">
        <v>16</v>
      </c>
      <c r="J75">
        <v>4.5999999999999996</v>
      </c>
      <c r="K75" t="str">
        <f>IF(Table1_1[[#This Row],[Quantity Sold]]&gt;=3,"BULK ORDER","REGULAR ORDER")</f>
        <v>BULK ORDER</v>
      </c>
      <c r="L75" t="str">
        <f>IF(Table1_1[[#This Row],[Customer Rating]]&gt;=4.5,"EXCELLENT",IF(Table1_1[[#This Row],[Customer Rating]]&lt;=4,"GOOD","AVERAGE"))</f>
        <v>EXCELLENT</v>
      </c>
    </row>
    <row r="76" spans="1:12" x14ac:dyDescent="0.3">
      <c r="A76" t="s">
        <v>305</v>
      </c>
      <c r="B76" t="s">
        <v>1061</v>
      </c>
      <c r="C76" t="s">
        <v>1057</v>
      </c>
      <c r="D76">
        <v>41405.370000000003</v>
      </c>
      <c r="E76">
        <v>2</v>
      </c>
      <c r="F76">
        <f>SUM(Table1_1[[#This Row],[Price (INR)]]*Table1_1[[#This Row],[Quantity Sold]])</f>
        <v>82810.740000000005</v>
      </c>
      <c r="G76">
        <v>82810.740000000005</v>
      </c>
      <c r="H76" s="1">
        <v>45571</v>
      </c>
      <c r="I76" t="s">
        <v>1059</v>
      </c>
      <c r="J76">
        <v>4.5999999999999996</v>
      </c>
      <c r="K76" t="str">
        <f>IF(Table1_1[[#This Row],[Quantity Sold]]&gt;=3,"BULK ORDER","REGULAR ORDER")</f>
        <v>REGULAR ORDER</v>
      </c>
      <c r="L76" t="str">
        <f>IF(Table1_1[[#This Row],[Customer Rating]]&gt;=4.5,"EXCELLENT",IF(Table1_1[[#This Row],[Customer Rating]]&lt;=4,"GOOD","AVERAGE"))</f>
        <v>EXCELLENT</v>
      </c>
    </row>
    <row r="77" spans="1:12" x14ac:dyDescent="0.3">
      <c r="A77" t="s">
        <v>306</v>
      </c>
      <c r="B77" t="s">
        <v>1058</v>
      </c>
      <c r="C77" t="s">
        <v>1057</v>
      </c>
      <c r="D77">
        <v>36114.379999999997</v>
      </c>
      <c r="E77">
        <v>1</v>
      </c>
      <c r="F77">
        <f>SUM(Table1_1[[#This Row],[Price (INR)]]*Table1_1[[#This Row],[Quantity Sold]])</f>
        <v>36114.379999999997</v>
      </c>
      <c r="G77">
        <v>36114.379999999997</v>
      </c>
      <c r="H77" s="1">
        <v>45536</v>
      </c>
      <c r="I77" t="s">
        <v>1071</v>
      </c>
      <c r="J77">
        <v>4.5999999999999996</v>
      </c>
      <c r="K77" t="str">
        <f>IF(Table1_1[[#This Row],[Quantity Sold]]&gt;=3,"BULK ORDER","REGULAR ORDER")</f>
        <v>REGULAR ORDER</v>
      </c>
      <c r="L77" t="str">
        <f>IF(Table1_1[[#This Row],[Customer Rating]]&gt;=4.5,"EXCELLENT",IF(Table1_1[[#This Row],[Customer Rating]]&lt;=4,"GOOD","AVERAGE"))</f>
        <v>EXCELLENT</v>
      </c>
    </row>
    <row r="78" spans="1:12" x14ac:dyDescent="0.3">
      <c r="A78" t="s">
        <v>339</v>
      </c>
      <c r="B78" t="s">
        <v>1047</v>
      </c>
      <c r="C78" t="s">
        <v>1048</v>
      </c>
      <c r="D78">
        <v>4990.66</v>
      </c>
      <c r="E78">
        <v>3</v>
      </c>
      <c r="F78">
        <f>SUM(Table1_1[[#This Row],[Price (INR)]]*Table1_1[[#This Row],[Quantity Sold]])</f>
        <v>14971.98</v>
      </c>
      <c r="G78">
        <v>14971.98</v>
      </c>
      <c r="H78" s="1">
        <v>45442</v>
      </c>
      <c r="I78" t="s">
        <v>1059</v>
      </c>
      <c r="J78">
        <v>4.5999999999999996</v>
      </c>
      <c r="K78" t="str">
        <f>IF(Table1_1[[#This Row],[Quantity Sold]]&gt;=3,"BULK ORDER","REGULAR ORDER")</f>
        <v>BULK ORDER</v>
      </c>
      <c r="L78" t="str">
        <f>IF(Table1_1[[#This Row],[Customer Rating]]&gt;=4.5,"EXCELLENT",IF(Table1_1[[#This Row],[Customer Rating]]&lt;=4,"GOOD","AVERAGE"))</f>
        <v>EXCELLENT</v>
      </c>
    </row>
    <row r="79" spans="1:12" x14ac:dyDescent="0.3">
      <c r="A79" t="s">
        <v>355</v>
      </c>
      <c r="B79" t="s">
        <v>1080</v>
      </c>
      <c r="C79" t="s">
        <v>1051</v>
      </c>
      <c r="D79">
        <v>19134.259999999998</v>
      </c>
      <c r="E79">
        <v>2</v>
      </c>
      <c r="F79">
        <f>SUM(Table1_1[[#This Row],[Price (INR)]]*Table1_1[[#This Row],[Quantity Sold]])</f>
        <v>38268.519999999997</v>
      </c>
      <c r="G79">
        <v>38268.519999999997</v>
      </c>
      <c r="H79" s="1">
        <v>45334</v>
      </c>
      <c r="I79" t="s">
        <v>42</v>
      </c>
      <c r="J79">
        <v>4.5999999999999996</v>
      </c>
      <c r="K79" t="str">
        <f>IF(Table1_1[[#This Row],[Quantity Sold]]&gt;=3,"BULK ORDER","REGULAR ORDER")</f>
        <v>REGULAR ORDER</v>
      </c>
      <c r="L79" t="str">
        <f>IF(Table1_1[[#This Row],[Customer Rating]]&gt;=4.5,"EXCELLENT",IF(Table1_1[[#This Row],[Customer Rating]]&lt;=4,"GOOD","AVERAGE"))</f>
        <v>EXCELLENT</v>
      </c>
    </row>
    <row r="80" spans="1:12" x14ac:dyDescent="0.3">
      <c r="A80" t="s">
        <v>363</v>
      </c>
      <c r="B80" t="s">
        <v>1066</v>
      </c>
      <c r="C80" t="s">
        <v>1055</v>
      </c>
      <c r="D80">
        <v>14014.82</v>
      </c>
      <c r="E80">
        <v>1</v>
      </c>
      <c r="F80">
        <f>SUM(Table1_1[[#This Row],[Price (INR)]]*Table1_1[[#This Row],[Quantity Sold]])</f>
        <v>14014.82</v>
      </c>
      <c r="G80">
        <v>14014.82</v>
      </c>
      <c r="H80" s="1">
        <v>45619</v>
      </c>
      <c r="I80" t="s">
        <v>1068</v>
      </c>
      <c r="J80">
        <v>4.5999999999999996</v>
      </c>
      <c r="K80" t="str">
        <f>IF(Table1_1[[#This Row],[Quantity Sold]]&gt;=3,"BULK ORDER","REGULAR ORDER")</f>
        <v>REGULAR ORDER</v>
      </c>
      <c r="L80" t="str">
        <f>IF(Table1_1[[#This Row],[Customer Rating]]&gt;=4.5,"EXCELLENT",IF(Table1_1[[#This Row],[Customer Rating]]&lt;=4,"GOOD","AVERAGE"))</f>
        <v>EXCELLENT</v>
      </c>
    </row>
    <row r="81" spans="1:12" x14ac:dyDescent="0.3">
      <c r="A81" t="s">
        <v>407</v>
      </c>
      <c r="B81" t="s">
        <v>1079</v>
      </c>
      <c r="C81" t="s">
        <v>1057</v>
      </c>
      <c r="D81">
        <v>908.47</v>
      </c>
      <c r="E81">
        <v>3</v>
      </c>
      <c r="F81">
        <f>SUM(Table1_1[[#This Row],[Price (INR)]]*Table1_1[[#This Row],[Quantity Sold]])</f>
        <v>2725.41</v>
      </c>
      <c r="G81">
        <v>2725.41</v>
      </c>
      <c r="H81" s="1">
        <v>45562</v>
      </c>
      <c r="I81" t="s">
        <v>42</v>
      </c>
      <c r="J81">
        <v>4.5999999999999996</v>
      </c>
      <c r="K81" t="str">
        <f>IF(Table1_1[[#This Row],[Quantity Sold]]&gt;=3,"BULK ORDER","REGULAR ORDER")</f>
        <v>BULK ORDER</v>
      </c>
      <c r="L81" t="str">
        <f>IF(Table1_1[[#This Row],[Customer Rating]]&gt;=4.5,"EXCELLENT",IF(Table1_1[[#This Row],[Customer Rating]]&lt;=4,"GOOD","AVERAGE"))</f>
        <v>EXCELLENT</v>
      </c>
    </row>
    <row r="82" spans="1:12" x14ac:dyDescent="0.3">
      <c r="A82" t="s">
        <v>580</v>
      </c>
      <c r="B82" t="s">
        <v>1080</v>
      </c>
      <c r="C82" t="s">
        <v>1051</v>
      </c>
      <c r="D82">
        <v>42794.400000000001</v>
      </c>
      <c r="E82">
        <v>4</v>
      </c>
      <c r="F82">
        <f>SUM(Table1_1[[#This Row],[Price (INR)]]*Table1_1[[#This Row],[Quantity Sold]])</f>
        <v>171177.60000000001</v>
      </c>
      <c r="G82">
        <v>171177.60000000001</v>
      </c>
      <c r="H82" s="1">
        <v>45468</v>
      </c>
      <c r="I82" t="s">
        <v>42</v>
      </c>
      <c r="J82">
        <v>4.5999999999999996</v>
      </c>
      <c r="K82" t="str">
        <f>IF(Table1_1[[#This Row],[Quantity Sold]]&gt;=3,"BULK ORDER","REGULAR ORDER")</f>
        <v>BULK ORDER</v>
      </c>
      <c r="L82" t="str">
        <f>IF(Table1_1[[#This Row],[Customer Rating]]&gt;=4.5,"EXCELLENT",IF(Table1_1[[#This Row],[Customer Rating]]&lt;=4,"GOOD","AVERAGE"))</f>
        <v>EXCELLENT</v>
      </c>
    </row>
    <row r="83" spans="1:12" x14ac:dyDescent="0.3">
      <c r="A83" t="s">
        <v>591</v>
      </c>
      <c r="B83" t="s">
        <v>1062</v>
      </c>
      <c r="C83" t="s">
        <v>1051</v>
      </c>
      <c r="D83">
        <v>35592.76</v>
      </c>
      <c r="E83">
        <v>2</v>
      </c>
      <c r="F83">
        <f>SUM(Table1_1[[#This Row],[Price (INR)]]*Table1_1[[#This Row],[Quantity Sold]])</f>
        <v>71185.52</v>
      </c>
      <c r="G83">
        <v>71185.52</v>
      </c>
      <c r="H83" s="1">
        <v>45418</v>
      </c>
      <c r="I83" t="s">
        <v>1049</v>
      </c>
      <c r="J83">
        <v>4.5999999999999996</v>
      </c>
      <c r="K83" t="str">
        <f>IF(Table1_1[[#This Row],[Quantity Sold]]&gt;=3,"BULK ORDER","REGULAR ORDER")</f>
        <v>REGULAR ORDER</v>
      </c>
      <c r="L83" t="str">
        <f>IF(Table1_1[[#This Row],[Customer Rating]]&gt;=4.5,"EXCELLENT",IF(Table1_1[[#This Row],[Customer Rating]]&lt;=4,"GOOD","AVERAGE"))</f>
        <v>EXCELLENT</v>
      </c>
    </row>
    <row r="84" spans="1:12" x14ac:dyDescent="0.3">
      <c r="A84" t="s">
        <v>617</v>
      </c>
      <c r="B84" t="s">
        <v>1056</v>
      </c>
      <c r="C84" t="s">
        <v>1057</v>
      </c>
      <c r="D84">
        <v>36429.57</v>
      </c>
      <c r="E84">
        <v>4</v>
      </c>
      <c r="F84">
        <f>SUM(Table1_1[[#This Row],[Price (INR)]]*Table1_1[[#This Row],[Quantity Sold]])</f>
        <v>145718.28</v>
      </c>
      <c r="G84">
        <v>145718.28</v>
      </c>
      <c r="H84" s="1">
        <v>45390</v>
      </c>
      <c r="I84" t="s">
        <v>1068</v>
      </c>
      <c r="J84">
        <v>4.5999999999999996</v>
      </c>
      <c r="K84" t="str">
        <f>IF(Table1_1[[#This Row],[Quantity Sold]]&gt;=3,"BULK ORDER","REGULAR ORDER")</f>
        <v>BULK ORDER</v>
      </c>
      <c r="L84" t="str">
        <f>IF(Table1_1[[#This Row],[Customer Rating]]&gt;=4.5,"EXCELLENT",IF(Table1_1[[#This Row],[Customer Rating]]&lt;=4,"GOOD","AVERAGE"))</f>
        <v>EXCELLENT</v>
      </c>
    </row>
    <row r="85" spans="1:12" x14ac:dyDescent="0.3">
      <c r="A85" t="s">
        <v>618</v>
      </c>
      <c r="B85" t="s">
        <v>1063</v>
      </c>
      <c r="C85" t="s">
        <v>1055</v>
      </c>
      <c r="D85">
        <v>29775.43</v>
      </c>
      <c r="E85">
        <v>4</v>
      </c>
      <c r="F85">
        <f>SUM(Table1_1[[#This Row],[Price (INR)]]*Table1_1[[#This Row],[Quantity Sold]])</f>
        <v>119101.72</v>
      </c>
      <c r="G85">
        <v>119101.72</v>
      </c>
      <c r="H85" s="1">
        <v>45339</v>
      </c>
      <c r="I85" t="s">
        <v>1049</v>
      </c>
      <c r="J85">
        <v>4.5999999999999996</v>
      </c>
      <c r="K85" t="str">
        <f>IF(Table1_1[[#This Row],[Quantity Sold]]&gt;=3,"BULK ORDER","REGULAR ORDER")</f>
        <v>BULK ORDER</v>
      </c>
      <c r="L85" t="str">
        <f>IF(Table1_1[[#This Row],[Customer Rating]]&gt;=4.5,"EXCELLENT",IF(Table1_1[[#This Row],[Customer Rating]]&lt;=4,"GOOD","AVERAGE"))</f>
        <v>EXCELLENT</v>
      </c>
    </row>
    <row r="86" spans="1:12" x14ac:dyDescent="0.3">
      <c r="A86" t="s">
        <v>654</v>
      </c>
      <c r="B86" t="s">
        <v>1063</v>
      </c>
      <c r="C86" t="s">
        <v>1055</v>
      </c>
      <c r="D86">
        <v>5739.3</v>
      </c>
      <c r="E86">
        <v>4</v>
      </c>
      <c r="F86">
        <f>SUM(Table1_1[[#This Row],[Price (INR)]]*Table1_1[[#This Row],[Quantity Sold]])</f>
        <v>22957.200000000001</v>
      </c>
      <c r="G86">
        <v>22957.200000000001</v>
      </c>
      <c r="H86" s="1">
        <v>45488</v>
      </c>
      <c r="I86" t="s">
        <v>1068</v>
      </c>
      <c r="J86">
        <v>4.5999999999999996</v>
      </c>
      <c r="K86" t="str">
        <f>IF(Table1_1[[#This Row],[Quantity Sold]]&gt;=3,"BULK ORDER","REGULAR ORDER")</f>
        <v>BULK ORDER</v>
      </c>
      <c r="L86" t="str">
        <f>IF(Table1_1[[#This Row],[Customer Rating]]&gt;=4.5,"EXCELLENT",IF(Table1_1[[#This Row],[Customer Rating]]&lt;=4,"GOOD","AVERAGE"))</f>
        <v>EXCELLENT</v>
      </c>
    </row>
    <row r="87" spans="1:12" x14ac:dyDescent="0.3">
      <c r="A87" t="s">
        <v>656</v>
      </c>
      <c r="B87" t="s">
        <v>1061</v>
      </c>
      <c r="C87" t="s">
        <v>1057</v>
      </c>
      <c r="D87">
        <v>25404.68</v>
      </c>
      <c r="E87">
        <v>4</v>
      </c>
      <c r="F87">
        <f>SUM(Table1_1[[#This Row],[Price (INR)]]*Table1_1[[#This Row],[Quantity Sold]])</f>
        <v>101618.72</v>
      </c>
      <c r="G87">
        <v>101618.72</v>
      </c>
      <c r="H87" s="1">
        <v>45668</v>
      </c>
      <c r="I87" t="s">
        <v>1068</v>
      </c>
      <c r="J87">
        <v>4.5999999999999996</v>
      </c>
      <c r="K87" t="str">
        <f>IF(Table1_1[[#This Row],[Quantity Sold]]&gt;=3,"BULK ORDER","REGULAR ORDER")</f>
        <v>BULK ORDER</v>
      </c>
      <c r="L87" t="str">
        <f>IF(Table1_1[[#This Row],[Customer Rating]]&gt;=4.5,"EXCELLENT",IF(Table1_1[[#This Row],[Customer Rating]]&lt;=4,"GOOD","AVERAGE"))</f>
        <v>EXCELLENT</v>
      </c>
    </row>
    <row r="88" spans="1:12" x14ac:dyDescent="0.3">
      <c r="A88" t="s">
        <v>766</v>
      </c>
      <c r="B88" t="s">
        <v>1056</v>
      </c>
      <c r="C88" t="s">
        <v>1057</v>
      </c>
      <c r="D88">
        <v>16580.240000000002</v>
      </c>
      <c r="E88">
        <v>5</v>
      </c>
      <c r="F88">
        <f>SUM(Table1_1[[#This Row],[Price (INR)]]*Table1_1[[#This Row],[Quantity Sold]])</f>
        <v>82901.200000000012</v>
      </c>
      <c r="G88">
        <v>82901.2</v>
      </c>
      <c r="H88" s="1">
        <v>45628</v>
      </c>
      <c r="I88" t="s">
        <v>1071</v>
      </c>
      <c r="J88">
        <v>4.5999999999999996</v>
      </c>
      <c r="K88" t="str">
        <f>IF(Table1_1[[#This Row],[Quantity Sold]]&gt;=3,"BULK ORDER","REGULAR ORDER")</f>
        <v>BULK ORDER</v>
      </c>
      <c r="L88" t="str">
        <f>IF(Table1_1[[#This Row],[Customer Rating]]&gt;=4.5,"EXCELLENT",IF(Table1_1[[#This Row],[Customer Rating]]&lt;=4,"GOOD","AVERAGE"))</f>
        <v>EXCELLENT</v>
      </c>
    </row>
    <row r="89" spans="1:12" x14ac:dyDescent="0.3">
      <c r="A89" t="s">
        <v>827</v>
      </c>
      <c r="B89" t="s">
        <v>1050</v>
      </c>
      <c r="C89" t="s">
        <v>1051</v>
      </c>
      <c r="D89">
        <v>7673.62</v>
      </c>
      <c r="E89">
        <v>2</v>
      </c>
      <c r="F89">
        <f>SUM(Table1_1[[#This Row],[Price (INR)]]*Table1_1[[#This Row],[Quantity Sold]])</f>
        <v>15347.24</v>
      </c>
      <c r="G89">
        <v>15347.24</v>
      </c>
      <c r="H89" s="1">
        <v>45456</v>
      </c>
      <c r="I89" t="s">
        <v>42</v>
      </c>
      <c r="J89">
        <v>4.5999999999999996</v>
      </c>
      <c r="K89" t="str">
        <f>IF(Table1_1[[#This Row],[Quantity Sold]]&gt;=3,"BULK ORDER","REGULAR ORDER")</f>
        <v>REGULAR ORDER</v>
      </c>
      <c r="L89" t="str">
        <f>IF(Table1_1[[#This Row],[Customer Rating]]&gt;=4.5,"EXCELLENT",IF(Table1_1[[#This Row],[Customer Rating]]&lt;=4,"GOOD","AVERAGE"))</f>
        <v>EXCELLENT</v>
      </c>
    </row>
    <row r="90" spans="1:12" x14ac:dyDescent="0.3">
      <c r="A90" t="s">
        <v>840</v>
      </c>
      <c r="B90" t="s">
        <v>1058</v>
      </c>
      <c r="C90" t="s">
        <v>1057</v>
      </c>
      <c r="D90">
        <v>31430.94</v>
      </c>
      <c r="E90">
        <v>5</v>
      </c>
      <c r="F90">
        <f>SUM(Table1_1[[#This Row],[Price (INR)]]*Table1_1[[#This Row],[Quantity Sold]])</f>
        <v>157154.69999999998</v>
      </c>
      <c r="G90">
        <v>157154.70000000001</v>
      </c>
      <c r="H90" s="1">
        <v>45598</v>
      </c>
      <c r="I90" t="s">
        <v>1049</v>
      </c>
      <c r="J90">
        <v>4.5999999999999996</v>
      </c>
      <c r="K90" t="str">
        <f>IF(Table1_1[[#This Row],[Quantity Sold]]&gt;=3,"BULK ORDER","REGULAR ORDER")</f>
        <v>BULK ORDER</v>
      </c>
      <c r="L90" t="str">
        <f>IF(Table1_1[[#This Row],[Customer Rating]]&gt;=4.5,"EXCELLENT",IF(Table1_1[[#This Row],[Customer Rating]]&lt;=4,"GOOD","AVERAGE"))</f>
        <v>EXCELLENT</v>
      </c>
    </row>
    <row r="91" spans="1:12" x14ac:dyDescent="0.3">
      <c r="A91" t="s">
        <v>860</v>
      </c>
      <c r="B91" t="s">
        <v>1067</v>
      </c>
      <c r="C91" t="s">
        <v>1048</v>
      </c>
      <c r="D91">
        <v>21670.52</v>
      </c>
      <c r="E91">
        <v>4</v>
      </c>
      <c r="F91">
        <f>SUM(Table1_1[[#This Row],[Price (INR)]]*Table1_1[[#This Row],[Quantity Sold]])</f>
        <v>86682.08</v>
      </c>
      <c r="G91">
        <v>86682.08</v>
      </c>
      <c r="H91" s="1">
        <v>45391</v>
      </c>
      <c r="I91" t="s">
        <v>42</v>
      </c>
      <c r="J91">
        <v>4.5999999999999996</v>
      </c>
      <c r="K91" t="str">
        <f>IF(Table1_1[[#This Row],[Quantity Sold]]&gt;=3,"BULK ORDER","REGULAR ORDER")</f>
        <v>BULK ORDER</v>
      </c>
      <c r="L91" t="str">
        <f>IF(Table1_1[[#This Row],[Customer Rating]]&gt;=4.5,"EXCELLENT",IF(Table1_1[[#This Row],[Customer Rating]]&lt;=4,"GOOD","AVERAGE"))</f>
        <v>EXCELLENT</v>
      </c>
    </row>
    <row r="92" spans="1:12" x14ac:dyDescent="0.3">
      <c r="A92" t="s">
        <v>867</v>
      </c>
      <c r="B92" t="s">
        <v>1067</v>
      </c>
      <c r="C92" t="s">
        <v>1048</v>
      </c>
      <c r="D92">
        <v>34460.43</v>
      </c>
      <c r="E92">
        <v>2</v>
      </c>
      <c r="F92">
        <f>SUM(Table1_1[[#This Row],[Price (INR)]]*Table1_1[[#This Row],[Quantity Sold]])</f>
        <v>68920.86</v>
      </c>
      <c r="G92">
        <v>68920.86</v>
      </c>
      <c r="H92" s="1">
        <v>45357</v>
      </c>
      <c r="I92" t="s">
        <v>42</v>
      </c>
      <c r="J92">
        <v>4.5999999999999996</v>
      </c>
      <c r="K92" t="str">
        <f>IF(Table1_1[[#This Row],[Quantity Sold]]&gt;=3,"BULK ORDER","REGULAR ORDER")</f>
        <v>REGULAR ORDER</v>
      </c>
      <c r="L92" t="str">
        <f>IF(Table1_1[[#This Row],[Customer Rating]]&gt;=4.5,"EXCELLENT",IF(Table1_1[[#This Row],[Customer Rating]]&lt;=4,"GOOD","AVERAGE"))</f>
        <v>EXCELLENT</v>
      </c>
    </row>
    <row r="93" spans="1:12" x14ac:dyDescent="0.3">
      <c r="A93" t="s">
        <v>959</v>
      </c>
      <c r="B93" t="s">
        <v>1080</v>
      </c>
      <c r="C93" t="s">
        <v>1051</v>
      </c>
      <c r="D93">
        <v>9045.23</v>
      </c>
      <c r="E93">
        <v>5</v>
      </c>
      <c r="F93">
        <f>SUM(Table1_1[[#This Row],[Price (INR)]]*Table1_1[[#This Row],[Quantity Sold]])</f>
        <v>45226.149999999994</v>
      </c>
      <c r="G93">
        <v>45226.15</v>
      </c>
      <c r="H93" s="1">
        <v>45477</v>
      </c>
      <c r="I93" t="s">
        <v>42</v>
      </c>
      <c r="J93">
        <v>4.5999999999999996</v>
      </c>
      <c r="K93" t="str">
        <f>IF(Table1_1[[#This Row],[Quantity Sold]]&gt;=3,"BULK ORDER","REGULAR ORDER")</f>
        <v>BULK ORDER</v>
      </c>
      <c r="L93" t="str">
        <f>IF(Table1_1[[#This Row],[Customer Rating]]&gt;=4.5,"EXCELLENT",IF(Table1_1[[#This Row],[Customer Rating]]&lt;=4,"GOOD","AVERAGE"))</f>
        <v>EXCELLENT</v>
      </c>
    </row>
    <row r="94" spans="1:12" x14ac:dyDescent="0.3">
      <c r="A94" t="s">
        <v>1030</v>
      </c>
      <c r="B94" t="s">
        <v>1072</v>
      </c>
      <c r="C94" t="s">
        <v>1057</v>
      </c>
      <c r="D94">
        <v>17253.669999999998</v>
      </c>
      <c r="E94">
        <v>3</v>
      </c>
      <c r="F94">
        <f>SUM(Table1_1[[#This Row],[Price (INR)]]*Table1_1[[#This Row],[Quantity Sold]])</f>
        <v>51761.009999999995</v>
      </c>
      <c r="G94">
        <v>51761.01</v>
      </c>
      <c r="H94" s="1">
        <v>45620</v>
      </c>
      <c r="I94" t="s">
        <v>1049</v>
      </c>
      <c r="J94">
        <v>4.5999999999999996</v>
      </c>
      <c r="K94" t="str">
        <f>IF(Table1_1[[#This Row],[Quantity Sold]]&gt;=3,"BULK ORDER","REGULAR ORDER")</f>
        <v>BULK ORDER</v>
      </c>
      <c r="L94" t="str">
        <f>IF(Table1_1[[#This Row],[Customer Rating]]&gt;=4.5,"EXCELLENT",IF(Table1_1[[#This Row],[Customer Rating]]&lt;=4,"GOOD","AVERAGE"))</f>
        <v>EXCELLENT</v>
      </c>
    </row>
    <row r="95" spans="1:12" x14ac:dyDescent="0.3">
      <c r="A95" t="s">
        <v>55</v>
      </c>
      <c r="B95" t="s">
        <v>1056</v>
      </c>
      <c r="C95" t="s">
        <v>1057</v>
      </c>
      <c r="D95">
        <v>47529.36</v>
      </c>
      <c r="E95">
        <v>1</v>
      </c>
      <c r="F95">
        <f>SUM(Table1_1[[#This Row],[Price (INR)]]*Table1_1[[#This Row],[Quantity Sold]])</f>
        <v>47529.36</v>
      </c>
      <c r="G95">
        <v>47529.36</v>
      </c>
      <c r="H95" s="1">
        <v>45482</v>
      </c>
      <c r="I95" t="s">
        <v>1071</v>
      </c>
      <c r="J95">
        <v>4.5</v>
      </c>
      <c r="K95" t="str">
        <f>IF(Table1_1[[#This Row],[Quantity Sold]]&gt;=3,"BULK ORDER","REGULAR ORDER")</f>
        <v>REGULAR ORDER</v>
      </c>
      <c r="L95" t="str">
        <f>IF(Table1_1[[#This Row],[Customer Rating]]&gt;=4.5,"EXCELLENT",IF(Table1_1[[#This Row],[Customer Rating]]&lt;=4,"GOOD","AVERAGE"))</f>
        <v>EXCELLENT</v>
      </c>
    </row>
    <row r="96" spans="1:12" x14ac:dyDescent="0.3">
      <c r="A96" t="s">
        <v>90</v>
      </c>
      <c r="B96" t="s">
        <v>1067</v>
      </c>
      <c r="C96" t="s">
        <v>1048</v>
      </c>
      <c r="D96">
        <v>1391.49</v>
      </c>
      <c r="E96">
        <v>4</v>
      </c>
      <c r="F96">
        <f>SUM(Table1_1[[#This Row],[Price (INR)]]*Table1_1[[#This Row],[Quantity Sold]])</f>
        <v>5565.96</v>
      </c>
      <c r="G96">
        <v>5565.96</v>
      </c>
      <c r="H96" s="1">
        <v>45515</v>
      </c>
      <c r="I96" t="s">
        <v>1068</v>
      </c>
      <c r="J96">
        <v>4.5</v>
      </c>
      <c r="K96" t="str">
        <f>IF(Table1_1[[#This Row],[Quantity Sold]]&gt;=3,"BULK ORDER","REGULAR ORDER")</f>
        <v>BULK ORDER</v>
      </c>
      <c r="L96" t="str">
        <f>IF(Table1_1[[#This Row],[Customer Rating]]&gt;=4.5,"EXCELLENT",IF(Table1_1[[#This Row],[Customer Rating]]&lt;=4,"GOOD","AVERAGE"))</f>
        <v>EXCELLENT</v>
      </c>
    </row>
    <row r="97" spans="1:12" x14ac:dyDescent="0.3">
      <c r="A97" t="s">
        <v>247</v>
      </c>
      <c r="B97" t="s">
        <v>1060</v>
      </c>
      <c r="C97" t="s">
        <v>1051</v>
      </c>
      <c r="D97">
        <v>16468.59</v>
      </c>
      <c r="E97">
        <v>4</v>
      </c>
      <c r="F97">
        <f>SUM(Table1_1[[#This Row],[Price (INR)]]*Table1_1[[#This Row],[Quantity Sold]])</f>
        <v>65874.36</v>
      </c>
      <c r="G97">
        <v>65874.36</v>
      </c>
      <c r="H97" s="1">
        <v>45589</v>
      </c>
      <c r="I97" t="s">
        <v>1071</v>
      </c>
      <c r="J97">
        <v>4.5</v>
      </c>
      <c r="K97" t="str">
        <f>IF(Table1_1[[#This Row],[Quantity Sold]]&gt;=3,"BULK ORDER","REGULAR ORDER")</f>
        <v>BULK ORDER</v>
      </c>
      <c r="L97" t="str">
        <f>IF(Table1_1[[#This Row],[Customer Rating]]&gt;=4.5,"EXCELLENT",IF(Table1_1[[#This Row],[Customer Rating]]&lt;=4,"GOOD","AVERAGE"))</f>
        <v>EXCELLENT</v>
      </c>
    </row>
    <row r="98" spans="1:12" x14ac:dyDescent="0.3">
      <c r="A98" t="s">
        <v>344</v>
      </c>
      <c r="B98" t="s">
        <v>1067</v>
      </c>
      <c r="C98" t="s">
        <v>1048</v>
      </c>
      <c r="D98">
        <v>22747.82</v>
      </c>
      <c r="E98">
        <v>3</v>
      </c>
      <c r="F98">
        <f>SUM(Table1_1[[#This Row],[Price (INR)]]*Table1_1[[#This Row],[Quantity Sold]])</f>
        <v>68243.459999999992</v>
      </c>
      <c r="G98">
        <v>68243.460000000006</v>
      </c>
      <c r="H98" s="1">
        <v>45555</v>
      </c>
      <c r="I98" t="s">
        <v>1049</v>
      </c>
      <c r="J98">
        <v>4.5</v>
      </c>
      <c r="K98" t="str">
        <f>IF(Table1_1[[#This Row],[Quantity Sold]]&gt;=3,"BULK ORDER","REGULAR ORDER")</f>
        <v>BULK ORDER</v>
      </c>
      <c r="L98" t="str">
        <f>IF(Table1_1[[#This Row],[Customer Rating]]&gt;=4.5,"EXCELLENT",IF(Table1_1[[#This Row],[Customer Rating]]&lt;=4,"GOOD","AVERAGE"))</f>
        <v>EXCELLENT</v>
      </c>
    </row>
    <row r="99" spans="1:12" x14ac:dyDescent="0.3">
      <c r="A99" t="s">
        <v>382</v>
      </c>
      <c r="B99" t="s">
        <v>1063</v>
      </c>
      <c r="C99" t="s">
        <v>1055</v>
      </c>
      <c r="D99">
        <v>18905.939999999999</v>
      </c>
      <c r="E99">
        <v>3</v>
      </c>
      <c r="F99">
        <f>SUM(Table1_1[[#This Row],[Price (INR)]]*Table1_1[[#This Row],[Quantity Sold]])</f>
        <v>56717.819999999992</v>
      </c>
      <c r="G99">
        <v>56717.82</v>
      </c>
      <c r="H99" s="1">
        <v>45518</v>
      </c>
      <c r="I99" t="s">
        <v>16</v>
      </c>
      <c r="J99">
        <v>4.5</v>
      </c>
      <c r="K99" t="str">
        <f>IF(Table1_1[[#This Row],[Quantity Sold]]&gt;=3,"BULK ORDER","REGULAR ORDER")</f>
        <v>BULK ORDER</v>
      </c>
      <c r="L99" t="str">
        <f>IF(Table1_1[[#This Row],[Customer Rating]]&gt;=4.5,"EXCELLENT",IF(Table1_1[[#This Row],[Customer Rating]]&lt;=4,"GOOD","AVERAGE"))</f>
        <v>EXCELLENT</v>
      </c>
    </row>
    <row r="100" spans="1:12" x14ac:dyDescent="0.3">
      <c r="A100" t="s">
        <v>395</v>
      </c>
      <c r="B100" t="s">
        <v>1064</v>
      </c>
      <c r="C100" t="s">
        <v>1053</v>
      </c>
      <c r="D100">
        <v>5127.0200000000004</v>
      </c>
      <c r="E100">
        <v>3</v>
      </c>
      <c r="F100">
        <f>SUM(Table1_1[[#This Row],[Price (INR)]]*Table1_1[[#This Row],[Quantity Sold]])</f>
        <v>15381.060000000001</v>
      </c>
      <c r="G100">
        <v>15381.06</v>
      </c>
      <c r="H100" s="1">
        <v>45695</v>
      </c>
      <c r="I100" t="s">
        <v>1049</v>
      </c>
      <c r="J100">
        <v>4.5</v>
      </c>
      <c r="K100" t="str">
        <f>IF(Table1_1[[#This Row],[Quantity Sold]]&gt;=3,"BULK ORDER","REGULAR ORDER")</f>
        <v>BULK ORDER</v>
      </c>
      <c r="L100" t="str">
        <f>IF(Table1_1[[#This Row],[Customer Rating]]&gt;=4.5,"EXCELLENT",IF(Table1_1[[#This Row],[Customer Rating]]&lt;=4,"GOOD","AVERAGE"))</f>
        <v>EXCELLENT</v>
      </c>
    </row>
    <row r="101" spans="1:12" x14ac:dyDescent="0.3">
      <c r="A101" t="s">
        <v>426</v>
      </c>
      <c r="B101" t="s">
        <v>1060</v>
      </c>
      <c r="C101" t="s">
        <v>1051</v>
      </c>
      <c r="D101">
        <v>27827.66</v>
      </c>
      <c r="E101">
        <v>1</v>
      </c>
      <c r="F101">
        <f>SUM(Table1_1[[#This Row],[Price (INR)]]*Table1_1[[#This Row],[Quantity Sold]])</f>
        <v>27827.66</v>
      </c>
      <c r="G101">
        <v>27827.66</v>
      </c>
      <c r="H101" s="1">
        <v>45461</v>
      </c>
      <c r="I101" t="s">
        <v>42</v>
      </c>
      <c r="J101">
        <v>4.5</v>
      </c>
      <c r="K101" t="str">
        <f>IF(Table1_1[[#This Row],[Quantity Sold]]&gt;=3,"BULK ORDER","REGULAR ORDER")</f>
        <v>REGULAR ORDER</v>
      </c>
      <c r="L101" t="str">
        <f>IF(Table1_1[[#This Row],[Customer Rating]]&gt;=4.5,"EXCELLENT",IF(Table1_1[[#This Row],[Customer Rating]]&lt;=4,"GOOD","AVERAGE"))</f>
        <v>EXCELLENT</v>
      </c>
    </row>
    <row r="102" spans="1:12" x14ac:dyDescent="0.3">
      <c r="A102" t="s">
        <v>448</v>
      </c>
      <c r="B102" t="s">
        <v>1054</v>
      </c>
      <c r="C102" t="s">
        <v>1055</v>
      </c>
      <c r="D102">
        <v>25035.46</v>
      </c>
      <c r="E102">
        <v>2</v>
      </c>
      <c r="F102">
        <f>SUM(Table1_1[[#This Row],[Price (INR)]]*Table1_1[[#This Row],[Quantity Sold]])</f>
        <v>50070.92</v>
      </c>
      <c r="G102">
        <v>50070.92</v>
      </c>
      <c r="H102" s="1">
        <v>45397</v>
      </c>
      <c r="I102" t="s">
        <v>1049</v>
      </c>
      <c r="J102">
        <v>4.5</v>
      </c>
      <c r="K102" t="str">
        <f>IF(Table1_1[[#This Row],[Quantity Sold]]&gt;=3,"BULK ORDER","REGULAR ORDER")</f>
        <v>REGULAR ORDER</v>
      </c>
      <c r="L102" t="str">
        <f>IF(Table1_1[[#This Row],[Customer Rating]]&gt;=4.5,"EXCELLENT",IF(Table1_1[[#This Row],[Customer Rating]]&lt;=4,"GOOD","AVERAGE"))</f>
        <v>EXCELLENT</v>
      </c>
    </row>
    <row r="103" spans="1:12" x14ac:dyDescent="0.3">
      <c r="A103" t="s">
        <v>464</v>
      </c>
      <c r="B103" t="s">
        <v>1054</v>
      </c>
      <c r="C103" t="s">
        <v>1055</v>
      </c>
      <c r="D103">
        <v>43711.45</v>
      </c>
      <c r="E103">
        <v>4</v>
      </c>
      <c r="F103">
        <f>SUM(Table1_1[[#This Row],[Price (INR)]]*Table1_1[[#This Row],[Quantity Sold]])</f>
        <v>174845.8</v>
      </c>
      <c r="G103">
        <v>174845.8</v>
      </c>
      <c r="H103" s="1">
        <v>45470</v>
      </c>
      <c r="I103" t="s">
        <v>1059</v>
      </c>
      <c r="J103">
        <v>4.5</v>
      </c>
      <c r="K103" t="str">
        <f>IF(Table1_1[[#This Row],[Quantity Sold]]&gt;=3,"BULK ORDER","REGULAR ORDER")</f>
        <v>BULK ORDER</v>
      </c>
      <c r="L103" t="str">
        <f>IF(Table1_1[[#This Row],[Customer Rating]]&gt;=4.5,"EXCELLENT",IF(Table1_1[[#This Row],[Customer Rating]]&lt;=4,"GOOD","AVERAGE"))</f>
        <v>EXCELLENT</v>
      </c>
    </row>
    <row r="104" spans="1:12" x14ac:dyDescent="0.3">
      <c r="A104" t="s">
        <v>531</v>
      </c>
      <c r="B104" t="s">
        <v>1074</v>
      </c>
      <c r="C104" t="s">
        <v>1055</v>
      </c>
      <c r="D104">
        <v>14971.45</v>
      </c>
      <c r="E104">
        <v>3</v>
      </c>
      <c r="F104">
        <f>SUM(Table1_1[[#This Row],[Price (INR)]]*Table1_1[[#This Row],[Quantity Sold]])</f>
        <v>44914.350000000006</v>
      </c>
      <c r="G104">
        <v>44914.35</v>
      </c>
      <c r="H104" s="1">
        <v>45445</v>
      </c>
      <c r="I104" t="s">
        <v>16</v>
      </c>
      <c r="J104">
        <v>4.5</v>
      </c>
      <c r="K104" t="str">
        <f>IF(Table1_1[[#This Row],[Quantity Sold]]&gt;=3,"BULK ORDER","REGULAR ORDER")</f>
        <v>BULK ORDER</v>
      </c>
      <c r="L104" t="str">
        <f>IF(Table1_1[[#This Row],[Customer Rating]]&gt;=4.5,"EXCELLENT",IF(Table1_1[[#This Row],[Customer Rating]]&lt;=4,"GOOD","AVERAGE"))</f>
        <v>EXCELLENT</v>
      </c>
    </row>
    <row r="105" spans="1:12" x14ac:dyDescent="0.3">
      <c r="A105" t="s">
        <v>532</v>
      </c>
      <c r="B105" t="s">
        <v>1072</v>
      </c>
      <c r="C105" t="s">
        <v>1057</v>
      </c>
      <c r="D105">
        <v>12245.12</v>
      </c>
      <c r="E105">
        <v>2</v>
      </c>
      <c r="F105">
        <f>SUM(Table1_1[[#This Row],[Price (INR)]]*Table1_1[[#This Row],[Quantity Sold]])</f>
        <v>24490.240000000002</v>
      </c>
      <c r="G105">
        <v>24490.240000000002</v>
      </c>
      <c r="H105" s="1">
        <v>45531</v>
      </c>
      <c r="I105" t="s">
        <v>42</v>
      </c>
      <c r="J105">
        <v>4.5</v>
      </c>
      <c r="K105" t="str">
        <f>IF(Table1_1[[#This Row],[Quantity Sold]]&gt;=3,"BULK ORDER","REGULAR ORDER")</f>
        <v>REGULAR ORDER</v>
      </c>
      <c r="L105" t="str">
        <f>IF(Table1_1[[#This Row],[Customer Rating]]&gt;=4.5,"EXCELLENT",IF(Table1_1[[#This Row],[Customer Rating]]&lt;=4,"GOOD","AVERAGE"))</f>
        <v>EXCELLENT</v>
      </c>
    </row>
    <row r="106" spans="1:12" x14ac:dyDescent="0.3">
      <c r="A106" t="s">
        <v>569</v>
      </c>
      <c r="B106" t="s">
        <v>1061</v>
      </c>
      <c r="C106" t="s">
        <v>1057</v>
      </c>
      <c r="D106">
        <v>8863.9699999999993</v>
      </c>
      <c r="E106">
        <v>2</v>
      </c>
      <c r="F106">
        <f>SUM(Table1_1[[#This Row],[Price (INR)]]*Table1_1[[#This Row],[Quantity Sold]])</f>
        <v>17727.939999999999</v>
      </c>
      <c r="G106">
        <v>17727.939999999999</v>
      </c>
      <c r="H106" s="1">
        <v>45561</v>
      </c>
      <c r="I106" t="s">
        <v>16</v>
      </c>
      <c r="J106">
        <v>4.5</v>
      </c>
      <c r="K106" t="str">
        <f>IF(Table1_1[[#This Row],[Quantity Sold]]&gt;=3,"BULK ORDER","REGULAR ORDER")</f>
        <v>REGULAR ORDER</v>
      </c>
      <c r="L106" t="str">
        <f>IF(Table1_1[[#This Row],[Customer Rating]]&gt;=4.5,"EXCELLENT",IF(Table1_1[[#This Row],[Customer Rating]]&lt;=4,"GOOD","AVERAGE"))</f>
        <v>EXCELLENT</v>
      </c>
    </row>
    <row r="107" spans="1:12" x14ac:dyDescent="0.3">
      <c r="A107" t="s">
        <v>585</v>
      </c>
      <c r="B107" t="s">
        <v>1061</v>
      </c>
      <c r="C107" t="s">
        <v>1057</v>
      </c>
      <c r="D107">
        <v>49052.43</v>
      </c>
      <c r="E107">
        <v>3</v>
      </c>
      <c r="F107">
        <f>SUM(Table1_1[[#This Row],[Price (INR)]]*Table1_1[[#This Row],[Quantity Sold]])</f>
        <v>147157.29</v>
      </c>
      <c r="G107">
        <v>147157.29</v>
      </c>
      <c r="H107" s="1">
        <v>45628</v>
      </c>
      <c r="I107" t="s">
        <v>1049</v>
      </c>
      <c r="J107">
        <v>4.5</v>
      </c>
      <c r="K107" t="str">
        <f>IF(Table1_1[[#This Row],[Quantity Sold]]&gt;=3,"BULK ORDER","REGULAR ORDER")</f>
        <v>BULK ORDER</v>
      </c>
      <c r="L107" t="str">
        <f>IF(Table1_1[[#This Row],[Customer Rating]]&gt;=4.5,"EXCELLENT",IF(Table1_1[[#This Row],[Customer Rating]]&lt;=4,"GOOD","AVERAGE"))</f>
        <v>EXCELLENT</v>
      </c>
    </row>
    <row r="108" spans="1:12" x14ac:dyDescent="0.3">
      <c r="A108" t="s">
        <v>621</v>
      </c>
      <c r="B108" t="s">
        <v>1064</v>
      </c>
      <c r="C108" t="s">
        <v>1053</v>
      </c>
      <c r="D108">
        <v>32078.48</v>
      </c>
      <c r="E108">
        <v>3</v>
      </c>
      <c r="F108">
        <f>SUM(Table1_1[[#This Row],[Price (INR)]]*Table1_1[[#This Row],[Quantity Sold]])</f>
        <v>96235.44</v>
      </c>
      <c r="G108">
        <v>96235.44</v>
      </c>
      <c r="H108" s="1">
        <v>45378</v>
      </c>
      <c r="I108" t="s">
        <v>1068</v>
      </c>
      <c r="J108">
        <v>4.5</v>
      </c>
      <c r="K108" t="str">
        <f>IF(Table1_1[[#This Row],[Quantity Sold]]&gt;=3,"BULK ORDER","REGULAR ORDER")</f>
        <v>BULK ORDER</v>
      </c>
      <c r="L108" t="str">
        <f>IF(Table1_1[[#This Row],[Customer Rating]]&gt;=4.5,"EXCELLENT",IF(Table1_1[[#This Row],[Customer Rating]]&lt;=4,"GOOD","AVERAGE"))</f>
        <v>EXCELLENT</v>
      </c>
    </row>
    <row r="109" spans="1:12" x14ac:dyDescent="0.3">
      <c r="A109" t="s">
        <v>638</v>
      </c>
      <c r="B109" t="s">
        <v>1076</v>
      </c>
      <c r="C109" t="s">
        <v>1055</v>
      </c>
      <c r="D109">
        <v>19218.55</v>
      </c>
      <c r="E109">
        <v>2</v>
      </c>
      <c r="F109">
        <f>SUM(Table1_1[[#This Row],[Price (INR)]]*Table1_1[[#This Row],[Quantity Sold]])</f>
        <v>38437.1</v>
      </c>
      <c r="G109">
        <v>38437.1</v>
      </c>
      <c r="H109" s="1">
        <v>45555</v>
      </c>
      <c r="I109" t="s">
        <v>1059</v>
      </c>
      <c r="J109">
        <v>4.5</v>
      </c>
      <c r="K109" t="str">
        <f>IF(Table1_1[[#This Row],[Quantity Sold]]&gt;=3,"BULK ORDER","REGULAR ORDER")</f>
        <v>REGULAR ORDER</v>
      </c>
      <c r="L109" t="str">
        <f>IF(Table1_1[[#This Row],[Customer Rating]]&gt;=4.5,"EXCELLENT",IF(Table1_1[[#This Row],[Customer Rating]]&lt;=4,"GOOD","AVERAGE"))</f>
        <v>EXCELLENT</v>
      </c>
    </row>
    <row r="110" spans="1:12" x14ac:dyDescent="0.3">
      <c r="A110" t="s">
        <v>651</v>
      </c>
      <c r="B110" t="s">
        <v>1078</v>
      </c>
      <c r="C110" t="s">
        <v>1048</v>
      </c>
      <c r="D110">
        <v>567.80999999999995</v>
      </c>
      <c r="E110">
        <v>4</v>
      </c>
      <c r="F110">
        <f>SUM(Table1_1[[#This Row],[Price (INR)]]*Table1_1[[#This Row],[Quantity Sold]])</f>
        <v>2271.2399999999998</v>
      </c>
      <c r="G110">
        <v>2271.2399999999998</v>
      </c>
      <c r="H110" s="1">
        <v>45674</v>
      </c>
      <c r="I110" t="s">
        <v>1059</v>
      </c>
      <c r="J110">
        <v>4.5</v>
      </c>
      <c r="K110" t="str">
        <f>IF(Table1_1[[#This Row],[Quantity Sold]]&gt;=3,"BULK ORDER","REGULAR ORDER")</f>
        <v>BULK ORDER</v>
      </c>
      <c r="L110" t="str">
        <f>IF(Table1_1[[#This Row],[Customer Rating]]&gt;=4.5,"EXCELLENT",IF(Table1_1[[#This Row],[Customer Rating]]&lt;=4,"GOOD","AVERAGE"))</f>
        <v>EXCELLENT</v>
      </c>
    </row>
    <row r="111" spans="1:12" x14ac:dyDescent="0.3">
      <c r="A111" t="s">
        <v>652</v>
      </c>
      <c r="B111" t="s">
        <v>1067</v>
      </c>
      <c r="C111" t="s">
        <v>1048</v>
      </c>
      <c r="D111">
        <v>6705.43</v>
      </c>
      <c r="E111">
        <v>5</v>
      </c>
      <c r="F111">
        <f>SUM(Table1_1[[#This Row],[Price (INR)]]*Table1_1[[#This Row],[Quantity Sold]])</f>
        <v>33527.15</v>
      </c>
      <c r="G111">
        <v>33527.15</v>
      </c>
      <c r="H111" s="1">
        <v>45536</v>
      </c>
      <c r="I111" t="s">
        <v>1059</v>
      </c>
      <c r="J111">
        <v>4.5</v>
      </c>
      <c r="K111" t="str">
        <f>IF(Table1_1[[#This Row],[Quantity Sold]]&gt;=3,"BULK ORDER","REGULAR ORDER")</f>
        <v>BULK ORDER</v>
      </c>
      <c r="L111" t="str">
        <f>IF(Table1_1[[#This Row],[Customer Rating]]&gt;=4.5,"EXCELLENT",IF(Table1_1[[#This Row],[Customer Rating]]&lt;=4,"GOOD","AVERAGE"))</f>
        <v>EXCELLENT</v>
      </c>
    </row>
    <row r="112" spans="1:12" x14ac:dyDescent="0.3">
      <c r="A112" t="s">
        <v>655</v>
      </c>
      <c r="B112" t="s">
        <v>1050</v>
      </c>
      <c r="C112" t="s">
        <v>1051</v>
      </c>
      <c r="D112">
        <v>21417.72</v>
      </c>
      <c r="E112">
        <v>4</v>
      </c>
      <c r="F112">
        <f>SUM(Table1_1[[#This Row],[Price (INR)]]*Table1_1[[#This Row],[Quantity Sold]])</f>
        <v>85670.88</v>
      </c>
      <c r="G112">
        <v>85670.88</v>
      </c>
      <c r="H112" s="1">
        <v>45493</v>
      </c>
      <c r="I112" t="s">
        <v>1049</v>
      </c>
      <c r="J112">
        <v>4.5</v>
      </c>
      <c r="K112" t="str">
        <f>IF(Table1_1[[#This Row],[Quantity Sold]]&gt;=3,"BULK ORDER","REGULAR ORDER")</f>
        <v>BULK ORDER</v>
      </c>
      <c r="L112" t="str">
        <f>IF(Table1_1[[#This Row],[Customer Rating]]&gt;=4.5,"EXCELLENT",IF(Table1_1[[#This Row],[Customer Rating]]&lt;=4,"GOOD","AVERAGE"))</f>
        <v>EXCELLENT</v>
      </c>
    </row>
    <row r="113" spans="1:12" x14ac:dyDescent="0.3">
      <c r="A113" t="s">
        <v>680</v>
      </c>
      <c r="B113" t="s">
        <v>1079</v>
      </c>
      <c r="C113" t="s">
        <v>1057</v>
      </c>
      <c r="D113">
        <v>19376.32</v>
      </c>
      <c r="E113">
        <v>1</v>
      </c>
      <c r="F113">
        <f>SUM(Table1_1[[#This Row],[Price (INR)]]*Table1_1[[#This Row],[Quantity Sold]])</f>
        <v>19376.32</v>
      </c>
      <c r="G113">
        <v>19376.32</v>
      </c>
      <c r="H113" s="1">
        <v>45557</v>
      </c>
      <c r="I113" t="s">
        <v>16</v>
      </c>
      <c r="J113">
        <v>4.5</v>
      </c>
      <c r="K113" t="str">
        <f>IF(Table1_1[[#This Row],[Quantity Sold]]&gt;=3,"BULK ORDER","REGULAR ORDER")</f>
        <v>REGULAR ORDER</v>
      </c>
      <c r="L113" t="str">
        <f>IF(Table1_1[[#This Row],[Customer Rating]]&gt;=4.5,"EXCELLENT",IF(Table1_1[[#This Row],[Customer Rating]]&lt;=4,"GOOD","AVERAGE"))</f>
        <v>EXCELLENT</v>
      </c>
    </row>
    <row r="114" spans="1:12" x14ac:dyDescent="0.3">
      <c r="A114" t="s">
        <v>776</v>
      </c>
      <c r="B114" t="s">
        <v>1056</v>
      </c>
      <c r="C114" t="s">
        <v>1057</v>
      </c>
      <c r="D114">
        <v>22430.51</v>
      </c>
      <c r="E114">
        <v>1</v>
      </c>
      <c r="F114">
        <f>SUM(Table1_1[[#This Row],[Price (INR)]]*Table1_1[[#This Row],[Quantity Sold]])</f>
        <v>22430.51</v>
      </c>
      <c r="G114">
        <v>22430.51</v>
      </c>
      <c r="H114" s="1">
        <v>45554</v>
      </c>
      <c r="I114" t="s">
        <v>1068</v>
      </c>
      <c r="J114">
        <v>4.5</v>
      </c>
      <c r="K114" t="str">
        <f>IF(Table1_1[[#This Row],[Quantity Sold]]&gt;=3,"BULK ORDER","REGULAR ORDER")</f>
        <v>REGULAR ORDER</v>
      </c>
      <c r="L114" t="str">
        <f>IF(Table1_1[[#This Row],[Customer Rating]]&gt;=4.5,"EXCELLENT",IF(Table1_1[[#This Row],[Customer Rating]]&lt;=4,"GOOD","AVERAGE"))</f>
        <v>EXCELLENT</v>
      </c>
    </row>
    <row r="115" spans="1:12" x14ac:dyDescent="0.3">
      <c r="A115" t="s">
        <v>810</v>
      </c>
      <c r="B115" t="s">
        <v>1047</v>
      </c>
      <c r="C115" t="s">
        <v>1048</v>
      </c>
      <c r="D115">
        <v>25282.52</v>
      </c>
      <c r="E115">
        <v>1</v>
      </c>
      <c r="F115">
        <f>SUM(Table1_1[[#This Row],[Price (INR)]]*Table1_1[[#This Row],[Quantity Sold]])</f>
        <v>25282.52</v>
      </c>
      <c r="G115">
        <v>25282.52</v>
      </c>
      <c r="H115" s="1">
        <v>45541</v>
      </c>
      <c r="I115" t="s">
        <v>1068</v>
      </c>
      <c r="J115">
        <v>4.5</v>
      </c>
      <c r="K115" t="str">
        <f>IF(Table1_1[[#This Row],[Quantity Sold]]&gt;=3,"BULK ORDER","REGULAR ORDER")</f>
        <v>REGULAR ORDER</v>
      </c>
      <c r="L115" t="str">
        <f>IF(Table1_1[[#This Row],[Customer Rating]]&gt;=4.5,"EXCELLENT",IF(Table1_1[[#This Row],[Customer Rating]]&lt;=4,"GOOD","AVERAGE"))</f>
        <v>EXCELLENT</v>
      </c>
    </row>
    <row r="116" spans="1:12" x14ac:dyDescent="0.3">
      <c r="A116" t="s">
        <v>848</v>
      </c>
      <c r="B116" t="s">
        <v>1061</v>
      </c>
      <c r="C116" t="s">
        <v>1057</v>
      </c>
      <c r="D116">
        <v>41000.910000000003</v>
      </c>
      <c r="E116">
        <v>4</v>
      </c>
      <c r="F116">
        <f>SUM(Table1_1[[#This Row],[Price (INR)]]*Table1_1[[#This Row],[Quantity Sold]])</f>
        <v>164003.64000000001</v>
      </c>
      <c r="G116">
        <v>164003.64000000001</v>
      </c>
      <c r="H116" s="1">
        <v>45546</v>
      </c>
      <c r="I116" t="s">
        <v>16</v>
      </c>
      <c r="J116">
        <v>4.5</v>
      </c>
      <c r="K116" t="str">
        <f>IF(Table1_1[[#This Row],[Quantity Sold]]&gt;=3,"BULK ORDER","REGULAR ORDER")</f>
        <v>BULK ORDER</v>
      </c>
      <c r="L116" t="str">
        <f>IF(Table1_1[[#This Row],[Customer Rating]]&gt;=4.5,"EXCELLENT",IF(Table1_1[[#This Row],[Customer Rating]]&lt;=4,"GOOD","AVERAGE"))</f>
        <v>EXCELLENT</v>
      </c>
    </row>
    <row r="117" spans="1:12" x14ac:dyDescent="0.3">
      <c r="A117" t="s">
        <v>882</v>
      </c>
      <c r="B117" t="s">
        <v>1074</v>
      </c>
      <c r="C117" t="s">
        <v>1055</v>
      </c>
      <c r="D117">
        <v>35506.5</v>
      </c>
      <c r="E117">
        <v>5</v>
      </c>
      <c r="F117">
        <f>SUM(Table1_1[[#This Row],[Price (INR)]]*Table1_1[[#This Row],[Quantity Sold]])</f>
        <v>177532.5</v>
      </c>
      <c r="G117">
        <v>177532.5</v>
      </c>
      <c r="H117" s="1">
        <v>45438</v>
      </c>
      <c r="I117" t="s">
        <v>16</v>
      </c>
      <c r="J117">
        <v>4.5</v>
      </c>
      <c r="K117" t="str">
        <f>IF(Table1_1[[#This Row],[Quantity Sold]]&gt;=3,"BULK ORDER","REGULAR ORDER")</f>
        <v>BULK ORDER</v>
      </c>
      <c r="L117" t="str">
        <f>IF(Table1_1[[#This Row],[Customer Rating]]&gt;=4.5,"EXCELLENT",IF(Table1_1[[#This Row],[Customer Rating]]&lt;=4,"GOOD","AVERAGE"))</f>
        <v>EXCELLENT</v>
      </c>
    </row>
    <row r="118" spans="1:12" x14ac:dyDescent="0.3">
      <c r="A118" t="s">
        <v>938</v>
      </c>
      <c r="B118" t="s">
        <v>1052</v>
      </c>
      <c r="C118" t="s">
        <v>1053</v>
      </c>
      <c r="D118">
        <v>49835.85</v>
      </c>
      <c r="E118">
        <v>3</v>
      </c>
      <c r="F118">
        <f>SUM(Table1_1[[#This Row],[Price (INR)]]*Table1_1[[#This Row],[Quantity Sold]])</f>
        <v>149507.54999999999</v>
      </c>
      <c r="G118">
        <v>149507.54999999999</v>
      </c>
      <c r="H118" s="1">
        <v>45537</v>
      </c>
      <c r="I118" t="s">
        <v>1068</v>
      </c>
      <c r="J118">
        <v>4.5</v>
      </c>
      <c r="K118" t="str">
        <f>IF(Table1_1[[#This Row],[Quantity Sold]]&gt;=3,"BULK ORDER","REGULAR ORDER")</f>
        <v>BULK ORDER</v>
      </c>
      <c r="L118" t="str">
        <f>IF(Table1_1[[#This Row],[Customer Rating]]&gt;=4.5,"EXCELLENT",IF(Table1_1[[#This Row],[Customer Rating]]&lt;=4,"GOOD","AVERAGE"))</f>
        <v>EXCELLENT</v>
      </c>
    </row>
    <row r="119" spans="1:12" x14ac:dyDescent="0.3">
      <c r="A119" t="s">
        <v>946</v>
      </c>
      <c r="B119" t="s">
        <v>1061</v>
      </c>
      <c r="C119" t="s">
        <v>1057</v>
      </c>
      <c r="D119">
        <v>27507.360000000001</v>
      </c>
      <c r="E119">
        <v>4</v>
      </c>
      <c r="F119">
        <f>SUM(Table1_1[[#This Row],[Price (INR)]]*Table1_1[[#This Row],[Quantity Sold]])</f>
        <v>110029.44</v>
      </c>
      <c r="G119">
        <v>110029.44</v>
      </c>
      <c r="H119" s="1">
        <v>45549</v>
      </c>
      <c r="I119" t="s">
        <v>1068</v>
      </c>
      <c r="J119">
        <v>4.5</v>
      </c>
      <c r="K119" t="str">
        <f>IF(Table1_1[[#This Row],[Quantity Sold]]&gt;=3,"BULK ORDER","REGULAR ORDER")</f>
        <v>BULK ORDER</v>
      </c>
      <c r="L119" t="str">
        <f>IF(Table1_1[[#This Row],[Customer Rating]]&gt;=4.5,"EXCELLENT",IF(Table1_1[[#This Row],[Customer Rating]]&lt;=4,"GOOD","AVERAGE"))</f>
        <v>EXCELLENT</v>
      </c>
    </row>
    <row r="120" spans="1:12" x14ac:dyDescent="0.3">
      <c r="A120" t="s">
        <v>17</v>
      </c>
      <c r="B120" t="s">
        <v>1052</v>
      </c>
      <c r="C120" t="s">
        <v>1053</v>
      </c>
      <c r="D120">
        <v>11092.19</v>
      </c>
      <c r="E120">
        <v>4</v>
      </c>
      <c r="F120">
        <f>SUM(Table1_1[[#This Row],[Price (INR)]]*Table1_1[[#This Row],[Quantity Sold]])</f>
        <v>44368.76</v>
      </c>
      <c r="G120">
        <v>44368.76</v>
      </c>
      <c r="H120" s="1">
        <v>45430</v>
      </c>
      <c r="I120" t="s">
        <v>1049</v>
      </c>
      <c r="J120">
        <v>4.4000000000000004</v>
      </c>
      <c r="K120" t="str">
        <f>IF(Table1_1[[#This Row],[Quantity Sold]]&gt;=3,"BULK ORDER","REGULAR ORDER")</f>
        <v>BULK ORDER</v>
      </c>
      <c r="L120" t="str">
        <f>IF(Table1_1[[#This Row],[Customer Rating]]&gt;=4.5,"EXCELLENT",IF(Table1_1[[#This Row],[Customer Rating]]&lt;=4,"GOOD","AVERAGE"))</f>
        <v>AVERAGE</v>
      </c>
    </row>
    <row r="121" spans="1:12" x14ac:dyDescent="0.3">
      <c r="A121" t="s">
        <v>53</v>
      </c>
      <c r="B121" t="s">
        <v>1070</v>
      </c>
      <c r="C121" t="s">
        <v>1051</v>
      </c>
      <c r="D121">
        <v>32565.77</v>
      </c>
      <c r="E121">
        <v>5</v>
      </c>
      <c r="F121">
        <f>SUM(Table1_1[[#This Row],[Price (INR)]]*Table1_1[[#This Row],[Quantity Sold]])</f>
        <v>162828.85</v>
      </c>
      <c r="G121">
        <v>162828.85</v>
      </c>
      <c r="H121" s="1">
        <v>45663</v>
      </c>
      <c r="I121" t="s">
        <v>42</v>
      </c>
      <c r="J121">
        <v>4.4000000000000004</v>
      </c>
      <c r="K121" t="str">
        <f>IF(Table1_1[[#This Row],[Quantity Sold]]&gt;=3,"BULK ORDER","REGULAR ORDER")</f>
        <v>BULK ORDER</v>
      </c>
      <c r="L121" t="str">
        <f>IF(Table1_1[[#This Row],[Customer Rating]]&gt;=4.5,"EXCELLENT",IF(Table1_1[[#This Row],[Customer Rating]]&lt;=4,"GOOD","AVERAGE"))</f>
        <v>AVERAGE</v>
      </c>
    </row>
    <row r="122" spans="1:12" x14ac:dyDescent="0.3">
      <c r="A122" t="s">
        <v>134</v>
      </c>
      <c r="B122" t="s">
        <v>1072</v>
      </c>
      <c r="C122" t="s">
        <v>1057</v>
      </c>
      <c r="D122">
        <v>34293.379999999997</v>
      </c>
      <c r="E122">
        <v>4</v>
      </c>
      <c r="F122">
        <f>SUM(Table1_1[[#This Row],[Price (INR)]]*Table1_1[[#This Row],[Quantity Sold]])</f>
        <v>137173.51999999999</v>
      </c>
      <c r="G122">
        <v>137173.51999999999</v>
      </c>
      <c r="H122" s="1">
        <v>45383</v>
      </c>
      <c r="I122" t="s">
        <v>1071</v>
      </c>
      <c r="J122">
        <v>4.4000000000000004</v>
      </c>
      <c r="K122" t="str">
        <f>IF(Table1_1[[#This Row],[Quantity Sold]]&gt;=3,"BULK ORDER","REGULAR ORDER")</f>
        <v>BULK ORDER</v>
      </c>
      <c r="L122" t="str">
        <f>IF(Table1_1[[#This Row],[Customer Rating]]&gt;=4.5,"EXCELLENT",IF(Table1_1[[#This Row],[Customer Rating]]&lt;=4,"GOOD","AVERAGE"))</f>
        <v>AVERAGE</v>
      </c>
    </row>
    <row r="123" spans="1:12" x14ac:dyDescent="0.3">
      <c r="A123" t="s">
        <v>147</v>
      </c>
      <c r="B123" t="s">
        <v>1067</v>
      </c>
      <c r="C123" t="s">
        <v>1048</v>
      </c>
      <c r="D123">
        <v>42715.55</v>
      </c>
      <c r="E123">
        <v>1</v>
      </c>
      <c r="F123">
        <f>SUM(Table1_1[[#This Row],[Price (INR)]]*Table1_1[[#This Row],[Quantity Sold]])</f>
        <v>42715.55</v>
      </c>
      <c r="G123">
        <v>42715.55</v>
      </c>
      <c r="H123" s="1">
        <v>45487</v>
      </c>
      <c r="I123" t="s">
        <v>1068</v>
      </c>
      <c r="J123">
        <v>4.4000000000000004</v>
      </c>
      <c r="K123" t="str">
        <f>IF(Table1_1[[#This Row],[Quantity Sold]]&gt;=3,"BULK ORDER","REGULAR ORDER")</f>
        <v>REGULAR ORDER</v>
      </c>
      <c r="L123" t="str">
        <f>IF(Table1_1[[#This Row],[Customer Rating]]&gt;=4.5,"EXCELLENT",IF(Table1_1[[#This Row],[Customer Rating]]&lt;=4,"GOOD","AVERAGE"))</f>
        <v>AVERAGE</v>
      </c>
    </row>
    <row r="124" spans="1:12" x14ac:dyDescent="0.3">
      <c r="A124" t="s">
        <v>168</v>
      </c>
      <c r="B124" t="s">
        <v>1076</v>
      </c>
      <c r="C124" t="s">
        <v>1055</v>
      </c>
      <c r="D124">
        <v>24500.05</v>
      </c>
      <c r="E124">
        <v>3</v>
      </c>
      <c r="F124">
        <f>SUM(Table1_1[[#This Row],[Price (INR)]]*Table1_1[[#This Row],[Quantity Sold]])</f>
        <v>73500.149999999994</v>
      </c>
      <c r="G124">
        <v>73500.149999999994</v>
      </c>
      <c r="H124" s="1">
        <v>45403</v>
      </c>
      <c r="I124" t="s">
        <v>1068</v>
      </c>
      <c r="J124">
        <v>4.4000000000000004</v>
      </c>
      <c r="K124" t="str">
        <f>IF(Table1_1[[#This Row],[Quantity Sold]]&gt;=3,"BULK ORDER","REGULAR ORDER")</f>
        <v>BULK ORDER</v>
      </c>
      <c r="L124" t="str">
        <f>IF(Table1_1[[#This Row],[Customer Rating]]&gt;=4.5,"EXCELLENT",IF(Table1_1[[#This Row],[Customer Rating]]&lt;=4,"GOOD","AVERAGE"))</f>
        <v>AVERAGE</v>
      </c>
    </row>
    <row r="125" spans="1:12" x14ac:dyDescent="0.3">
      <c r="A125" t="s">
        <v>182</v>
      </c>
      <c r="B125" t="s">
        <v>1052</v>
      </c>
      <c r="C125" t="s">
        <v>1053</v>
      </c>
      <c r="D125">
        <v>32283.58</v>
      </c>
      <c r="E125">
        <v>3</v>
      </c>
      <c r="F125">
        <f>SUM(Table1_1[[#This Row],[Price (INR)]]*Table1_1[[#This Row],[Quantity Sold]])</f>
        <v>96850.74</v>
      </c>
      <c r="G125">
        <v>96850.74</v>
      </c>
      <c r="H125" s="1">
        <v>45659</v>
      </c>
      <c r="I125" t="s">
        <v>42</v>
      </c>
      <c r="J125">
        <v>4.4000000000000004</v>
      </c>
      <c r="K125" t="str">
        <f>IF(Table1_1[[#This Row],[Quantity Sold]]&gt;=3,"BULK ORDER","REGULAR ORDER")</f>
        <v>BULK ORDER</v>
      </c>
      <c r="L125" t="str">
        <f>IF(Table1_1[[#This Row],[Customer Rating]]&gt;=4.5,"EXCELLENT",IF(Table1_1[[#This Row],[Customer Rating]]&lt;=4,"GOOD","AVERAGE"))</f>
        <v>AVERAGE</v>
      </c>
    </row>
    <row r="126" spans="1:12" x14ac:dyDescent="0.3">
      <c r="A126" t="s">
        <v>192</v>
      </c>
      <c r="B126" t="s">
        <v>1054</v>
      </c>
      <c r="C126" t="s">
        <v>1055</v>
      </c>
      <c r="D126">
        <v>33021.1</v>
      </c>
      <c r="E126">
        <v>4</v>
      </c>
      <c r="F126">
        <f>SUM(Table1_1[[#This Row],[Price (INR)]]*Table1_1[[#This Row],[Quantity Sold]])</f>
        <v>132084.4</v>
      </c>
      <c r="G126">
        <v>132084.4</v>
      </c>
      <c r="H126" s="1">
        <v>45525</v>
      </c>
      <c r="I126" t="s">
        <v>1049</v>
      </c>
      <c r="J126">
        <v>4.4000000000000004</v>
      </c>
      <c r="K126" t="str">
        <f>IF(Table1_1[[#This Row],[Quantity Sold]]&gt;=3,"BULK ORDER","REGULAR ORDER")</f>
        <v>BULK ORDER</v>
      </c>
      <c r="L126" t="str">
        <f>IF(Table1_1[[#This Row],[Customer Rating]]&gt;=4.5,"EXCELLENT",IF(Table1_1[[#This Row],[Customer Rating]]&lt;=4,"GOOD","AVERAGE"))</f>
        <v>AVERAGE</v>
      </c>
    </row>
    <row r="127" spans="1:12" x14ac:dyDescent="0.3">
      <c r="A127" t="s">
        <v>213</v>
      </c>
      <c r="B127" t="s">
        <v>1077</v>
      </c>
      <c r="C127" t="s">
        <v>1048</v>
      </c>
      <c r="D127">
        <v>42881.03</v>
      </c>
      <c r="E127">
        <v>3</v>
      </c>
      <c r="F127">
        <f>SUM(Table1_1[[#This Row],[Price (INR)]]*Table1_1[[#This Row],[Quantity Sold]])</f>
        <v>128643.09</v>
      </c>
      <c r="G127">
        <v>128643.09</v>
      </c>
      <c r="H127" s="1">
        <v>45625</v>
      </c>
      <c r="I127" t="s">
        <v>1071</v>
      </c>
      <c r="J127">
        <v>4.4000000000000004</v>
      </c>
      <c r="K127" t="str">
        <f>IF(Table1_1[[#This Row],[Quantity Sold]]&gt;=3,"BULK ORDER","REGULAR ORDER")</f>
        <v>BULK ORDER</v>
      </c>
      <c r="L127" t="str">
        <f>IF(Table1_1[[#This Row],[Customer Rating]]&gt;=4.5,"EXCELLENT",IF(Table1_1[[#This Row],[Customer Rating]]&lt;=4,"GOOD","AVERAGE"))</f>
        <v>AVERAGE</v>
      </c>
    </row>
    <row r="128" spans="1:12" x14ac:dyDescent="0.3">
      <c r="A128" t="s">
        <v>264</v>
      </c>
      <c r="B128" t="s">
        <v>1063</v>
      </c>
      <c r="C128" t="s">
        <v>1055</v>
      </c>
      <c r="D128">
        <v>37578.46</v>
      </c>
      <c r="E128">
        <v>2</v>
      </c>
      <c r="F128">
        <f>SUM(Table1_1[[#This Row],[Price (INR)]]*Table1_1[[#This Row],[Quantity Sold]])</f>
        <v>75156.92</v>
      </c>
      <c r="G128">
        <v>75156.92</v>
      </c>
      <c r="H128" s="1">
        <v>45451</v>
      </c>
      <c r="I128" t="s">
        <v>1071</v>
      </c>
      <c r="J128">
        <v>4.4000000000000004</v>
      </c>
      <c r="K128" t="str">
        <f>IF(Table1_1[[#This Row],[Quantity Sold]]&gt;=3,"BULK ORDER","REGULAR ORDER")</f>
        <v>REGULAR ORDER</v>
      </c>
      <c r="L128" t="str">
        <f>IF(Table1_1[[#This Row],[Customer Rating]]&gt;=4.5,"EXCELLENT",IF(Table1_1[[#This Row],[Customer Rating]]&lt;=4,"GOOD","AVERAGE"))</f>
        <v>AVERAGE</v>
      </c>
    </row>
    <row r="129" spans="1:12" x14ac:dyDescent="0.3">
      <c r="A129" t="s">
        <v>270</v>
      </c>
      <c r="B129" t="s">
        <v>1074</v>
      </c>
      <c r="C129" t="s">
        <v>1055</v>
      </c>
      <c r="D129">
        <v>11518.23</v>
      </c>
      <c r="E129">
        <v>1</v>
      </c>
      <c r="F129">
        <f>SUM(Table1_1[[#This Row],[Price (INR)]]*Table1_1[[#This Row],[Quantity Sold]])</f>
        <v>11518.23</v>
      </c>
      <c r="G129">
        <v>11518.23</v>
      </c>
      <c r="H129" s="1">
        <v>45687</v>
      </c>
      <c r="I129" t="s">
        <v>1049</v>
      </c>
      <c r="J129">
        <v>4.4000000000000004</v>
      </c>
      <c r="K129" t="str">
        <f>IF(Table1_1[[#This Row],[Quantity Sold]]&gt;=3,"BULK ORDER","REGULAR ORDER")</f>
        <v>REGULAR ORDER</v>
      </c>
      <c r="L129" t="str">
        <f>IF(Table1_1[[#This Row],[Customer Rating]]&gt;=4.5,"EXCELLENT",IF(Table1_1[[#This Row],[Customer Rating]]&lt;=4,"GOOD","AVERAGE"))</f>
        <v>AVERAGE</v>
      </c>
    </row>
    <row r="130" spans="1:12" x14ac:dyDescent="0.3">
      <c r="A130" t="s">
        <v>318</v>
      </c>
      <c r="B130" t="s">
        <v>1074</v>
      </c>
      <c r="C130" t="s">
        <v>1055</v>
      </c>
      <c r="D130">
        <v>46388.81</v>
      </c>
      <c r="E130">
        <v>1</v>
      </c>
      <c r="F130">
        <f>SUM(Table1_1[[#This Row],[Price (INR)]]*Table1_1[[#This Row],[Quantity Sold]])</f>
        <v>46388.81</v>
      </c>
      <c r="G130">
        <v>46388.81</v>
      </c>
      <c r="H130" s="1">
        <v>45343</v>
      </c>
      <c r="I130" t="s">
        <v>42</v>
      </c>
      <c r="J130">
        <v>4.4000000000000004</v>
      </c>
      <c r="K130" t="str">
        <f>IF(Table1_1[[#This Row],[Quantity Sold]]&gt;=3,"BULK ORDER","REGULAR ORDER")</f>
        <v>REGULAR ORDER</v>
      </c>
      <c r="L130" t="str">
        <f>IF(Table1_1[[#This Row],[Customer Rating]]&gt;=4.5,"EXCELLENT",IF(Table1_1[[#This Row],[Customer Rating]]&lt;=4,"GOOD","AVERAGE"))</f>
        <v>AVERAGE</v>
      </c>
    </row>
    <row r="131" spans="1:12" x14ac:dyDescent="0.3">
      <c r="A131" t="s">
        <v>320</v>
      </c>
      <c r="B131" t="s">
        <v>1062</v>
      </c>
      <c r="C131" t="s">
        <v>1051</v>
      </c>
      <c r="D131">
        <v>15826.47</v>
      </c>
      <c r="E131">
        <v>2</v>
      </c>
      <c r="F131">
        <f>SUM(Table1_1[[#This Row],[Price (INR)]]*Table1_1[[#This Row],[Quantity Sold]])</f>
        <v>31652.94</v>
      </c>
      <c r="G131">
        <v>31652.94</v>
      </c>
      <c r="H131" s="1">
        <v>45486</v>
      </c>
      <c r="I131" t="s">
        <v>1071</v>
      </c>
      <c r="J131">
        <v>4.4000000000000004</v>
      </c>
      <c r="K131" t="str">
        <f>IF(Table1_1[[#This Row],[Quantity Sold]]&gt;=3,"BULK ORDER","REGULAR ORDER")</f>
        <v>REGULAR ORDER</v>
      </c>
      <c r="L131" t="str">
        <f>IF(Table1_1[[#This Row],[Customer Rating]]&gt;=4.5,"EXCELLENT",IF(Table1_1[[#This Row],[Customer Rating]]&lt;=4,"GOOD","AVERAGE"))</f>
        <v>AVERAGE</v>
      </c>
    </row>
    <row r="132" spans="1:12" x14ac:dyDescent="0.3">
      <c r="A132" t="s">
        <v>341</v>
      </c>
      <c r="B132" t="s">
        <v>1077</v>
      </c>
      <c r="C132" t="s">
        <v>1048</v>
      </c>
      <c r="D132">
        <v>46032.160000000003</v>
      </c>
      <c r="E132">
        <v>5</v>
      </c>
      <c r="F132">
        <f>SUM(Table1_1[[#This Row],[Price (INR)]]*Table1_1[[#This Row],[Quantity Sold]])</f>
        <v>230160.80000000002</v>
      </c>
      <c r="G132">
        <v>230160.8</v>
      </c>
      <c r="H132" s="1">
        <v>45634</v>
      </c>
      <c r="I132" t="s">
        <v>1049</v>
      </c>
      <c r="J132">
        <v>4.4000000000000004</v>
      </c>
      <c r="K132" t="str">
        <f>IF(Table1_1[[#This Row],[Quantity Sold]]&gt;=3,"BULK ORDER","REGULAR ORDER")</f>
        <v>BULK ORDER</v>
      </c>
      <c r="L132" t="str">
        <f>IF(Table1_1[[#This Row],[Customer Rating]]&gt;=4.5,"EXCELLENT",IF(Table1_1[[#This Row],[Customer Rating]]&lt;=4,"GOOD","AVERAGE"))</f>
        <v>AVERAGE</v>
      </c>
    </row>
    <row r="133" spans="1:12" x14ac:dyDescent="0.3">
      <c r="A133" t="s">
        <v>367</v>
      </c>
      <c r="B133" t="s">
        <v>1047</v>
      </c>
      <c r="C133" t="s">
        <v>1048</v>
      </c>
      <c r="D133">
        <v>39842.5</v>
      </c>
      <c r="E133">
        <v>2</v>
      </c>
      <c r="F133">
        <f>SUM(Table1_1[[#This Row],[Price (INR)]]*Table1_1[[#This Row],[Quantity Sold]])</f>
        <v>79685</v>
      </c>
      <c r="G133">
        <v>79685</v>
      </c>
      <c r="H133" s="1">
        <v>45575</v>
      </c>
      <c r="I133" t="s">
        <v>1049</v>
      </c>
      <c r="J133">
        <v>4.4000000000000004</v>
      </c>
      <c r="K133" t="str">
        <f>IF(Table1_1[[#This Row],[Quantity Sold]]&gt;=3,"BULK ORDER","REGULAR ORDER")</f>
        <v>REGULAR ORDER</v>
      </c>
      <c r="L133" t="str">
        <f>IF(Table1_1[[#This Row],[Customer Rating]]&gt;=4.5,"EXCELLENT",IF(Table1_1[[#This Row],[Customer Rating]]&lt;=4,"GOOD","AVERAGE"))</f>
        <v>AVERAGE</v>
      </c>
    </row>
    <row r="134" spans="1:12" x14ac:dyDescent="0.3">
      <c r="A134" t="s">
        <v>379</v>
      </c>
      <c r="B134" t="s">
        <v>1078</v>
      </c>
      <c r="C134" t="s">
        <v>1048</v>
      </c>
      <c r="D134">
        <v>34361.96</v>
      </c>
      <c r="E134">
        <v>5</v>
      </c>
      <c r="F134">
        <f>SUM(Table1_1[[#This Row],[Price (INR)]]*Table1_1[[#This Row],[Quantity Sold]])</f>
        <v>171809.8</v>
      </c>
      <c r="G134">
        <v>171809.8</v>
      </c>
      <c r="H134" s="1">
        <v>45373</v>
      </c>
      <c r="I134" t="s">
        <v>1071</v>
      </c>
      <c r="J134">
        <v>4.4000000000000004</v>
      </c>
      <c r="K134" t="str">
        <f>IF(Table1_1[[#This Row],[Quantity Sold]]&gt;=3,"BULK ORDER","REGULAR ORDER")</f>
        <v>BULK ORDER</v>
      </c>
      <c r="L134" t="str">
        <f>IF(Table1_1[[#This Row],[Customer Rating]]&gt;=4.5,"EXCELLENT",IF(Table1_1[[#This Row],[Customer Rating]]&lt;=4,"GOOD","AVERAGE"))</f>
        <v>AVERAGE</v>
      </c>
    </row>
    <row r="135" spans="1:12" x14ac:dyDescent="0.3">
      <c r="A135" t="s">
        <v>386</v>
      </c>
      <c r="B135" t="s">
        <v>1079</v>
      </c>
      <c r="C135" t="s">
        <v>1057</v>
      </c>
      <c r="D135">
        <v>15648.85</v>
      </c>
      <c r="E135">
        <v>2</v>
      </c>
      <c r="F135">
        <f>SUM(Table1_1[[#This Row],[Price (INR)]]*Table1_1[[#This Row],[Quantity Sold]])</f>
        <v>31297.7</v>
      </c>
      <c r="G135">
        <v>31297.7</v>
      </c>
      <c r="H135" s="1">
        <v>45691</v>
      </c>
      <c r="I135" t="s">
        <v>1068</v>
      </c>
      <c r="J135">
        <v>4.4000000000000004</v>
      </c>
      <c r="K135" t="str">
        <f>IF(Table1_1[[#This Row],[Quantity Sold]]&gt;=3,"BULK ORDER","REGULAR ORDER")</f>
        <v>REGULAR ORDER</v>
      </c>
      <c r="L135" t="str">
        <f>IF(Table1_1[[#This Row],[Customer Rating]]&gt;=4.5,"EXCELLENT",IF(Table1_1[[#This Row],[Customer Rating]]&lt;=4,"GOOD","AVERAGE"))</f>
        <v>AVERAGE</v>
      </c>
    </row>
    <row r="136" spans="1:12" x14ac:dyDescent="0.3">
      <c r="A136" t="s">
        <v>423</v>
      </c>
      <c r="B136" t="s">
        <v>1060</v>
      </c>
      <c r="C136" t="s">
        <v>1051</v>
      </c>
      <c r="D136">
        <v>29310.76</v>
      </c>
      <c r="E136">
        <v>4</v>
      </c>
      <c r="F136">
        <f>SUM(Table1_1[[#This Row],[Price (INR)]]*Table1_1[[#This Row],[Quantity Sold]])</f>
        <v>117243.04</v>
      </c>
      <c r="G136">
        <v>117243.04</v>
      </c>
      <c r="H136" s="1">
        <v>45476</v>
      </c>
      <c r="I136" t="s">
        <v>1059</v>
      </c>
      <c r="J136">
        <v>4.4000000000000004</v>
      </c>
      <c r="K136" t="str">
        <f>IF(Table1_1[[#This Row],[Quantity Sold]]&gt;=3,"BULK ORDER","REGULAR ORDER")</f>
        <v>BULK ORDER</v>
      </c>
      <c r="L136" t="str">
        <f>IF(Table1_1[[#This Row],[Customer Rating]]&gt;=4.5,"EXCELLENT",IF(Table1_1[[#This Row],[Customer Rating]]&lt;=4,"GOOD","AVERAGE"))</f>
        <v>AVERAGE</v>
      </c>
    </row>
    <row r="137" spans="1:12" x14ac:dyDescent="0.3">
      <c r="A137" t="s">
        <v>449</v>
      </c>
      <c r="B137" t="s">
        <v>1060</v>
      </c>
      <c r="C137" t="s">
        <v>1051</v>
      </c>
      <c r="D137">
        <v>30156.36</v>
      </c>
      <c r="E137">
        <v>5</v>
      </c>
      <c r="F137">
        <f>SUM(Table1_1[[#This Row],[Price (INR)]]*Table1_1[[#This Row],[Quantity Sold]])</f>
        <v>150781.79999999999</v>
      </c>
      <c r="G137">
        <v>150781.79999999999</v>
      </c>
      <c r="H137" s="1">
        <v>45663</v>
      </c>
      <c r="I137" t="s">
        <v>16</v>
      </c>
      <c r="J137">
        <v>4.4000000000000004</v>
      </c>
      <c r="K137" t="str">
        <f>IF(Table1_1[[#This Row],[Quantity Sold]]&gt;=3,"BULK ORDER","REGULAR ORDER")</f>
        <v>BULK ORDER</v>
      </c>
      <c r="L137" t="str">
        <f>IF(Table1_1[[#This Row],[Customer Rating]]&gt;=4.5,"EXCELLENT",IF(Table1_1[[#This Row],[Customer Rating]]&lt;=4,"GOOD","AVERAGE"))</f>
        <v>AVERAGE</v>
      </c>
    </row>
    <row r="138" spans="1:12" x14ac:dyDescent="0.3">
      <c r="A138" t="s">
        <v>482</v>
      </c>
      <c r="B138" t="s">
        <v>1075</v>
      </c>
      <c r="C138" t="s">
        <v>1053</v>
      </c>
      <c r="D138">
        <v>4986.8999999999996</v>
      </c>
      <c r="E138">
        <v>1</v>
      </c>
      <c r="F138">
        <f>SUM(Table1_1[[#This Row],[Price (INR)]]*Table1_1[[#This Row],[Quantity Sold]])</f>
        <v>4986.8999999999996</v>
      </c>
      <c r="G138">
        <v>4986.8999999999996</v>
      </c>
      <c r="H138" s="1">
        <v>45649</v>
      </c>
      <c r="I138" t="s">
        <v>42</v>
      </c>
      <c r="J138">
        <v>4.4000000000000004</v>
      </c>
      <c r="K138" t="str">
        <f>IF(Table1_1[[#This Row],[Quantity Sold]]&gt;=3,"BULK ORDER","REGULAR ORDER")</f>
        <v>REGULAR ORDER</v>
      </c>
      <c r="L138" t="str">
        <f>IF(Table1_1[[#This Row],[Customer Rating]]&gt;=4.5,"EXCELLENT",IF(Table1_1[[#This Row],[Customer Rating]]&lt;=4,"GOOD","AVERAGE"))</f>
        <v>AVERAGE</v>
      </c>
    </row>
    <row r="139" spans="1:12" x14ac:dyDescent="0.3">
      <c r="A139" t="s">
        <v>509</v>
      </c>
      <c r="B139" t="s">
        <v>1063</v>
      </c>
      <c r="C139" t="s">
        <v>1055</v>
      </c>
      <c r="D139">
        <v>43431.64</v>
      </c>
      <c r="E139">
        <v>5</v>
      </c>
      <c r="F139">
        <f>SUM(Table1_1[[#This Row],[Price (INR)]]*Table1_1[[#This Row],[Quantity Sold]])</f>
        <v>217158.2</v>
      </c>
      <c r="G139">
        <v>217158.2</v>
      </c>
      <c r="H139" s="1">
        <v>45463</v>
      </c>
      <c r="I139" t="s">
        <v>1068</v>
      </c>
      <c r="J139">
        <v>4.4000000000000004</v>
      </c>
      <c r="K139" t="str">
        <f>IF(Table1_1[[#This Row],[Quantity Sold]]&gt;=3,"BULK ORDER","REGULAR ORDER")</f>
        <v>BULK ORDER</v>
      </c>
      <c r="L139" t="str">
        <f>IF(Table1_1[[#This Row],[Customer Rating]]&gt;=4.5,"EXCELLENT",IF(Table1_1[[#This Row],[Customer Rating]]&lt;=4,"GOOD","AVERAGE"))</f>
        <v>AVERAGE</v>
      </c>
    </row>
    <row r="140" spans="1:12" x14ac:dyDescent="0.3">
      <c r="A140" t="s">
        <v>564</v>
      </c>
      <c r="B140" t="s">
        <v>1066</v>
      </c>
      <c r="C140" t="s">
        <v>1055</v>
      </c>
      <c r="D140">
        <v>37082.11</v>
      </c>
      <c r="E140">
        <v>1</v>
      </c>
      <c r="F140">
        <f>SUM(Table1_1[[#This Row],[Price (INR)]]*Table1_1[[#This Row],[Quantity Sold]])</f>
        <v>37082.11</v>
      </c>
      <c r="G140">
        <v>37082.11</v>
      </c>
      <c r="H140" s="1">
        <v>45455</v>
      </c>
      <c r="I140" t="s">
        <v>16</v>
      </c>
      <c r="J140">
        <v>4.4000000000000004</v>
      </c>
      <c r="K140" t="str">
        <f>IF(Table1_1[[#This Row],[Quantity Sold]]&gt;=3,"BULK ORDER","REGULAR ORDER")</f>
        <v>REGULAR ORDER</v>
      </c>
      <c r="L140" t="str">
        <f>IF(Table1_1[[#This Row],[Customer Rating]]&gt;=4.5,"EXCELLENT",IF(Table1_1[[#This Row],[Customer Rating]]&lt;=4,"GOOD","AVERAGE"))</f>
        <v>AVERAGE</v>
      </c>
    </row>
    <row r="141" spans="1:12" x14ac:dyDescent="0.3">
      <c r="A141" t="s">
        <v>581</v>
      </c>
      <c r="B141" t="s">
        <v>1047</v>
      </c>
      <c r="C141" t="s">
        <v>1048</v>
      </c>
      <c r="D141">
        <v>492.53</v>
      </c>
      <c r="E141">
        <v>1</v>
      </c>
      <c r="F141">
        <f>SUM(Table1_1[[#This Row],[Price (INR)]]*Table1_1[[#This Row],[Quantity Sold]])</f>
        <v>492.53</v>
      </c>
      <c r="G141">
        <v>492.53</v>
      </c>
      <c r="H141" s="1">
        <v>45397</v>
      </c>
      <c r="I141" t="s">
        <v>1068</v>
      </c>
      <c r="J141">
        <v>4.4000000000000004</v>
      </c>
      <c r="K141" t="str">
        <f>IF(Table1_1[[#This Row],[Quantity Sold]]&gt;=3,"BULK ORDER","REGULAR ORDER")</f>
        <v>REGULAR ORDER</v>
      </c>
      <c r="L141" t="str">
        <f>IF(Table1_1[[#This Row],[Customer Rating]]&gt;=4.5,"EXCELLENT",IF(Table1_1[[#This Row],[Customer Rating]]&lt;=4,"GOOD","AVERAGE"))</f>
        <v>AVERAGE</v>
      </c>
    </row>
    <row r="142" spans="1:12" x14ac:dyDescent="0.3">
      <c r="A142" t="s">
        <v>605</v>
      </c>
      <c r="B142" t="s">
        <v>1056</v>
      </c>
      <c r="C142" t="s">
        <v>1057</v>
      </c>
      <c r="D142">
        <v>6341.62</v>
      </c>
      <c r="E142">
        <v>3</v>
      </c>
      <c r="F142">
        <f>SUM(Table1_1[[#This Row],[Price (INR)]]*Table1_1[[#This Row],[Quantity Sold]])</f>
        <v>19024.86</v>
      </c>
      <c r="G142">
        <v>19024.86</v>
      </c>
      <c r="H142" s="1">
        <v>45632</v>
      </c>
      <c r="I142" t="s">
        <v>1068</v>
      </c>
      <c r="J142">
        <v>4.4000000000000004</v>
      </c>
      <c r="K142" t="str">
        <f>IF(Table1_1[[#This Row],[Quantity Sold]]&gt;=3,"BULK ORDER","REGULAR ORDER")</f>
        <v>BULK ORDER</v>
      </c>
      <c r="L142" t="str">
        <f>IF(Table1_1[[#This Row],[Customer Rating]]&gt;=4.5,"EXCELLENT",IF(Table1_1[[#This Row],[Customer Rating]]&lt;=4,"GOOD","AVERAGE"))</f>
        <v>AVERAGE</v>
      </c>
    </row>
    <row r="143" spans="1:12" x14ac:dyDescent="0.3">
      <c r="A143" t="s">
        <v>672</v>
      </c>
      <c r="B143" t="s">
        <v>1065</v>
      </c>
      <c r="C143" t="s">
        <v>1053</v>
      </c>
      <c r="D143">
        <v>3153.16</v>
      </c>
      <c r="E143">
        <v>2</v>
      </c>
      <c r="F143">
        <f>SUM(Table1_1[[#This Row],[Price (INR)]]*Table1_1[[#This Row],[Quantity Sold]])</f>
        <v>6306.32</v>
      </c>
      <c r="G143">
        <v>6306.32</v>
      </c>
      <c r="H143" s="1">
        <v>45531</v>
      </c>
      <c r="I143" t="s">
        <v>1071</v>
      </c>
      <c r="J143">
        <v>4.4000000000000004</v>
      </c>
      <c r="K143" t="str">
        <f>IF(Table1_1[[#This Row],[Quantity Sold]]&gt;=3,"BULK ORDER","REGULAR ORDER")</f>
        <v>REGULAR ORDER</v>
      </c>
      <c r="L143" t="str">
        <f>IF(Table1_1[[#This Row],[Customer Rating]]&gt;=4.5,"EXCELLENT",IF(Table1_1[[#This Row],[Customer Rating]]&lt;=4,"GOOD","AVERAGE"))</f>
        <v>AVERAGE</v>
      </c>
    </row>
    <row r="144" spans="1:12" x14ac:dyDescent="0.3">
      <c r="A144" t="s">
        <v>686</v>
      </c>
      <c r="B144" t="s">
        <v>1073</v>
      </c>
      <c r="C144" t="s">
        <v>1053</v>
      </c>
      <c r="D144">
        <v>28379.75</v>
      </c>
      <c r="E144">
        <v>5</v>
      </c>
      <c r="F144">
        <f>SUM(Table1_1[[#This Row],[Price (INR)]]*Table1_1[[#This Row],[Quantity Sold]])</f>
        <v>141898.75</v>
      </c>
      <c r="G144">
        <v>141898.75</v>
      </c>
      <c r="H144" s="1">
        <v>45629</v>
      </c>
      <c r="I144" t="s">
        <v>42</v>
      </c>
      <c r="J144">
        <v>4.4000000000000004</v>
      </c>
      <c r="K144" t="str">
        <f>IF(Table1_1[[#This Row],[Quantity Sold]]&gt;=3,"BULK ORDER","REGULAR ORDER")</f>
        <v>BULK ORDER</v>
      </c>
      <c r="L144" t="str">
        <f>IF(Table1_1[[#This Row],[Customer Rating]]&gt;=4.5,"EXCELLENT",IF(Table1_1[[#This Row],[Customer Rating]]&lt;=4,"GOOD","AVERAGE"))</f>
        <v>AVERAGE</v>
      </c>
    </row>
    <row r="145" spans="1:12" x14ac:dyDescent="0.3">
      <c r="A145" t="s">
        <v>730</v>
      </c>
      <c r="B145" t="s">
        <v>1076</v>
      </c>
      <c r="C145" t="s">
        <v>1055</v>
      </c>
      <c r="D145">
        <v>14359.73</v>
      </c>
      <c r="E145">
        <v>2</v>
      </c>
      <c r="F145">
        <f>SUM(Table1_1[[#This Row],[Price (INR)]]*Table1_1[[#This Row],[Quantity Sold]])</f>
        <v>28719.46</v>
      </c>
      <c r="G145">
        <v>28719.46</v>
      </c>
      <c r="H145" s="1">
        <v>45465</v>
      </c>
      <c r="I145" t="s">
        <v>16</v>
      </c>
      <c r="J145">
        <v>4.4000000000000004</v>
      </c>
      <c r="K145" t="str">
        <f>IF(Table1_1[[#This Row],[Quantity Sold]]&gt;=3,"BULK ORDER","REGULAR ORDER")</f>
        <v>REGULAR ORDER</v>
      </c>
      <c r="L145" t="str">
        <f>IF(Table1_1[[#This Row],[Customer Rating]]&gt;=4.5,"EXCELLENT",IF(Table1_1[[#This Row],[Customer Rating]]&lt;=4,"GOOD","AVERAGE"))</f>
        <v>AVERAGE</v>
      </c>
    </row>
    <row r="146" spans="1:12" x14ac:dyDescent="0.3">
      <c r="A146" t="s">
        <v>787</v>
      </c>
      <c r="B146" t="s">
        <v>1079</v>
      </c>
      <c r="C146" t="s">
        <v>1057</v>
      </c>
      <c r="D146">
        <v>34821.93</v>
      </c>
      <c r="E146">
        <v>3</v>
      </c>
      <c r="F146">
        <f>SUM(Table1_1[[#This Row],[Price (INR)]]*Table1_1[[#This Row],[Quantity Sold]])</f>
        <v>104465.79000000001</v>
      </c>
      <c r="G146">
        <v>104465.79</v>
      </c>
      <c r="H146" s="1">
        <v>45585</v>
      </c>
      <c r="I146" t="s">
        <v>1068</v>
      </c>
      <c r="J146">
        <v>4.4000000000000004</v>
      </c>
      <c r="K146" t="str">
        <f>IF(Table1_1[[#This Row],[Quantity Sold]]&gt;=3,"BULK ORDER","REGULAR ORDER")</f>
        <v>BULK ORDER</v>
      </c>
      <c r="L146" t="str">
        <f>IF(Table1_1[[#This Row],[Customer Rating]]&gt;=4.5,"EXCELLENT",IF(Table1_1[[#This Row],[Customer Rating]]&lt;=4,"GOOD","AVERAGE"))</f>
        <v>AVERAGE</v>
      </c>
    </row>
    <row r="147" spans="1:12" x14ac:dyDescent="0.3">
      <c r="A147" t="s">
        <v>878</v>
      </c>
      <c r="B147" t="s">
        <v>1052</v>
      </c>
      <c r="C147" t="s">
        <v>1053</v>
      </c>
      <c r="D147">
        <v>44918.35</v>
      </c>
      <c r="E147">
        <v>5</v>
      </c>
      <c r="F147">
        <f>SUM(Table1_1[[#This Row],[Price (INR)]]*Table1_1[[#This Row],[Quantity Sold]])</f>
        <v>224591.75</v>
      </c>
      <c r="G147">
        <v>224591.75</v>
      </c>
      <c r="H147" s="1">
        <v>45496</v>
      </c>
      <c r="I147" t="s">
        <v>1059</v>
      </c>
      <c r="J147">
        <v>4.4000000000000004</v>
      </c>
      <c r="K147" t="str">
        <f>IF(Table1_1[[#This Row],[Quantity Sold]]&gt;=3,"BULK ORDER","REGULAR ORDER")</f>
        <v>BULK ORDER</v>
      </c>
      <c r="L147" t="str">
        <f>IF(Table1_1[[#This Row],[Customer Rating]]&gt;=4.5,"EXCELLENT",IF(Table1_1[[#This Row],[Customer Rating]]&lt;=4,"GOOD","AVERAGE"))</f>
        <v>AVERAGE</v>
      </c>
    </row>
    <row r="148" spans="1:12" x14ac:dyDescent="0.3">
      <c r="A148" t="s">
        <v>892</v>
      </c>
      <c r="B148" t="s">
        <v>1070</v>
      </c>
      <c r="C148" t="s">
        <v>1051</v>
      </c>
      <c r="D148">
        <v>18461.509999999998</v>
      </c>
      <c r="E148">
        <v>3</v>
      </c>
      <c r="F148">
        <f>SUM(Table1_1[[#This Row],[Price (INR)]]*Table1_1[[#This Row],[Quantity Sold]])</f>
        <v>55384.53</v>
      </c>
      <c r="G148">
        <v>55384.53</v>
      </c>
      <c r="H148" s="1">
        <v>45549</v>
      </c>
      <c r="I148" t="s">
        <v>42</v>
      </c>
      <c r="J148">
        <v>4.4000000000000004</v>
      </c>
      <c r="K148" t="str">
        <f>IF(Table1_1[[#This Row],[Quantity Sold]]&gt;=3,"BULK ORDER","REGULAR ORDER")</f>
        <v>BULK ORDER</v>
      </c>
      <c r="L148" t="str">
        <f>IF(Table1_1[[#This Row],[Customer Rating]]&gt;=4.5,"EXCELLENT",IF(Table1_1[[#This Row],[Customer Rating]]&lt;=4,"GOOD","AVERAGE"))</f>
        <v>AVERAGE</v>
      </c>
    </row>
    <row r="149" spans="1:12" x14ac:dyDescent="0.3">
      <c r="A149" t="s">
        <v>923</v>
      </c>
      <c r="B149" t="s">
        <v>1078</v>
      </c>
      <c r="C149" t="s">
        <v>1048</v>
      </c>
      <c r="D149">
        <v>7465.89</v>
      </c>
      <c r="E149">
        <v>5</v>
      </c>
      <c r="F149">
        <f>SUM(Table1_1[[#This Row],[Price (INR)]]*Table1_1[[#This Row],[Quantity Sold]])</f>
        <v>37329.450000000004</v>
      </c>
      <c r="G149">
        <v>37329.449999999997</v>
      </c>
      <c r="H149" s="1">
        <v>45379</v>
      </c>
      <c r="I149" t="s">
        <v>1049</v>
      </c>
      <c r="J149">
        <v>4.4000000000000004</v>
      </c>
      <c r="K149" t="str">
        <f>IF(Table1_1[[#This Row],[Quantity Sold]]&gt;=3,"BULK ORDER","REGULAR ORDER")</f>
        <v>BULK ORDER</v>
      </c>
      <c r="L149" t="str">
        <f>IF(Table1_1[[#This Row],[Customer Rating]]&gt;=4.5,"EXCELLENT",IF(Table1_1[[#This Row],[Customer Rating]]&lt;=4,"GOOD","AVERAGE"))</f>
        <v>AVERAGE</v>
      </c>
    </row>
    <row r="150" spans="1:12" x14ac:dyDescent="0.3">
      <c r="A150" t="s">
        <v>934</v>
      </c>
      <c r="B150" t="s">
        <v>1073</v>
      </c>
      <c r="C150" t="s">
        <v>1053</v>
      </c>
      <c r="D150">
        <v>35879.79</v>
      </c>
      <c r="E150">
        <v>4</v>
      </c>
      <c r="F150">
        <f>SUM(Table1_1[[#This Row],[Price (INR)]]*Table1_1[[#This Row],[Quantity Sold]])</f>
        <v>143519.16</v>
      </c>
      <c r="G150">
        <v>143519.16</v>
      </c>
      <c r="H150" s="1">
        <v>45353</v>
      </c>
      <c r="I150" t="s">
        <v>16</v>
      </c>
      <c r="J150">
        <v>4.4000000000000004</v>
      </c>
      <c r="K150" t="str">
        <f>IF(Table1_1[[#This Row],[Quantity Sold]]&gt;=3,"BULK ORDER","REGULAR ORDER")</f>
        <v>BULK ORDER</v>
      </c>
      <c r="L150" t="str">
        <f>IF(Table1_1[[#This Row],[Customer Rating]]&gt;=4.5,"EXCELLENT",IF(Table1_1[[#This Row],[Customer Rating]]&lt;=4,"GOOD","AVERAGE"))</f>
        <v>AVERAGE</v>
      </c>
    </row>
    <row r="151" spans="1:12" x14ac:dyDescent="0.3">
      <c r="A151" t="s">
        <v>974</v>
      </c>
      <c r="B151" t="s">
        <v>1067</v>
      </c>
      <c r="C151" t="s">
        <v>1048</v>
      </c>
      <c r="D151">
        <v>42170.48</v>
      </c>
      <c r="E151">
        <v>1</v>
      </c>
      <c r="F151">
        <f>SUM(Table1_1[[#This Row],[Price (INR)]]*Table1_1[[#This Row],[Quantity Sold]])</f>
        <v>42170.48</v>
      </c>
      <c r="G151">
        <v>42170.48</v>
      </c>
      <c r="H151" s="1">
        <v>45594</v>
      </c>
      <c r="I151" t="s">
        <v>16</v>
      </c>
      <c r="J151">
        <v>4.4000000000000004</v>
      </c>
      <c r="K151" t="str">
        <f>IF(Table1_1[[#This Row],[Quantity Sold]]&gt;=3,"BULK ORDER","REGULAR ORDER")</f>
        <v>REGULAR ORDER</v>
      </c>
      <c r="L151" t="str">
        <f>IF(Table1_1[[#This Row],[Customer Rating]]&gt;=4.5,"EXCELLENT",IF(Table1_1[[#This Row],[Customer Rating]]&lt;=4,"GOOD","AVERAGE"))</f>
        <v>AVERAGE</v>
      </c>
    </row>
    <row r="152" spans="1:12" x14ac:dyDescent="0.3">
      <c r="A152" t="s">
        <v>57</v>
      </c>
      <c r="B152" t="s">
        <v>1050</v>
      </c>
      <c r="C152" t="s">
        <v>1051</v>
      </c>
      <c r="D152">
        <v>37129.730000000003</v>
      </c>
      <c r="E152">
        <v>3</v>
      </c>
      <c r="F152">
        <f>SUM(Table1_1[[#This Row],[Price (INR)]]*Table1_1[[#This Row],[Quantity Sold]])</f>
        <v>111389.19</v>
      </c>
      <c r="G152">
        <v>111389.19</v>
      </c>
      <c r="H152" s="1">
        <v>45679</v>
      </c>
      <c r="I152" t="s">
        <v>1059</v>
      </c>
      <c r="J152">
        <v>4.3</v>
      </c>
      <c r="K152" t="str">
        <f>IF(Table1_1[[#This Row],[Quantity Sold]]&gt;=3,"BULK ORDER","REGULAR ORDER")</f>
        <v>BULK ORDER</v>
      </c>
      <c r="L152" t="str">
        <f>IF(Table1_1[[#This Row],[Customer Rating]]&gt;=4.5,"EXCELLENT",IF(Table1_1[[#This Row],[Customer Rating]]&lt;=4,"GOOD","AVERAGE"))</f>
        <v>AVERAGE</v>
      </c>
    </row>
    <row r="153" spans="1:12" x14ac:dyDescent="0.3">
      <c r="A153" t="s">
        <v>149</v>
      </c>
      <c r="B153" t="s">
        <v>1047</v>
      </c>
      <c r="C153" t="s">
        <v>1048</v>
      </c>
      <c r="D153">
        <v>22555.21</v>
      </c>
      <c r="E153">
        <v>2</v>
      </c>
      <c r="F153">
        <f>SUM(Table1_1[[#This Row],[Price (INR)]]*Table1_1[[#This Row],[Quantity Sold]])</f>
        <v>45110.42</v>
      </c>
      <c r="G153">
        <v>45110.42</v>
      </c>
      <c r="H153" s="1">
        <v>45422</v>
      </c>
      <c r="I153" t="s">
        <v>16</v>
      </c>
      <c r="J153">
        <v>4.3</v>
      </c>
      <c r="K153" t="str">
        <f>IF(Table1_1[[#This Row],[Quantity Sold]]&gt;=3,"BULK ORDER","REGULAR ORDER")</f>
        <v>REGULAR ORDER</v>
      </c>
      <c r="L153" t="str">
        <f>IF(Table1_1[[#This Row],[Customer Rating]]&gt;=4.5,"EXCELLENT",IF(Table1_1[[#This Row],[Customer Rating]]&lt;=4,"GOOD","AVERAGE"))</f>
        <v>AVERAGE</v>
      </c>
    </row>
    <row r="154" spans="1:12" x14ac:dyDescent="0.3">
      <c r="A154" t="s">
        <v>185</v>
      </c>
      <c r="B154" t="s">
        <v>1063</v>
      </c>
      <c r="C154" t="s">
        <v>1055</v>
      </c>
      <c r="D154">
        <v>2273.0100000000002</v>
      </c>
      <c r="E154">
        <v>2</v>
      </c>
      <c r="F154">
        <f>SUM(Table1_1[[#This Row],[Price (INR)]]*Table1_1[[#This Row],[Quantity Sold]])</f>
        <v>4546.0200000000004</v>
      </c>
      <c r="G154">
        <v>4546.0200000000004</v>
      </c>
      <c r="H154" s="1">
        <v>45658</v>
      </c>
      <c r="I154" t="s">
        <v>16</v>
      </c>
      <c r="J154">
        <v>4.3</v>
      </c>
      <c r="K154" t="str">
        <f>IF(Table1_1[[#This Row],[Quantity Sold]]&gt;=3,"BULK ORDER","REGULAR ORDER")</f>
        <v>REGULAR ORDER</v>
      </c>
      <c r="L154" t="str">
        <f>IF(Table1_1[[#This Row],[Customer Rating]]&gt;=4.5,"EXCELLENT",IF(Table1_1[[#This Row],[Customer Rating]]&lt;=4,"GOOD","AVERAGE"))</f>
        <v>AVERAGE</v>
      </c>
    </row>
    <row r="155" spans="1:12" x14ac:dyDescent="0.3">
      <c r="A155" t="s">
        <v>197</v>
      </c>
      <c r="B155" t="s">
        <v>1050</v>
      </c>
      <c r="C155" t="s">
        <v>1051</v>
      </c>
      <c r="D155">
        <v>10059.450000000001</v>
      </c>
      <c r="E155">
        <v>5</v>
      </c>
      <c r="F155">
        <f>SUM(Table1_1[[#This Row],[Price (INR)]]*Table1_1[[#This Row],[Quantity Sold]])</f>
        <v>50297.25</v>
      </c>
      <c r="G155">
        <v>50297.25</v>
      </c>
      <c r="H155" s="1">
        <v>45374</v>
      </c>
      <c r="I155" t="s">
        <v>42</v>
      </c>
      <c r="J155">
        <v>4.3</v>
      </c>
      <c r="K155" t="str">
        <f>IF(Table1_1[[#This Row],[Quantity Sold]]&gt;=3,"BULK ORDER","REGULAR ORDER")</f>
        <v>BULK ORDER</v>
      </c>
      <c r="L155" t="str">
        <f>IF(Table1_1[[#This Row],[Customer Rating]]&gt;=4.5,"EXCELLENT",IF(Table1_1[[#This Row],[Customer Rating]]&lt;=4,"GOOD","AVERAGE"))</f>
        <v>AVERAGE</v>
      </c>
    </row>
    <row r="156" spans="1:12" x14ac:dyDescent="0.3">
      <c r="A156" t="s">
        <v>198</v>
      </c>
      <c r="B156" t="s">
        <v>1064</v>
      </c>
      <c r="C156" t="s">
        <v>1053</v>
      </c>
      <c r="D156">
        <v>4820.8</v>
      </c>
      <c r="E156">
        <v>1</v>
      </c>
      <c r="F156">
        <f>SUM(Table1_1[[#This Row],[Price (INR)]]*Table1_1[[#This Row],[Quantity Sold]])</f>
        <v>4820.8</v>
      </c>
      <c r="G156">
        <v>4820.8</v>
      </c>
      <c r="H156" s="1">
        <v>45636</v>
      </c>
      <c r="I156" t="s">
        <v>1059</v>
      </c>
      <c r="J156">
        <v>4.3</v>
      </c>
      <c r="K156" t="str">
        <f>IF(Table1_1[[#This Row],[Quantity Sold]]&gt;=3,"BULK ORDER","REGULAR ORDER")</f>
        <v>REGULAR ORDER</v>
      </c>
      <c r="L156" t="str">
        <f>IF(Table1_1[[#This Row],[Customer Rating]]&gt;=4.5,"EXCELLENT",IF(Table1_1[[#This Row],[Customer Rating]]&lt;=4,"GOOD","AVERAGE"))</f>
        <v>AVERAGE</v>
      </c>
    </row>
    <row r="157" spans="1:12" x14ac:dyDescent="0.3">
      <c r="A157" t="s">
        <v>220</v>
      </c>
      <c r="B157" t="s">
        <v>1074</v>
      </c>
      <c r="C157" t="s">
        <v>1055</v>
      </c>
      <c r="D157">
        <v>32016.11</v>
      </c>
      <c r="E157">
        <v>5</v>
      </c>
      <c r="F157">
        <f>SUM(Table1_1[[#This Row],[Price (INR)]]*Table1_1[[#This Row],[Quantity Sold]])</f>
        <v>160080.54999999999</v>
      </c>
      <c r="G157">
        <v>160080.54999999999</v>
      </c>
      <c r="H157" s="1">
        <v>45562</v>
      </c>
      <c r="I157" t="s">
        <v>1049</v>
      </c>
      <c r="J157">
        <v>4.3</v>
      </c>
      <c r="K157" t="str">
        <f>IF(Table1_1[[#This Row],[Quantity Sold]]&gt;=3,"BULK ORDER","REGULAR ORDER")</f>
        <v>BULK ORDER</v>
      </c>
      <c r="L157" t="str">
        <f>IF(Table1_1[[#This Row],[Customer Rating]]&gt;=4.5,"EXCELLENT",IF(Table1_1[[#This Row],[Customer Rating]]&lt;=4,"GOOD","AVERAGE"))</f>
        <v>AVERAGE</v>
      </c>
    </row>
    <row r="158" spans="1:12" x14ac:dyDescent="0.3">
      <c r="A158" t="s">
        <v>282</v>
      </c>
      <c r="B158" t="s">
        <v>1079</v>
      </c>
      <c r="C158" t="s">
        <v>1057</v>
      </c>
      <c r="D158">
        <v>33250.699999999997</v>
      </c>
      <c r="E158">
        <v>5</v>
      </c>
      <c r="F158">
        <f>SUM(Table1_1[[#This Row],[Price (INR)]]*Table1_1[[#This Row],[Quantity Sold]])</f>
        <v>166253.5</v>
      </c>
      <c r="G158">
        <v>166253.5</v>
      </c>
      <c r="H158" s="1">
        <v>45584</v>
      </c>
      <c r="I158" t="s">
        <v>1059</v>
      </c>
      <c r="J158">
        <v>4.3</v>
      </c>
      <c r="K158" t="str">
        <f>IF(Table1_1[[#This Row],[Quantity Sold]]&gt;=3,"BULK ORDER","REGULAR ORDER")</f>
        <v>BULK ORDER</v>
      </c>
      <c r="L158" t="str">
        <f>IF(Table1_1[[#This Row],[Customer Rating]]&gt;=4.5,"EXCELLENT",IF(Table1_1[[#This Row],[Customer Rating]]&lt;=4,"GOOD","AVERAGE"))</f>
        <v>AVERAGE</v>
      </c>
    </row>
    <row r="159" spans="1:12" x14ac:dyDescent="0.3">
      <c r="A159" t="s">
        <v>293</v>
      </c>
      <c r="B159" t="s">
        <v>1047</v>
      </c>
      <c r="C159" t="s">
        <v>1048</v>
      </c>
      <c r="D159">
        <v>1483.5</v>
      </c>
      <c r="E159">
        <v>5</v>
      </c>
      <c r="F159">
        <f>SUM(Table1_1[[#This Row],[Price (INR)]]*Table1_1[[#This Row],[Quantity Sold]])</f>
        <v>7417.5</v>
      </c>
      <c r="G159">
        <v>7417.5</v>
      </c>
      <c r="H159" s="1">
        <v>45600</v>
      </c>
      <c r="I159" t="s">
        <v>1049</v>
      </c>
      <c r="J159">
        <v>4.3</v>
      </c>
      <c r="K159" t="str">
        <f>IF(Table1_1[[#This Row],[Quantity Sold]]&gt;=3,"BULK ORDER","REGULAR ORDER")</f>
        <v>BULK ORDER</v>
      </c>
      <c r="L159" t="str">
        <f>IF(Table1_1[[#This Row],[Customer Rating]]&gt;=4.5,"EXCELLENT",IF(Table1_1[[#This Row],[Customer Rating]]&lt;=4,"GOOD","AVERAGE"))</f>
        <v>AVERAGE</v>
      </c>
    </row>
    <row r="160" spans="1:12" x14ac:dyDescent="0.3">
      <c r="A160" t="s">
        <v>377</v>
      </c>
      <c r="B160" t="s">
        <v>1054</v>
      </c>
      <c r="C160" t="s">
        <v>1055</v>
      </c>
      <c r="D160">
        <v>16790.46</v>
      </c>
      <c r="E160">
        <v>5</v>
      </c>
      <c r="F160">
        <f>SUM(Table1_1[[#This Row],[Price (INR)]]*Table1_1[[#This Row],[Quantity Sold]])</f>
        <v>83952.299999999988</v>
      </c>
      <c r="G160">
        <v>83952.3</v>
      </c>
      <c r="H160" s="1">
        <v>45531</v>
      </c>
      <c r="I160" t="s">
        <v>1071</v>
      </c>
      <c r="J160">
        <v>4.3</v>
      </c>
      <c r="K160" t="str">
        <f>IF(Table1_1[[#This Row],[Quantity Sold]]&gt;=3,"BULK ORDER","REGULAR ORDER")</f>
        <v>BULK ORDER</v>
      </c>
      <c r="L160" t="str">
        <f>IF(Table1_1[[#This Row],[Customer Rating]]&gt;=4.5,"EXCELLENT",IF(Table1_1[[#This Row],[Customer Rating]]&lt;=4,"GOOD","AVERAGE"))</f>
        <v>AVERAGE</v>
      </c>
    </row>
    <row r="161" spans="1:12" x14ac:dyDescent="0.3">
      <c r="A161" t="s">
        <v>388</v>
      </c>
      <c r="B161" t="s">
        <v>1076</v>
      </c>
      <c r="C161" t="s">
        <v>1055</v>
      </c>
      <c r="D161">
        <v>49586.31</v>
      </c>
      <c r="E161">
        <v>4</v>
      </c>
      <c r="F161">
        <f>SUM(Table1_1[[#This Row],[Price (INR)]]*Table1_1[[#This Row],[Quantity Sold]])</f>
        <v>198345.24</v>
      </c>
      <c r="G161">
        <v>198345.24</v>
      </c>
      <c r="H161" s="1">
        <v>45415</v>
      </c>
      <c r="I161" t="s">
        <v>16</v>
      </c>
      <c r="J161">
        <v>4.3</v>
      </c>
      <c r="K161" t="str">
        <f>IF(Table1_1[[#This Row],[Quantity Sold]]&gt;=3,"BULK ORDER","REGULAR ORDER")</f>
        <v>BULK ORDER</v>
      </c>
      <c r="L161" t="str">
        <f>IF(Table1_1[[#This Row],[Customer Rating]]&gt;=4.5,"EXCELLENT",IF(Table1_1[[#This Row],[Customer Rating]]&lt;=4,"GOOD","AVERAGE"))</f>
        <v>AVERAGE</v>
      </c>
    </row>
    <row r="162" spans="1:12" x14ac:dyDescent="0.3">
      <c r="A162" t="s">
        <v>430</v>
      </c>
      <c r="B162" t="s">
        <v>1067</v>
      </c>
      <c r="C162" t="s">
        <v>1048</v>
      </c>
      <c r="D162">
        <v>8644.99</v>
      </c>
      <c r="E162">
        <v>5</v>
      </c>
      <c r="F162">
        <f>SUM(Table1_1[[#This Row],[Price (INR)]]*Table1_1[[#This Row],[Quantity Sold]])</f>
        <v>43224.95</v>
      </c>
      <c r="G162">
        <v>43224.95</v>
      </c>
      <c r="H162" s="1">
        <v>45490</v>
      </c>
      <c r="I162" t="s">
        <v>1049</v>
      </c>
      <c r="J162">
        <v>4.3</v>
      </c>
      <c r="K162" t="str">
        <f>IF(Table1_1[[#This Row],[Quantity Sold]]&gt;=3,"BULK ORDER","REGULAR ORDER")</f>
        <v>BULK ORDER</v>
      </c>
      <c r="L162" t="str">
        <f>IF(Table1_1[[#This Row],[Customer Rating]]&gt;=4.5,"EXCELLENT",IF(Table1_1[[#This Row],[Customer Rating]]&lt;=4,"GOOD","AVERAGE"))</f>
        <v>AVERAGE</v>
      </c>
    </row>
    <row r="163" spans="1:12" x14ac:dyDescent="0.3">
      <c r="A163" t="s">
        <v>488</v>
      </c>
      <c r="B163" t="s">
        <v>1069</v>
      </c>
      <c r="C163" t="s">
        <v>1048</v>
      </c>
      <c r="D163">
        <v>27847.81</v>
      </c>
      <c r="E163">
        <v>3</v>
      </c>
      <c r="F163">
        <f>SUM(Table1_1[[#This Row],[Price (INR)]]*Table1_1[[#This Row],[Quantity Sold]])</f>
        <v>83543.430000000008</v>
      </c>
      <c r="G163">
        <v>83543.429999999993</v>
      </c>
      <c r="H163" s="1">
        <v>45551</v>
      </c>
      <c r="I163" t="s">
        <v>1071</v>
      </c>
      <c r="J163">
        <v>4.3</v>
      </c>
      <c r="K163" t="str">
        <f>IF(Table1_1[[#This Row],[Quantity Sold]]&gt;=3,"BULK ORDER","REGULAR ORDER")</f>
        <v>BULK ORDER</v>
      </c>
      <c r="L163" t="str">
        <f>IF(Table1_1[[#This Row],[Customer Rating]]&gt;=4.5,"EXCELLENT",IF(Table1_1[[#This Row],[Customer Rating]]&lt;=4,"GOOD","AVERAGE"))</f>
        <v>AVERAGE</v>
      </c>
    </row>
    <row r="164" spans="1:12" x14ac:dyDescent="0.3">
      <c r="A164" t="s">
        <v>489</v>
      </c>
      <c r="B164" t="s">
        <v>1047</v>
      </c>
      <c r="C164" t="s">
        <v>1048</v>
      </c>
      <c r="D164">
        <v>19055.03</v>
      </c>
      <c r="E164">
        <v>3</v>
      </c>
      <c r="F164">
        <f>SUM(Table1_1[[#This Row],[Price (INR)]]*Table1_1[[#This Row],[Quantity Sold]])</f>
        <v>57165.09</v>
      </c>
      <c r="G164">
        <v>57165.09</v>
      </c>
      <c r="H164" s="1">
        <v>45529</v>
      </c>
      <c r="I164" t="s">
        <v>1068</v>
      </c>
      <c r="J164">
        <v>4.3</v>
      </c>
      <c r="K164" t="str">
        <f>IF(Table1_1[[#This Row],[Quantity Sold]]&gt;=3,"BULK ORDER","REGULAR ORDER")</f>
        <v>BULK ORDER</v>
      </c>
      <c r="L164" t="str">
        <f>IF(Table1_1[[#This Row],[Customer Rating]]&gt;=4.5,"EXCELLENT",IF(Table1_1[[#This Row],[Customer Rating]]&lt;=4,"GOOD","AVERAGE"))</f>
        <v>AVERAGE</v>
      </c>
    </row>
    <row r="165" spans="1:12" x14ac:dyDescent="0.3">
      <c r="A165" t="s">
        <v>524</v>
      </c>
      <c r="B165" t="s">
        <v>1047</v>
      </c>
      <c r="C165" t="s">
        <v>1048</v>
      </c>
      <c r="D165">
        <v>26806.06</v>
      </c>
      <c r="E165">
        <v>3</v>
      </c>
      <c r="F165">
        <f>SUM(Table1_1[[#This Row],[Price (INR)]]*Table1_1[[#This Row],[Quantity Sold]])</f>
        <v>80418.180000000008</v>
      </c>
      <c r="G165">
        <v>80418.179999999993</v>
      </c>
      <c r="H165" s="1">
        <v>45492</v>
      </c>
      <c r="I165" t="s">
        <v>1059</v>
      </c>
      <c r="J165">
        <v>4.3</v>
      </c>
      <c r="K165" t="str">
        <f>IF(Table1_1[[#This Row],[Quantity Sold]]&gt;=3,"BULK ORDER","REGULAR ORDER")</f>
        <v>BULK ORDER</v>
      </c>
      <c r="L165" t="str">
        <f>IF(Table1_1[[#This Row],[Customer Rating]]&gt;=4.5,"EXCELLENT",IF(Table1_1[[#This Row],[Customer Rating]]&lt;=4,"GOOD","AVERAGE"))</f>
        <v>AVERAGE</v>
      </c>
    </row>
    <row r="166" spans="1:12" x14ac:dyDescent="0.3">
      <c r="A166" t="s">
        <v>538</v>
      </c>
      <c r="B166" t="s">
        <v>1072</v>
      </c>
      <c r="C166" t="s">
        <v>1057</v>
      </c>
      <c r="D166">
        <v>8867.7199999999993</v>
      </c>
      <c r="E166">
        <v>1</v>
      </c>
      <c r="F166">
        <f>SUM(Table1_1[[#This Row],[Price (INR)]]*Table1_1[[#This Row],[Quantity Sold]])</f>
        <v>8867.7199999999993</v>
      </c>
      <c r="G166">
        <v>8867.7199999999993</v>
      </c>
      <c r="H166" s="1">
        <v>45566</v>
      </c>
      <c r="I166" t="s">
        <v>1071</v>
      </c>
      <c r="J166">
        <v>4.3</v>
      </c>
      <c r="K166" t="str">
        <f>IF(Table1_1[[#This Row],[Quantity Sold]]&gt;=3,"BULK ORDER","REGULAR ORDER")</f>
        <v>REGULAR ORDER</v>
      </c>
      <c r="L166" t="str">
        <f>IF(Table1_1[[#This Row],[Customer Rating]]&gt;=4.5,"EXCELLENT",IF(Table1_1[[#This Row],[Customer Rating]]&lt;=4,"GOOD","AVERAGE"))</f>
        <v>AVERAGE</v>
      </c>
    </row>
    <row r="167" spans="1:12" x14ac:dyDescent="0.3">
      <c r="A167" t="s">
        <v>549</v>
      </c>
      <c r="B167" t="s">
        <v>1072</v>
      </c>
      <c r="C167" t="s">
        <v>1057</v>
      </c>
      <c r="D167">
        <v>18799.05</v>
      </c>
      <c r="E167">
        <v>3</v>
      </c>
      <c r="F167">
        <f>SUM(Table1_1[[#This Row],[Price (INR)]]*Table1_1[[#This Row],[Quantity Sold]])</f>
        <v>56397.149999999994</v>
      </c>
      <c r="G167">
        <v>56397.15</v>
      </c>
      <c r="H167" s="1">
        <v>45689</v>
      </c>
      <c r="I167" t="s">
        <v>16</v>
      </c>
      <c r="J167">
        <v>4.3</v>
      </c>
      <c r="K167" t="str">
        <f>IF(Table1_1[[#This Row],[Quantity Sold]]&gt;=3,"BULK ORDER","REGULAR ORDER")</f>
        <v>BULK ORDER</v>
      </c>
      <c r="L167" t="str">
        <f>IF(Table1_1[[#This Row],[Customer Rating]]&gt;=4.5,"EXCELLENT",IF(Table1_1[[#This Row],[Customer Rating]]&lt;=4,"GOOD","AVERAGE"))</f>
        <v>AVERAGE</v>
      </c>
    </row>
    <row r="168" spans="1:12" x14ac:dyDescent="0.3">
      <c r="A168" t="s">
        <v>610</v>
      </c>
      <c r="B168" t="s">
        <v>1072</v>
      </c>
      <c r="C168" t="s">
        <v>1057</v>
      </c>
      <c r="D168">
        <v>25457.34</v>
      </c>
      <c r="E168">
        <v>5</v>
      </c>
      <c r="F168">
        <f>SUM(Table1_1[[#This Row],[Price (INR)]]*Table1_1[[#This Row],[Quantity Sold]])</f>
        <v>127286.7</v>
      </c>
      <c r="G168">
        <v>127286.7</v>
      </c>
      <c r="H168" s="1">
        <v>45423</v>
      </c>
      <c r="I168" t="s">
        <v>16</v>
      </c>
      <c r="J168">
        <v>4.3</v>
      </c>
      <c r="K168" t="str">
        <f>IF(Table1_1[[#This Row],[Quantity Sold]]&gt;=3,"BULK ORDER","REGULAR ORDER")</f>
        <v>BULK ORDER</v>
      </c>
      <c r="L168" t="str">
        <f>IF(Table1_1[[#This Row],[Customer Rating]]&gt;=4.5,"EXCELLENT",IF(Table1_1[[#This Row],[Customer Rating]]&lt;=4,"GOOD","AVERAGE"))</f>
        <v>AVERAGE</v>
      </c>
    </row>
    <row r="169" spans="1:12" x14ac:dyDescent="0.3">
      <c r="A169" t="s">
        <v>624</v>
      </c>
      <c r="B169" t="s">
        <v>1067</v>
      </c>
      <c r="C169" t="s">
        <v>1048</v>
      </c>
      <c r="D169">
        <v>15881.67</v>
      </c>
      <c r="E169">
        <v>4</v>
      </c>
      <c r="F169">
        <f>SUM(Table1_1[[#This Row],[Price (INR)]]*Table1_1[[#This Row],[Quantity Sold]])</f>
        <v>63526.68</v>
      </c>
      <c r="G169">
        <v>63526.68</v>
      </c>
      <c r="H169" s="1">
        <v>45676</v>
      </c>
      <c r="I169" t="s">
        <v>1059</v>
      </c>
      <c r="J169">
        <v>4.3</v>
      </c>
      <c r="K169" t="str">
        <f>IF(Table1_1[[#This Row],[Quantity Sold]]&gt;=3,"BULK ORDER","REGULAR ORDER")</f>
        <v>BULK ORDER</v>
      </c>
      <c r="L169" t="str">
        <f>IF(Table1_1[[#This Row],[Customer Rating]]&gt;=4.5,"EXCELLENT",IF(Table1_1[[#This Row],[Customer Rating]]&lt;=4,"GOOD","AVERAGE"))</f>
        <v>AVERAGE</v>
      </c>
    </row>
    <row r="170" spans="1:12" x14ac:dyDescent="0.3">
      <c r="A170" t="s">
        <v>673</v>
      </c>
      <c r="B170" t="s">
        <v>1076</v>
      </c>
      <c r="C170" t="s">
        <v>1055</v>
      </c>
      <c r="D170">
        <v>25634.9</v>
      </c>
      <c r="E170">
        <v>1</v>
      </c>
      <c r="F170">
        <f>SUM(Table1_1[[#This Row],[Price (INR)]]*Table1_1[[#This Row],[Quantity Sold]])</f>
        <v>25634.9</v>
      </c>
      <c r="G170">
        <v>25634.9</v>
      </c>
      <c r="H170" s="1">
        <v>45566</v>
      </c>
      <c r="I170" t="s">
        <v>1071</v>
      </c>
      <c r="J170">
        <v>4.3</v>
      </c>
      <c r="K170" t="str">
        <f>IF(Table1_1[[#This Row],[Quantity Sold]]&gt;=3,"BULK ORDER","REGULAR ORDER")</f>
        <v>REGULAR ORDER</v>
      </c>
      <c r="L170" t="str">
        <f>IF(Table1_1[[#This Row],[Customer Rating]]&gt;=4.5,"EXCELLENT",IF(Table1_1[[#This Row],[Customer Rating]]&lt;=4,"GOOD","AVERAGE"))</f>
        <v>AVERAGE</v>
      </c>
    </row>
    <row r="171" spans="1:12" x14ac:dyDescent="0.3">
      <c r="A171" t="s">
        <v>690</v>
      </c>
      <c r="B171" t="s">
        <v>1070</v>
      </c>
      <c r="C171" t="s">
        <v>1051</v>
      </c>
      <c r="D171">
        <v>36454.629999999997</v>
      </c>
      <c r="E171">
        <v>1</v>
      </c>
      <c r="F171">
        <f>SUM(Table1_1[[#This Row],[Price (INR)]]*Table1_1[[#This Row],[Quantity Sold]])</f>
        <v>36454.629999999997</v>
      </c>
      <c r="G171">
        <v>36454.629999999997</v>
      </c>
      <c r="H171" s="1">
        <v>45464</v>
      </c>
      <c r="I171" t="s">
        <v>16</v>
      </c>
      <c r="J171">
        <v>4.3</v>
      </c>
      <c r="K171" t="str">
        <f>IF(Table1_1[[#This Row],[Quantity Sold]]&gt;=3,"BULK ORDER","REGULAR ORDER")</f>
        <v>REGULAR ORDER</v>
      </c>
      <c r="L171" t="str">
        <f>IF(Table1_1[[#This Row],[Customer Rating]]&gt;=4.5,"EXCELLENT",IF(Table1_1[[#This Row],[Customer Rating]]&lt;=4,"GOOD","AVERAGE"))</f>
        <v>AVERAGE</v>
      </c>
    </row>
    <row r="172" spans="1:12" x14ac:dyDescent="0.3">
      <c r="A172" t="s">
        <v>733</v>
      </c>
      <c r="B172" t="s">
        <v>1063</v>
      </c>
      <c r="C172" t="s">
        <v>1055</v>
      </c>
      <c r="D172">
        <v>28261.1</v>
      </c>
      <c r="E172">
        <v>2</v>
      </c>
      <c r="F172">
        <f>SUM(Table1_1[[#This Row],[Price (INR)]]*Table1_1[[#This Row],[Quantity Sold]])</f>
        <v>56522.2</v>
      </c>
      <c r="G172">
        <v>56522.2</v>
      </c>
      <c r="H172" s="1">
        <v>45683</v>
      </c>
      <c r="I172" t="s">
        <v>1059</v>
      </c>
      <c r="J172">
        <v>4.3</v>
      </c>
      <c r="K172" t="str">
        <f>IF(Table1_1[[#This Row],[Quantity Sold]]&gt;=3,"BULK ORDER","REGULAR ORDER")</f>
        <v>REGULAR ORDER</v>
      </c>
      <c r="L172" t="str">
        <f>IF(Table1_1[[#This Row],[Customer Rating]]&gt;=4.5,"EXCELLENT",IF(Table1_1[[#This Row],[Customer Rating]]&lt;=4,"GOOD","AVERAGE"))</f>
        <v>AVERAGE</v>
      </c>
    </row>
    <row r="173" spans="1:12" x14ac:dyDescent="0.3">
      <c r="A173" t="s">
        <v>775</v>
      </c>
      <c r="B173" t="s">
        <v>1064</v>
      </c>
      <c r="C173" t="s">
        <v>1053</v>
      </c>
      <c r="D173">
        <v>18179.43</v>
      </c>
      <c r="E173">
        <v>1</v>
      </c>
      <c r="F173">
        <f>SUM(Table1_1[[#This Row],[Price (INR)]]*Table1_1[[#This Row],[Quantity Sold]])</f>
        <v>18179.43</v>
      </c>
      <c r="G173">
        <v>18179.43</v>
      </c>
      <c r="H173" s="1">
        <v>45371</v>
      </c>
      <c r="I173" t="s">
        <v>1059</v>
      </c>
      <c r="J173">
        <v>4.3</v>
      </c>
      <c r="K173" t="str">
        <f>IF(Table1_1[[#This Row],[Quantity Sold]]&gt;=3,"BULK ORDER","REGULAR ORDER")</f>
        <v>REGULAR ORDER</v>
      </c>
      <c r="L173" t="str">
        <f>IF(Table1_1[[#This Row],[Customer Rating]]&gt;=4.5,"EXCELLENT",IF(Table1_1[[#This Row],[Customer Rating]]&lt;=4,"GOOD","AVERAGE"))</f>
        <v>AVERAGE</v>
      </c>
    </row>
    <row r="174" spans="1:12" x14ac:dyDescent="0.3">
      <c r="A174" t="s">
        <v>794</v>
      </c>
      <c r="B174" t="s">
        <v>1056</v>
      </c>
      <c r="C174" t="s">
        <v>1057</v>
      </c>
      <c r="D174">
        <v>18602.849999999999</v>
      </c>
      <c r="E174">
        <v>5</v>
      </c>
      <c r="F174">
        <f>SUM(Table1_1[[#This Row],[Price (INR)]]*Table1_1[[#This Row],[Quantity Sold]])</f>
        <v>93014.25</v>
      </c>
      <c r="G174">
        <v>93014.25</v>
      </c>
      <c r="H174" s="1">
        <v>45590</v>
      </c>
      <c r="I174" t="s">
        <v>16</v>
      </c>
      <c r="J174">
        <v>4.3</v>
      </c>
      <c r="K174" t="str">
        <f>IF(Table1_1[[#This Row],[Quantity Sold]]&gt;=3,"BULK ORDER","REGULAR ORDER")</f>
        <v>BULK ORDER</v>
      </c>
      <c r="L174" t="str">
        <f>IF(Table1_1[[#This Row],[Customer Rating]]&gt;=4.5,"EXCELLENT",IF(Table1_1[[#This Row],[Customer Rating]]&lt;=4,"GOOD","AVERAGE"))</f>
        <v>AVERAGE</v>
      </c>
    </row>
    <row r="175" spans="1:12" x14ac:dyDescent="0.3">
      <c r="A175" t="s">
        <v>857</v>
      </c>
      <c r="B175" t="s">
        <v>1058</v>
      </c>
      <c r="C175" t="s">
        <v>1057</v>
      </c>
      <c r="D175">
        <v>4084.62</v>
      </c>
      <c r="E175">
        <v>5</v>
      </c>
      <c r="F175">
        <f>SUM(Table1_1[[#This Row],[Price (INR)]]*Table1_1[[#This Row],[Quantity Sold]])</f>
        <v>20423.099999999999</v>
      </c>
      <c r="G175">
        <v>20423.099999999999</v>
      </c>
      <c r="H175" s="1">
        <v>45348</v>
      </c>
      <c r="I175" t="s">
        <v>16</v>
      </c>
      <c r="J175">
        <v>4.3</v>
      </c>
      <c r="K175" t="str">
        <f>IF(Table1_1[[#This Row],[Quantity Sold]]&gt;=3,"BULK ORDER","REGULAR ORDER")</f>
        <v>BULK ORDER</v>
      </c>
      <c r="L175" t="str">
        <f>IF(Table1_1[[#This Row],[Customer Rating]]&gt;=4.5,"EXCELLENT",IF(Table1_1[[#This Row],[Customer Rating]]&lt;=4,"GOOD","AVERAGE"))</f>
        <v>AVERAGE</v>
      </c>
    </row>
    <row r="176" spans="1:12" x14ac:dyDescent="0.3">
      <c r="A176" t="s">
        <v>957</v>
      </c>
      <c r="B176" t="s">
        <v>1052</v>
      </c>
      <c r="C176" t="s">
        <v>1053</v>
      </c>
      <c r="D176">
        <v>26281.98</v>
      </c>
      <c r="E176">
        <v>1</v>
      </c>
      <c r="F176">
        <f>SUM(Table1_1[[#This Row],[Price (INR)]]*Table1_1[[#This Row],[Quantity Sold]])</f>
        <v>26281.98</v>
      </c>
      <c r="G176">
        <v>26281.98</v>
      </c>
      <c r="H176" s="1">
        <v>45467</v>
      </c>
      <c r="I176" t="s">
        <v>1049</v>
      </c>
      <c r="J176">
        <v>4.3</v>
      </c>
      <c r="K176" t="str">
        <f>IF(Table1_1[[#This Row],[Quantity Sold]]&gt;=3,"BULK ORDER","REGULAR ORDER")</f>
        <v>REGULAR ORDER</v>
      </c>
      <c r="L176" t="str">
        <f>IF(Table1_1[[#This Row],[Customer Rating]]&gt;=4.5,"EXCELLENT",IF(Table1_1[[#This Row],[Customer Rating]]&lt;=4,"GOOD","AVERAGE"))</f>
        <v>AVERAGE</v>
      </c>
    </row>
    <row r="177" spans="1:12" x14ac:dyDescent="0.3">
      <c r="A177" t="s">
        <v>83</v>
      </c>
      <c r="B177" t="s">
        <v>1072</v>
      </c>
      <c r="C177" t="s">
        <v>1057</v>
      </c>
      <c r="D177">
        <v>2980.08</v>
      </c>
      <c r="E177">
        <v>3</v>
      </c>
      <c r="F177">
        <f>SUM(Table1_1[[#This Row],[Price (INR)]]*Table1_1[[#This Row],[Quantity Sold]])</f>
        <v>8940.24</v>
      </c>
      <c r="G177">
        <v>8940.24</v>
      </c>
      <c r="H177" s="1">
        <v>45640</v>
      </c>
      <c r="I177" t="s">
        <v>1071</v>
      </c>
      <c r="J177">
        <v>4.2</v>
      </c>
      <c r="K177" t="str">
        <f>IF(Table1_1[[#This Row],[Quantity Sold]]&gt;=3,"BULK ORDER","REGULAR ORDER")</f>
        <v>BULK ORDER</v>
      </c>
      <c r="L177" t="str">
        <f>IF(Table1_1[[#This Row],[Customer Rating]]&gt;=4.5,"EXCELLENT",IF(Table1_1[[#This Row],[Customer Rating]]&lt;=4,"GOOD","AVERAGE"))</f>
        <v>AVERAGE</v>
      </c>
    </row>
    <row r="178" spans="1:12" x14ac:dyDescent="0.3">
      <c r="A178" t="s">
        <v>177</v>
      </c>
      <c r="B178" t="s">
        <v>1054</v>
      </c>
      <c r="C178" t="s">
        <v>1055</v>
      </c>
      <c r="D178">
        <v>33698.339999999997</v>
      </c>
      <c r="E178">
        <v>1</v>
      </c>
      <c r="F178">
        <f>SUM(Table1_1[[#This Row],[Price (INR)]]*Table1_1[[#This Row],[Quantity Sold]])</f>
        <v>33698.339999999997</v>
      </c>
      <c r="G178">
        <v>33698.339999999997</v>
      </c>
      <c r="H178" s="1">
        <v>45514</v>
      </c>
      <c r="I178" t="s">
        <v>1049</v>
      </c>
      <c r="J178">
        <v>4.2</v>
      </c>
      <c r="K178" t="str">
        <f>IF(Table1_1[[#This Row],[Quantity Sold]]&gt;=3,"BULK ORDER","REGULAR ORDER")</f>
        <v>REGULAR ORDER</v>
      </c>
      <c r="L178" t="str">
        <f>IF(Table1_1[[#This Row],[Customer Rating]]&gt;=4.5,"EXCELLENT",IF(Table1_1[[#This Row],[Customer Rating]]&lt;=4,"GOOD","AVERAGE"))</f>
        <v>AVERAGE</v>
      </c>
    </row>
    <row r="179" spans="1:12" x14ac:dyDescent="0.3">
      <c r="A179" t="s">
        <v>193</v>
      </c>
      <c r="B179" t="s">
        <v>1062</v>
      </c>
      <c r="C179" t="s">
        <v>1051</v>
      </c>
      <c r="D179">
        <v>42814.17</v>
      </c>
      <c r="E179">
        <v>5</v>
      </c>
      <c r="F179">
        <f>SUM(Table1_1[[#This Row],[Price (INR)]]*Table1_1[[#This Row],[Quantity Sold]])</f>
        <v>214070.84999999998</v>
      </c>
      <c r="G179">
        <v>214070.85</v>
      </c>
      <c r="H179" s="1">
        <v>45562</v>
      </c>
      <c r="I179" t="s">
        <v>1049</v>
      </c>
      <c r="J179">
        <v>4.2</v>
      </c>
      <c r="K179" t="str">
        <f>IF(Table1_1[[#This Row],[Quantity Sold]]&gt;=3,"BULK ORDER","REGULAR ORDER")</f>
        <v>BULK ORDER</v>
      </c>
      <c r="L179" t="str">
        <f>IF(Table1_1[[#This Row],[Customer Rating]]&gt;=4.5,"EXCELLENT",IF(Table1_1[[#This Row],[Customer Rating]]&lt;=4,"GOOD","AVERAGE"))</f>
        <v>AVERAGE</v>
      </c>
    </row>
    <row r="180" spans="1:12" x14ac:dyDescent="0.3">
      <c r="A180" t="s">
        <v>210</v>
      </c>
      <c r="B180" t="s">
        <v>1074</v>
      </c>
      <c r="C180" t="s">
        <v>1055</v>
      </c>
      <c r="D180">
        <v>48944.01</v>
      </c>
      <c r="E180">
        <v>3</v>
      </c>
      <c r="F180">
        <f>SUM(Table1_1[[#This Row],[Price (INR)]]*Table1_1[[#This Row],[Quantity Sold]])</f>
        <v>146832.03</v>
      </c>
      <c r="G180">
        <v>146832.03</v>
      </c>
      <c r="H180" s="1">
        <v>45477</v>
      </c>
      <c r="I180" t="s">
        <v>42</v>
      </c>
      <c r="J180">
        <v>4.2</v>
      </c>
      <c r="K180" t="str">
        <f>IF(Table1_1[[#This Row],[Quantity Sold]]&gt;=3,"BULK ORDER","REGULAR ORDER")</f>
        <v>BULK ORDER</v>
      </c>
      <c r="L180" t="str">
        <f>IF(Table1_1[[#This Row],[Customer Rating]]&gt;=4.5,"EXCELLENT",IF(Table1_1[[#This Row],[Customer Rating]]&lt;=4,"GOOD","AVERAGE"))</f>
        <v>AVERAGE</v>
      </c>
    </row>
    <row r="181" spans="1:12" x14ac:dyDescent="0.3">
      <c r="A181" t="s">
        <v>230</v>
      </c>
      <c r="B181" t="s">
        <v>1066</v>
      </c>
      <c r="C181" t="s">
        <v>1055</v>
      </c>
      <c r="D181">
        <v>21990.25</v>
      </c>
      <c r="E181">
        <v>3</v>
      </c>
      <c r="F181">
        <f>SUM(Table1_1[[#This Row],[Price (INR)]]*Table1_1[[#This Row],[Quantity Sold]])</f>
        <v>65970.75</v>
      </c>
      <c r="G181">
        <v>65970.75</v>
      </c>
      <c r="H181" s="1">
        <v>45669</v>
      </c>
      <c r="I181" t="s">
        <v>1059</v>
      </c>
      <c r="J181">
        <v>4.2</v>
      </c>
      <c r="K181" t="str">
        <f>IF(Table1_1[[#This Row],[Quantity Sold]]&gt;=3,"BULK ORDER","REGULAR ORDER")</f>
        <v>BULK ORDER</v>
      </c>
      <c r="L181" t="str">
        <f>IF(Table1_1[[#This Row],[Customer Rating]]&gt;=4.5,"EXCELLENT",IF(Table1_1[[#This Row],[Customer Rating]]&lt;=4,"GOOD","AVERAGE"))</f>
        <v>AVERAGE</v>
      </c>
    </row>
    <row r="182" spans="1:12" x14ac:dyDescent="0.3">
      <c r="A182" t="s">
        <v>272</v>
      </c>
      <c r="B182" t="s">
        <v>1078</v>
      </c>
      <c r="C182" t="s">
        <v>1048</v>
      </c>
      <c r="D182">
        <v>3710.07</v>
      </c>
      <c r="E182">
        <v>3</v>
      </c>
      <c r="F182">
        <f>SUM(Table1_1[[#This Row],[Price (INR)]]*Table1_1[[#This Row],[Quantity Sold]])</f>
        <v>11130.210000000001</v>
      </c>
      <c r="G182">
        <v>11130.21</v>
      </c>
      <c r="H182" s="1">
        <v>45342</v>
      </c>
      <c r="I182" t="s">
        <v>1068</v>
      </c>
      <c r="J182">
        <v>4.2</v>
      </c>
      <c r="K182" t="str">
        <f>IF(Table1_1[[#This Row],[Quantity Sold]]&gt;=3,"BULK ORDER","REGULAR ORDER")</f>
        <v>BULK ORDER</v>
      </c>
      <c r="L182" t="str">
        <f>IF(Table1_1[[#This Row],[Customer Rating]]&gt;=4.5,"EXCELLENT",IF(Table1_1[[#This Row],[Customer Rating]]&lt;=4,"GOOD","AVERAGE"))</f>
        <v>AVERAGE</v>
      </c>
    </row>
    <row r="183" spans="1:12" x14ac:dyDescent="0.3">
      <c r="A183" t="s">
        <v>317</v>
      </c>
      <c r="B183" t="s">
        <v>1061</v>
      </c>
      <c r="C183" t="s">
        <v>1057</v>
      </c>
      <c r="D183">
        <v>43002.68</v>
      </c>
      <c r="E183">
        <v>3</v>
      </c>
      <c r="F183">
        <f>SUM(Table1_1[[#This Row],[Price (INR)]]*Table1_1[[#This Row],[Quantity Sold]])</f>
        <v>129008.04000000001</v>
      </c>
      <c r="G183">
        <v>129008.04</v>
      </c>
      <c r="H183" s="1">
        <v>45387</v>
      </c>
      <c r="I183" t="s">
        <v>16</v>
      </c>
      <c r="J183">
        <v>4.2</v>
      </c>
      <c r="K183" t="str">
        <f>IF(Table1_1[[#This Row],[Quantity Sold]]&gt;=3,"BULK ORDER","REGULAR ORDER")</f>
        <v>BULK ORDER</v>
      </c>
      <c r="L183" t="str">
        <f>IF(Table1_1[[#This Row],[Customer Rating]]&gt;=4.5,"EXCELLENT",IF(Table1_1[[#This Row],[Customer Rating]]&lt;=4,"GOOD","AVERAGE"))</f>
        <v>AVERAGE</v>
      </c>
    </row>
    <row r="184" spans="1:12" x14ac:dyDescent="0.3">
      <c r="A184" t="s">
        <v>330</v>
      </c>
      <c r="B184" t="s">
        <v>1070</v>
      </c>
      <c r="C184" t="s">
        <v>1051</v>
      </c>
      <c r="D184">
        <v>40384.620000000003</v>
      </c>
      <c r="E184">
        <v>1</v>
      </c>
      <c r="F184">
        <f>SUM(Table1_1[[#This Row],[Price (INR)]]*Table1_1[[#This Row],[Quantity Sold]])</f>
        <v>40384.620000000003</v>
      </c>
      <c r="G184">
        <v>40384.620000000003</v>
      </c>
      <c r="H184" s="1">
        <v>45409</v>
      </c>
      <c r="I184" t="s">
        <v>16</v>
      </c>
      <c r="J184">
        <v>4.2</v>
      </c>
      <c r="K184" t="str">
        <f>IF(Table1_1[[#This Row],[Quantity Sold]]&gt;=3,"BULK ORDER","REGULAR ORDER")</f>
        <v>REGULAR ORDER</v>
      </c>
      <c r="L184" t="str">
        <f>IF(Table1_1[[#This Row],[Customer Rating]]&gt;=4.5,"EXCELLENT",IF(Table1_1[[#This Row],[Customer Rating]]&lt;=4,"GOOD","AVERAGE"))</f>
        <v>AVERAGE</v>
      </c>
    </row>
    <row r="185" spans="1:12" x14ac:dyDescent="0.3">
      <c r="A185" t="s">
        <v>440</v>
      </c>
      <c r="B185" t="s">
        <v>1060</v>
      </c>
      <c r="C185" t="s">
        <v>1051</v>
      </c>
      <c r="D185">
        <v>4827.49</v>
      </c>
      <c r="E185">
        <v>3</v>
      </c>
      <c r="F185">
        <f>SUM(Table1_1[[#This Row],[Price (INR)]]*Table1_1[[#This Row],[Quantity Sold]])</f>
        <v>14482.47</v>
      </c>
      <c r="G185">
        <v>14482.47</v>
      </c>
      <c r="H185" s="1">
        <v>45361</v>
      </c>
      <c r="I185" t="s">
        <v>1049</v>
      </c>
      <c r="J185">
        <v>4.2</v>
      </c>
      <c r="K185" t="str">
        <f>IF(Table1_1[[#This Row],[Quantity Sold]]&gt;=3,"BULK ORDER","REGULAR ORDER")</f>
        <v>BULK ORDER</v>
      </c>
      <c r="L185" t="str">
        <f>IF(Table1_1[[#This Row],[Customer Rating]]&gt;=4.5,"EXCELLENT",IF(Table1_1[[#This Row],[Customer Rating]]&lt;=4,"GOOD","AVERAGE"))</f>
        <v>AVERAGE</v>
      </c>
    </row>
    <row r="186" spans="1:12" x14ac:dyDescent="0.3">
      <c r="A186" t="s">
        <v>475</v>
      </c>
      <c r="B186" t="s">
        <v>1050</v>
      </c>
      <c r="C186" t="s">
        <v>1051</v>
      </c>
      <c r="D186">
        <v>43502.85</v>
      </c>
      <c r="E186">
        <v>1</v>
      </c>
      <c r="F186">
        <f>SUM(Table1_1[[#This Row],[Price (INR)]]*Table1_1[[#This Row],[Quantity Sold]])</f>
        <v>43502.85</v>
      </c>
      <c r="G186">
        <v>43502.85</v>
      </c>
      <c r="H186" s="1">
        <v>45364</v>
      </c>
      <c r="I186" t="s">
        <v>1071</v>
      </c>
      <c r="J186">
        <v>4.2</v>
      </c>
      <c r="K186" t="str">
        <f>IF(Table1_1[[#This Row],[Quantity Sold]]&gt;=3,"BULK ORDER","REGULAR ORDER")</f>
        <v>REGULAR ORDER</v>
      </c>
      <c r="L186" t="str">
        <f>IF(Table1_1[[#This Row],[Customer Rating]]&gt;=4.5,"EXCELLENT",IF(Table1_1[[#This Row],[Customer Rating]]&lt;=4,"GOOD","AVERAGE"))</f>
        <v>AVERAGE</v>
      </c>
    </row>
    <row r="187" spans="1:12" x14ac:dyDescent="0.3">
      <c r="A187" t="s">
        <v>487</v>
      </c>
      <c r="B187" t="s">
        <v>1047</v>
      </c>
      <c r="C187" t="s">
        <v>1048</v>
      </c>
      <c r="D187">
        <v>33643.5</v>
      </c>
      <c r="E187">
        <v>5</v>
      </c>
      <c r="F187">
        <f>SUM(Table1_1[[#This Row],[Price (INR)]]*Table1_1[[#This Row],[Quantity Sold]])</f>
        <v>168217.5</v>
      </c>
      <c r="G187">
        <v>168217.5</v>
      </c>
      <c r="H187" s="1">
        <v>45459</v>
      </c>
      <c r="I187" t="s">
        <v>16</v>
      </c>
      <c r="J187">
        <v>4.2</v>
      </c>
      <c r="K187" t="str">
        <f>IF(Table1_1[[#This Row],[Quantity Sold]]&gt;=3,"BULK ORDER","REGULAR ORDER")</f>
        <v>BULK ORDER</v>
      </c>
      <c r="L187" t="str">
        <f>IF(Table1_1[[#This Row],[Customer Rating]]&gt;=4.5,"EXCELLENT",IF(Table1_1[[#This Row],[Customer Rating]]&lt;=4,"GOOD","AVERAGE"))</f>
        <v>AVERAGE</v>
      </c>
    </row>
    <row r="188" spans="1:12" x14ac:dyDescent="0.3">
      <c r="A188" t="s">
        <v>491</v>
      </c>
      <c r="B188" t="s">
        <v>1060</v>
      </c>
      <c r="C188" t="s">
        <v>1051</v>
      </c>
      <c r="D188">
        <v>8182.19</v>
      </c>
      <c r="E188">
        <v>2</v>
      </c>
      <c r="F188">
        <f>SUM(Table1_1[[#This Row],[Price (INR)]]*Table1_1[[#This Row],[Quantity Sold]])</f>
        <v>16364.38</v>
      </c>
      <c r="G188">
        <v>16364.38</v>
      </c>
      <c r="H188" s="1">
        <v>45508</v>
      </c>
      <c r="I188" t="s">
        <v>42</v>
      </c>
      <c r="J188">
        <v>4.2</v>
      </c>
      <c r="K188" t="str">
        <f>IF(Table1_1[[#This Row],[Quantity Sold]]&gt;=3,"BULK ORDER","REGULAR ORDER")</f>
        <v>REGULAR ORDER</v>
      </c>
      <c r="L188" t="str">
        <f>IF(Table1_1[[#This Row],[Customer Rating]]&gt;=4.5,"EXCELLENT",IF(Table1_1[[#This Row],[Customer Rating]]&lt;=4,"GOOD","AVERAGE"))</f>
        <v>AVERAGE</v>
      </c>
    </row>
    <row r="189" spans="1:12" x14ac:dyDescent="0.3">
      <c r="A189" t="s">
        <v>516</v>
      </c>
      <c r="B189" t="s">
        <v>1056</v>
      </c>
      <c r="C189" t="s">
        <v>1057</v>
      </c>
      <c r="D189">
        <v>29493.06</v>
      </c>
      <c r="E189">
        <v>3</v>
      </c>
      <c r="F189">
        <f>SUM(Table1_1[[#This Row],[Price (INR)]]*Table1_1[[#This Row],[Quantity Sold]])</f>
        <v>88479.180000000008</v>
      </c>
      <c r="G189">
        <v>88479.18</v>
      </c>
      <c r="H189" s="1">
        <v>45497</v>
      </c>
      <c r="I189" t="s">
        <v>1068</v>
      </c>
      <c r="J189">
        <v>4.2</v>
      </c>
      <c r="K189" t="str">
        <f>IF(Table1_1[[#This Row],[Quantity Sold]]&gt;=3,"BULK ORDER","REGULAR ORDER")</f>
        <v>BULK ORDER</v>
      </c>
      <c r="L189" t="str">
        <f>IF(Table1_1[[#This Row],[Customer Rating]]&gt;=4.5,"EXCELLENT",IF(Table1_1[[#This Row],[Customer Rating]]&lt;=4,"GOOD","AVERAGE"))</f>
        <v>AVERAGE</v>
      </c>
    </row>
    <row r="190" spans="1:12" x14ac:dyDescent="0.3">
      <c r="A190" t="s">
        <v>521</v>
      </c>
      <c r="B190" t="s">
        <v>1047</v>
      </c>
      <c r="C190" t="s">
        <v>1048</v>
      </c>
      <c r="D190">
        <v>5528.69</v>
      </c>
      <c r="E190">
        <v>3</v>
      </c>
      <c r="F190">
        <f>SUM(Table1_1[[#This Row],[Price (INR)]]*Table1_1[[#This Row],[Quantity Sold]])</f>
        <v>16586.07</v>
      </c>
      <c r="G190">
        <v>16586.07</v>
      </c>
      <c r="H190" s="1">
        <v>45546</v>
      </c>
      <c r="I190" t="s">
        <v>1049</v>
      </c>
      <c r="J190">
        <v>4.2</v>
      </c>
      <c r="K190" t="str">
        <f>IF(Table1_1[[#This Row],[Quantity Sold]]&gt;=3,"BULK ORDER","REGULAR ORDER")</f>
        <v>BULK ORDER</v>
      </c>
      <c r="L190" t="str">
        <f>IF(Table1_1[[#This Row],[Customer Rating]]&gt;=4.5,"EXCELLENT",IF(Table1_1[[#This Row],[Customer Rating]]&lt;=4,"GOOD","AVERAGE"))</f>
        <v>AVERAGE</v>
      </c>
    </row>
    <row r="191" spans="1:12" x14ac:dyDescent="0.3">
      <c r="A191" t="s">
        <v>525</v>
      </c>
      <c r="B191" t="s">
        <v>1062</v>
      </c>
      <c r="C191" t="s">
        <v>1051</v>
      </c>
      <c r="D191">
        <v>18757.07</v>
      </c>
      <c r="E191">
        <v>4</v>
      </c>
      <c r="F191">
        <f>SUM(Table1_1[[#This Row],[Price (INR)]]*Table1_1[[#This Row],[Quantity Sold]])</f>
        <v>75028.28</v>
      </c>
      <c r="G191">
        <v>75028.28</v>
      </c>
      <c r="H191" s="1">
        <v>45612</v>
      </c>
      <c r="I191" t="s">
        <v>16</v>
      </c>
      <c r="J191">
        <v>4.2</v>
      </c>
      <c r="K191" t="str">
        <f>IF(Table1_1[[#This Row],[Quantity Sold]]&gt;=3,"BULK ORDER","REGULAR ORDER")</f>
        <v>BULK ORDER</v>
      </c>
      <c r="L191" t="str">
        <f>IF(Table1_1[[#This Row],[Customer Rating]]&gt;=4.5,"EXCELLENT",IF(Table1_1[[#This Row],[Customer Rating]]&lt;=4,"GOOD","AVERAGE"))</f>
        <v>AVERAGE</v>
      </c>
    </row>
    <row r="192" spans="1:12" x14ac:dyDescent="0.3">
      <c r="A192" t="s">
        <v>537</v>
      </c>
      <c r="B192" t="s">
        <v>1070</v>
      </c>
      <c r="C192" t="s">
        <v>1051</v>
      </c>
      <c r="D192">
        <v>45127.31</v>
      </c>
      <c r="E192">
        <v>4</v>
      </c>
      <c r="F192">
        <f>SUM(Table1_1[[#This Row],[Price (INR)]]*Table1_1[[#This Row],[Quantity Sold]])</f>
        <v>180509.24</v>
      </c>
      <c r="G192">
        <v>180509.24</v>
      </c>
      <c r="H192" s="1">
        <v>45672</v>
      </c>
      <c r="I192" t="s">
        <v>42</v>
      </c>
      <c r="J192">
        <v>4.2</v>
      </c>
      <c r="K192" t="str">
        <f>IF(Table1_1[[#This Row],[Quantity Sold]]&gt;=3,"BULK ORDER","REGULAR ORDER")</f>
        <v>BULK ORDER</v>
      </c>
      <c r="L192" t="str">
        <f>IF(Table1_1[[#This Row],[Customer Rating]]&gt;=4.5,"EXCELLENT",IF(Table1_1[[#This Row],[Customer Rating]]&lt;=4,"GOOD","AVERAGE"))</f>
        <v>AVERAGE</v>
      </c>
    </row>
    <row r="193" spans="1:12" x14ac:dyDescent="0.3">
      <c r="A193" t="s">
        <v>555</v>
      </c>
      <c r="B193" t="s">
        <v>1052</v>
      </c>
      <c r="C193" t="s">
        <v>1053</v>
      </c>
      <c r="D193">
        <v>18093.34</v>
      </c>
      <c r="E193">
        <v>5</v>
      </c>
      <c r="F193">
        <f>SUM(Table1_1[[#This Row],[Price (INR)]]*Table1_1[[#This Row],[Quantity Sold]])</f>
        <v>90466.7</v>
      </c>
      <c r="G193">
        <v>90466.7</v>
      </c>
      <c r="H193" s="1">
        <v>45678</v>
      </c>
      <c r="I193" t="s">
        <v>1068</v>
      </c>
      <c r="J193">
        <v>4.2</v>
      </c>
      <c r="K193" t="str">
        <f>IF(Table1_1[[#This Row],[Quantity Sold]]&gt;=3,"BULK ORDER","REGULAR ORDER")</f>
        <v>BULK ORDER</v>
      </c>
      <c r="L193" t="str">
        <f>IF(Table1_1[[#This Row],[Customer Rating]]&gt;=4.5,"EXCELLENT",IF(Table1_1[[#This Row],[Customer Rating]]&lt;=4,"GOOD","AVERAGE"))</f>
        <v>AVERAGE</v>
      </c>
    </row>
    <row r="194" spans="1:12" x14ac:dyDescent="0.3">
      <c r="A194" t="s">
        <v>559</v>
      </c>
      <c r="B194" t="s">
        <v>1079</v>
      </c>
      <c r="C194" t="s">
        <v>1057</v>
      </c>
      <c r="D194">
        <v>776.91</v>
      </c>
      <c r="E194">
        <v>5</v>
      </c>
      <c r="F194">
        <f>SUM(Table1_1[[#This Row],[Price (INR)]]*Table1_1[[#This Row],[Quantity Sold]])</f>
        <v>3884.5499999999997</v>
      </c>
      <c r="G194">
        <v>3884.55</v>
      </c>
      <c r="H194" s="1">
        <v>45489</v>
      </c>
      <c r="I194" t="s">
        <v>42</v>
      </c>
      <c r="J194">
        <v>4.2</v>
      </c>
      <c r="K194" t="str">
        <f>IF(Table1_1[[#This Row],[Quantity Sold]]&gt;=3,"BULK ORDER","REGULAR ORDER")</f>
        <v>BULK ORDER</v>
      </c>
      <c r="L194" t="str">
        <f>IF(Table1_1[[#This Row],[Customer Rating]]&gt;=4.5,"EXCELLENT",IF(Table1_1[[#This Row],[Customer Rating]]&lt;=4,"GOOD","AVERAGE"))</f>
        <v>AVERAGE</v>
      </c>
    </row>
    <row r="195" spans="1:12" x14ac:dyDescent="0.3">
      <c r="A195" t="s">
        <v>576</v>
      </c>
      <c r="B195" t="s">
        <v>1072</v>
      </c>
      <c r="C195" t="s">
        <v>1057</v>
      </c>
      <c r="D195">
        <v>13348.84</v>
      </c>
      <c r="E195">
        <v>2</v>
      </c>
      <c r="F195">
        <f>SUM(Table1_1[[#This Row],[Price (INR)]]*Table1_1[[#This Row],[Quantity Sold]])</f>
        <v>26697.68</v>
      </c>
      <c r="G195">
        <v>26697.68</v>
      </c>
      <c r="H195" s="1">
        <v>45500</v>
      </c>
      <c r="I195" t="s">
        <v>42</v>
      </c>
      <c r="J195">
        <v>4.2</v>
      </c>
      <c r="K195" t="str">
        <f>IF(Table1_1[[#This Row],[Quantity Sold]]&gt;=3,"BULK ORDER","REGULAR ORDER")</f>
        <v>REGULAR ORDER</v>
      </c>
      <c r="L195" t="str">
        <f>IF(Table1_1[[#This Row],[Customer Rating]]&gt;=4.5,"EXCELLENT",IF(Table1_1[[#This Row],[Customer Rating]]&lt;=4,"GOOD","AVERAGE"))</f>
        <v>AVERAGE</v>
      </c>
    </row>
    <row r="196" spans="1:12" x14ac:dyDescent="0.3">
      <c r="A196" t="s">
        <v>592</v>
      </c>
      <c r="B196" t="s">
        <v>1073</v>
      </c>
      <c r="C196" t="s">
        <v>1053</v>
      </c>
      <c r="D196">
        <v>9534.89</v>
      </c>
      <c r="E196">
        <v>5</v>
      </c>
      <c r="F196">
        <f>SUM(Table1_1[[#This Row],[Price (INR)]]*Table1_1[[#This Row],[Quantity Sold]])</f>
        <v>47674.45</v>
      </c>
      <c r="G196">
        <v>47674.45</v>
      </c>
      <c r="H196" s="1">
        <v>45487</v>
      </c>
      <c r="I196" t="s">
        <v>1071</v>
      </c>
      <c r="J196">
        <v>4.2</v>
      </c>
      <c r="K196" t="str">
        <f>IF(Table1_1[[#This Row],[Quantity Sold]]&gt;=3,"BULK ORDER","REGULAR ORDER")</f>
        <v>BULK ORDER</v>
      </c>
      <c r="L196" t="str">
        <f>IF(Table1_1[[#This Row],[Customer Rating]]&gt;=4.5,"EXCELLENT",IF(Table1_1[[#This Row],[Customer Rating]]&lt;=4,"GOOD","AVERAGE"))</f>
        <v>AVERAGE</v>
      </c>
    </row>
    <row r="197" spans="1:12" x14ac:dyDescent="0.3">
      <c r="A197" t="s">
        <v>612</v>
      </c>
      <c r="B197" t="s">
        <v>1047</v>
      </c>
      <c r="C197" t="s">
        <v>1048</v>
      </c>
      <c r="D197">
        <v>48670.07</v>
      </c>
      <c r="E197">
        <v>1</v>
      </c>
      <c r="F197">
        <f>SUM(Table1_1[[#This Row],[Price (INR)]]*Table1_1[[#This Row],[Quantity Sold]])</f>
        <v>48670.07</v>
      </c>
      <c r="G197">
        <v>48670.07</v>
      </c>
      <c r="H197" s="1">
        <v>45689</v>
      </c>
      <c r="I197" t="s">
        <v>16</v>
      </c>
      <c r="J197">
        <v>4.2</v>
      </c>
      <c r="K197" t="str">
        <f>IF(Table1_1[[#This Row],[Quantity Sold]]&gt;=3,"BULK ORDER","REGULAR ORDER")</f>
        <v>REGULAR ORDER</v>
      </c>
      <c r="L197" t="str">
        <f>IF(Table1_1[[#This Row],[Customer Rating]]&gt;=4.5,"EXCELLENT",IF(Table1_1[[#This Row],[Customer Rating]]&lt;=4,"GOOD","AVERAGE"))</f>
        <v>AVERAGE</v>
      </c>
    </row>
    <row r="198" spans="1:12" x14ac:dyDescent="0.3">
      <c r="A198" t="s">
        <v>641</v>
      </c>
      <c r="B198" t="s">
        <v>1056</v>
      </c>
      <c r="C198" t="s">
        <v>1057</v>
      </c>
      <c r="D198">
        <v>19008.810000000001</v>
      </c>
      <c r="E198">
        <v>4</v>
      </c>
      <c r="F198">
        <f>SUM(Table1_1[[#This Row],[Price (INR)]]*Table1_1[[#This Row],[Quantity Sold]])</f>
        <v>76035.240000000005</v>
      </c>
      <c r="G198">
        <v>76035.240000000005</v>
      </c>
      <c r="H198" s="1">
        <v>45478</v>
      </c>
      <c r="I198" t="s">
        <v>42</v>
      </c>
      <c r="J198">
        <v>4.2</v>
      </c>
      <c r="K198" t="str">
        <f>IF(Table1_1[[#This Row],[Quantity Sold]]&gt;=3,"BULK ORDER","REGULAR ORDER")</f>
        <v>BULK ORDER</v>
      </c>
      <c r="L198" t="str">
        <f>IF(Table1_1[[#This Row],[Customer Rating]]&gt;=4.5,"EXCELLENT",IF(Table1_1[[#This Row],[Customer Rating]]&lt;=4,"GOOD","AVERAGE"))</f>
        <v>AVERAGE</v>
      </c>
    </row>
    <row r="199" spans="1:12" x14ac:dyDescent="0.3">
      <c r="A199" t="s">
        <v>646</v>
      </c>
      <c r="B199" t="s">
        <v>1060</v>
      </c>
      <c r="C199" t="s">
        <v>1051</v>
      </c>
      <c r="D199">
        <v>43852.34</v>
      </c>
      <c r="E199">
        <v>3</v>
      </c>
      <c r="F199">
        <f>SUM(Table1_1[[#This Row],[Price (INR)]]*Table1_1[[#This Row],[Quantity Sold]])</f>
        <v>131557.01999999999</v>
      </c>
      <c r="G199">
        <v>131557.01999999999</v>
      </c>
      <c r="H199" s="1">
        <v>45406</v>
      </c>
      <c r="I199" t="s">
        <v>1071</v>
      </c>
      <c r="J199">
        <v>4.2</v>
      </c>
      <c r="K199" t="str">
        <f>IF(Table1_1[[#This Row],[Quantity Sold]]&gt;=3,"BULK ORDER","REGULAR ORDER")</f>
        <v>BULK ORDER</v>
      </c>
      <c r="L199" t="str">
        <f>IF(Table1_1[[#This Row],[Customer Rating]]&gt;=4.5,"EXCELLENT",IF(Table1_1[[#This Row],[Customer Rating]]&lt;=4,"GOOD","AVERAGE"))</f>
        <v>AVERAGE</v>
      </c>
    </row>
    <row r="200" spans="1:12" x14ac:dyDescent="0.3">
      <c r="A200" t="s">
        <v>674</v>
      </c>
      <c r="B200" t="s">
        <v>1066</v>
      </c>
      <c r="C200" t="s">
        <v>1055</v>
      </c>
      <c r="D200">
        <v>9427.83</v>
      </c>
      <c r="E200">
        <v>3</v>
      </c>
      <c r="F200">
        <f>SUM(Table1_1[[#This Row],[Price (INR)]]*Table1_1[[#This Row],[Quantity Sold]])</f>
        <v>28283.489999999998</v>
      </c>
      <c r="G200">
        <v>28283.49</v>
      </c>
      <c r="H200" s="1">
        <v>45457</v>
      </c>
      <c r="I200" t="s">
        <v>1071</v>
      </c>
      <c r="J200">
        <v>4.2</v>
      </c>
      <c r="K200" t="str">
        <f>IF(Table1_1[[#This Row],[Quantity Sold]]&gt;=3,"BULK ORDER","REGULAR ORDER")</f>
        <v>BULK ORDER</v>
      </c>
      <c r="L200" t="str">
        <f>IF(Table1_1[[#This Row],[Customer Rating]]&gt;=4.5,"EXCELLENT",IF(Table1_1[[#This Row],[Customer Rating]]&lt;=4,"GOOD","AVERAGE"))</f>
        <v>AVERAGE</v>
      </c>
    </row>
    <row r="201" spans="1:12" x14ac:dyDescent="0.3">
      <c r="A201" t="s">
        <v>719</v>
      </c>
      <c r="B201" t="s">
        <v>1074</v>
      </c>
      <c r="C201" t="s">
        <v>1055</v>
      </c>
      <c r="D201">
        <v>40753.519999999997</v>
      </c>
      <c r="E201">
        <v>1</v>
      </c>
      <c r="F201">
        <f>SUM(Table1_1[[#This Row],[Price (INR)]]*Table1_1[[#This Row],[Quantity Sold]])</f>
        <v>40753.519999999997</v>
      </c>
      <c r="G201">
        <v>40753.519999999997</v>
      </c>
      <c r="H201" s="1">
        <v>45352</v>
      </c>
      <c r="I201" t="s">
        <v>1049</v>
      </c>
      <c r="J201">
        <v>4.2</v>
      </c>
      <c r="K201" t="str">
        <f>IF(Table1_1[[#This Row],[Quantity Sold]]&gt;=3,"BULK ORDER","REGULAR ORDER")</f>
        <v>REGULAR ORDER</v>
      </c>
      <c r="L201" t="str">
        <f>IF(Table1_1[[#This Row],[Customer Rating]]&gt;=4.5,"EXCELLENT",IF(Table1_1[[#This Row],[Customer Rating]]&lt;=4,"GOOD","AVERAGE"))</f>
        <v>AVERAGE</v>
      </c>
    </row>
    <row r="202" spans="1:12" x14ac:dyDescent="0.3">
      <c r="A202" t="s">
        <v>749</v>
      </c>
      <c r="B202" t="s">
        <v>1077</v>
      </c>
      <c r="C202" t="s">
        <v>1048</v>
      </c>
      <c r="D202">
        <v>12097.46</v>
      </c>
      <c r="E202">
        <v>5</v>
      </c>
      <c r="F202">
        <f>SUM(Table1_1[[#This Row],[Price (INR)]]*Table1_1[[#This Row],[Quantity Sold]])</f>
        <v>60487.299999999996</v>
      </c>
      <c r="G202">
        <v>60487.3</v>
      </c>
      <c r="H202" s="1">
        <v>45433</v>
      </c>
      <c r="I202" t="s">
        <v>42</v>
      </c>
      <c r="J202">
        <v>4.2</v>
      </c>
      <c r="K202" t="str">
        <f>IF(Table1_1[[#This Row],[Quantity Sold]]&gt;=3,"BULK ORDER","REGULAR ORDER")</f>
        <v>BULK ORDER</v>
      </c>
      <c r="L202" t="str">
        <f>IF(Table1_1[[#This Row],[Customer Rating]]&gt;=4.5,"EXCELLENT",IF(Table1_1[[#This Row],[Customer Rating]]&lt;=4,"GOOD","AVERAGE"))</f>
        <v>AVERAGE</v>
      </c>
    </row>
    <row r="203" spans="1:12" x14ac:dyDescent="0.3">
      <c r="A203" t="s">
        <v>759</v>
      </c>
      <c r="B203" t="s">
        <v>1050</v>
      </c>
      <c r="C203" t="s">
        <v>1051</v>
      </c>
      <c r="D203">
        <v>47608.93</v>
      </c>
      <c r="E203">
        <v>1</v>
      </c>
      <c r="F203">
        <f>SUM(Table1_1[[#This Row],[Price (INR)]]*Table1_1[[#This Row],[Quantity Sold]])</f>
        <v>47608.93</v>
      </c>
      <c r="G203">
        <v>47608.93</v>
      </c>
      <c r="H203" s="1">
        <v>45347</v>
      </c>
      <c r="I203" t="s">
        <v>16</v>
      </c>
      <c r="J203">
        <v>4.2</v>
      </c>
      <c r="K203" t="str">
        <f>IF(Table1_1[[#This Row],[Quantity Sold]]&gt;=3,"BULK ORDER","REGULAR ORDER")</f>
        <v>REGULAR ORDER</v>
      </c>
      <c r="L203" t="str">
        <f>IF(Table1_1[[#This Row],[Customer Rating]]&gt;=4.5,"EXCELLENT",IF(Table1_1[[#This Row],[Customer Rating]]&lt;=4,"GOOD","AVERAGE"))</f>
        <v>AVERAGE</v>
      </c>
    </row>
    <row r="204" spans="1:12" x14ac:dyDescent="0.3">
      <c r="A204" t="s">
        <v>771</v>
      </c>
      <c r="B204" t="s">
        <v>1069</v>
      </c>
      <c r="C204" t="s">
        <v>1048</v>
      </c>
      <c r="D204">
        <v>16390.439999999999</v>
      </c>
      <c r="E204">
        <v>2</v>
      </c>
      <c r="F204">
        <f>SUM(Table1_1[[#This Row],[Price (INR)]]*Table1_1[[#This Row],[Quantity Sold]])</f>
        <v>32780.879999999997</v>
      </c>
      <c r="G204">
        <v>32780.879999999997</v>
      </c>
      <c r="H204" s="1">
        <v>45516</v>
      </c>
      <c r="I204" t="s">
        <v>1068</v>
      </c>
      <c r="J204">
        <v>4.2</v>
      </c>
      <c r="K204" t="str">
        <f>IF(Table1_1[[#This Row],[Quantity Sold]]&gt;=3,"BULK ORDER","REGULAR ORDER")</f>
        <v>REGULAR ORDER</v>
      </c>
      <c r="L204" t="str">
        <f>IF(Table1_1[[#This Row],[Customer Rating]]&gt;=4.5,"EXCELLENT",IF(Table1_1[[#This Row],[Customer Rating]]&lt;=4,"GOOD","AVERAGE"))</f>
        <v>AVERAGE</v>
      </c>
    </row>
    <row r="205" spans="1:12" x14ac:dyDescent="0.3">
      <c r="A205" t="s">
        <v>788</v>
      </c>
      <c r="B205" t="s">
        <v>1065</v>
      </c>
      <c r="C205" t="s">
        <v>1053</v>
      </c>
      <c r="D205">
        <v>28630.92</v>
      </c>
      <c r="E205">
        <v>4</v>
      </c>
      <c r="F205">
        <f>SUM(Table1_1[[#This Row],[Price (INR)]]*Table1_1[[#This Row],[Quantity Sold]])</f>
        <v>114523.68</v>
      </c>
      <c r="G205">
        <v>114523.68</v>
      </c>
      <c r="H205" s="1">
        <v>45675</v>
      </c>
      <c r="I205" t="s">
        <v>1068</v>
      </c>
      <c r="J205">
        <v>4.2</v>
      </c>
      <c r="K205" t="str">
        <f>IF(Table1_1[[#This Row],[Quantity Sold]]&gt;=3,"BULK ORDER","REGULAR ORDER")</f>
        <v>BULK ORDER</v>
      </c>
      <c r="L205" t="str">
        <f>IF(Table1_1[[#This Row],[Customer Rating]]&gt;=4.5,"EXCELLENT",IF(Table1_1[[#This Row],[Customer Rating]]&lt;=4,"GOOD","AVERAGE"))</f>
        <v>AVERAGE</v>
      </c>
    </row>
    <row r="206" spans="1:12" x14ac:dyDescent="0.3">
      <c r="A206" t="s">
        <v>880</v>
      </c>
      <c r="B206" t="s">
        <v>1072</v>
      </c>
      <c r="C206" t="s">
        <v>1057</v>
      </c>
      <c r="D206">
        <v>10766.58</v>
      </c>
      <c r="E206">
        <v>3</v>
      </c>
      <c r="F206">
        <f>SUM(Table1_1[[#This Row],[Price (INR)]]*Table1_1[[#This Row],[Quantity Sold]])</f>
        <v>32299.739999999998</v>
      </c>
      <c r="G206">
        <v>32299.74</v>
      </c>
      <c r="H206" s="1">
        <v>45387</v>
      </c>
      <c r="I206" t="s">
        <v>1068</v>
      </c>
      <c r="J206">
        <v>4.2</v>
      </c>
      <c r="K206" t="str">
        <f>IF(Table1_1[[#This Row],[Quantity Sold]]&gt;=3,"BULK ORDER","REGULAR ORDER")</f>
        <v>BULK ORDER</v>
      </c>
      <c r="L206" t="str">
        <f>IF(Table1_1[[#This Row],[Customer Rating]]&gt;=4.5,"EXCELLENT",IF(Table1_1[[#This Row],[Customer Rating]]&lt;=4,"GOOD","AVERAGE"))</f>
        <v>AVERAGE</v>
      </c>
    </row>
    <row r="207" spans="1:12" x14ac:dyDescent="0.3">
      <c r="A207" t="s">
        <v>894</v>
      </c>
      <c r="B207" t="s">
        <v>1079</v>
      </c>
      <c r="C207" t="s">
        <v>1057</v>
      </c>
      <c r="D207">
        <v>17795.7</v>
      </c>
      <c r="E207">
        <v>2</v>
      </c>
      <c r="F207">
        <f>SUM(Table1_1[[#This Row],[Price (INR)]]*Table1_1[[#This Row],[Quantity Sold]])</f>
        <v>35591.4</v>
      </c>
      <c r="G207">
        <v>35591.4</v>
      </c>
      <c r="H207" s="1">
        <v>45458</v>
      </c>
      <c r="I207" t="s">
        <v>42</v>
      </c>
      <c r="J207">
        <v>4.2</v>
      </c>
      <c r="K207" t="str">
        <f>IF(Table1_1[[#This Row],[Quantity Sold]]&gt;=3,"BULK ORDER","REGULAR ORDER")</f>
        <v>REGULAR ORDER</v>
      </c>
      <c r="L207" t="str">
        <f>IF(Table1_1[[#This Row],[Customer Rating]]&gt;=4.5,"EXCELLENT",IF(Table1_1[[#This Row],[Customer Rating]]&lt;=4,"GOOD","AVERAGE"))</f>
        <v>AVERAGE</v>
      </c>
    </row>
    <row r="208" spans="1:12" x14ac:dyDescent="0.3">
      <c r="A208" t="s">
        <v>935</v>
      </c>
      <c r="B208" t="s">
        <v>1056</v>
      </c>
      <c r="C208" t="s">
        <v>1057</v>
      </c>
      <c r="D208">
        <v>16158.74</v>
      </c>
      <c r="E208">
        <v>3</v>
      </c>
      <c r="F208">
        <f>SUM(Table1_1[[#This Row],[Price (INR)]]*Table1_1[[#This Row],[Quantity Sold]])</f>
        <v>48476.22</v>
      </c>
      <c r="G208">
        <v>48476.22</v>
      </c>
      <c r="H208" s="1">
        <v>45528</v>
      </c>
      <c r="I208" t="s">
        <v>42</v>
      </c>
      <c r="J208">
        <v>4.2</v>
      </c>
      <c r="K208" t="str">
        <f>IF(Table1_1[[#This Row],[Quantity Sold]]&gt;=3,"BULK ORDER","REGULAR ORDER")</f>
        <v>BULK ORDER</v>
      </c>
      <c r="L208" t="str">
        <f>IF(Table1_1[[#This Row],[Customer Rating]]&gt;=4.5,"EXCELLENT",IF(Table1_1[[#This Row],[Customer Rating]]&lt;=4,"GOOD","AVERAGE"))</f>
        <v>AVERAGE</v>
      </c>
    </row>
    <row r="209" spans="1:12" x14ac:dyDescent="0.3">
      <c r="A209" t="s">
        <v>936</v>
      </c>
      <c r="B209" t="s">
        <v>1050</v>
      </c>
      <c r="C209" t="s">
        <v>1051</v>
      </c>
      <c r="D209">
        <v>15387.4</v>
      </c>
      <c r="E209">
        <v>1</v>
      </c>
      <c r="F209">
        <f>SUM(Table1_1[[#This Row],[Price (INR)]]*Table1_1[[#This Row],[Quantity Sold]])</f>
        <v>15387.4</v>
      </c>
      <c r="G209">
        <v>15387.4</v>
      </c>
      <c r="H209" s="1">
        <v>45354</v>
      </c>
      <c r="I209" t="s">
        <v>16</v>
      </c>
      <c r="J209">
        <v>4.2</v>
      </c>
      <c r="K209" t="str">
        <f>IF(Table1_1[[#This Row],[Quantity Sold]]&gt;=3,"BULK ORDER","REGULAR ORDER")</f>
        <v>REGULAR ORDER</v>
      </c>
      <c r="L209" t="str">
        <f>IF(Table1_1[[#This Row],[Customer Rating]]&gt;=4.5,"EXCELLENT",IF(Table1_1[[#This Row],[Customer Rating]]&lt;=4,"GOOD","AVERAGE"))</f>
        <v>AVERAGE</v>
      </c>
    </row>
    <row r="210" spans="1:12" x14ac:dyDescent="0.3">
      <c r="A210" t="s">
        <v>956</v>
      </c>
      <c r="B210" t="s">
        <v>1064</v>
      </c>
      <c r="C210" t="s">
        <v>1053</v>
      </c>
      <c r="D210">
        <v>32712.91</v>
      </c>
      <c r="E210">
        <v>2</v>
      </c>
      <c r="F210">
        <f>SUM(Table1_1[[#This Row],[Price (INR)]]*Table1_1[[#This Row],[Quantity Sold]])</f>
        <v>65425.82</v>
      </c>
      <c r="G210">
        <v>65425.82</v>
      </c>
      <c r="H210" s="1">
        <v>45415</v>
      </c>
      <c r="I210" t="s">
        <v>1071</v>
      </c>
      <c r="J210">
        <v>4.2</v>
      </c>
      <c r="K210" t="str">
        <f>IF(Table1_1[[#This Row],[Quantity Sold]]&gt;=3,"BULK ORDER","REGULAR ORDER")</f>
        <v>REGULAR ORDER</v>
      </c>
      <c r="L210" t="str">
        <f>IF(Table1_1[[#This Row],[Customer Rating]]&gt;=4.5,"EXCELLENT",IF(Table1_1[[#This Row],[Customer Rating]]&lt;=4,"GOOD","AVERAGE"))</f>
        <v>AVERAGE</v>
      </c>
    </row>
    <row r="211" spans="1:12" x14ac:dyDescent="0.3">
      <c r="A211" t="s">
        <v>1032</v>
      </c>
      <c r="B211" t="s">
        <v>1062</v>
      </c>
      <c r="C211" t="s">
        <v>1051</v>
      </c>
      <c r="D211">
        <v>46055.88</v>
      </c>
      <c r="E211">
        <v>5</v>
      </c>
      <c r="F211">
        <f>SUM(Table1_1[[#This Row],[Price (INR)]]*Table1_1[[#This Row],[Quantity Sold]])</f>
        <v>230279.4</v>
      </c>
      <c r="G211">
        <v>230279.4</v>
      </c>
      <c r="H211" s="1">
        <v>45632</v>
      </c>
      <c r="I211" t="s">
        <v>42</v>
      </c>
      <c r="J211">
        <v>4.2</v>
      </c>
      <c r="K211" t="str">
        <f>IF(Table1_1[[#This Row],[Quantity Sold]]&gt;=3,"BULK ORDER","REGULAR ORDER")</f>
        <v>BULK ORDER</v>
      </c>
      <c r="L211" t="str">
        <f>IF(Table1_1[[#This Row],[Customer Rating]]&gt;=4.5,"EXCELLENT",IF(Table1_1[[#This Row],[Customer Rating]]&lt;=4,"GOOD","AVERAGE"))</f>
        <v>AVERAGE</v>
      </c>
    </row>
    <row r="212" spans="1:12" x14ac:dyDescent="0.3">
      <c r="A212" t="s">
        <v>92</v>
      </c>
      <c r="B212" t="s">
        <v>1077</v>
      </c>
      <c r="C212" t="s">
        <v>1048</v>
      </c>
      <c r="D212">
        <v>46224.88</v>
      </c>
      <c r="E212">
        <v>3</v>
      </c>
      <c r="F212">
        <f>SUM(Table1_1[[#This Row],[Price (INR)]]*Table1_1[[#This Row],[Quantity Sold]])</f>
        <v>138674.63999999998</v>
      </c>
      <c r="G212">
        <v>138674.64000000001</v>
      </c>
      <c r="H212" s="1">
        <v>45595</v>
      </c>
      <c r="I212" t="s">
        <v>1068</v>
      </c>
      <c r="J212">
        <v>4.0999999999999996</v>
      </c>
      <c r="K212" t="str">
        <f>IF(Table1_1[[#This Row],[Quantity Sold]]&gt;=3,"BULK ORDER","REGULAR ORDER")</f>
        <v>BULK ORDER</v>
      </c>
      <c r="L212" t="str">
        <f>IF(Table1_1[[#This Row],[Customer Rating]]&gt;=4.5,"EXCELLENT",IF(Table1_1[[#This Row],[Customer Rating]]&lt;=4,"GOOD","AVERAGE"))</f>
        <v>AVERAGE</v>
      </c>
    </row>
    <row r="213" spans="1:12" x14ac:dyDescent="0.3">
      <c r="A213" t="s">
        <v>97</v>
      </c>
      <c r="B213" t="s">
        <v>1050</v>
      </c>
      <c r="C213" t="s">
        <v>1051</v>
      </c>
      <c r="D213">
        <v>39176.54</v>
      </c>
      <c r="E213">
        <v>5</v>
      </c>
      <c r="F213">
        <f>SUM(Table1_1[[#This Row],[Price (INR)]]*Table1_1[[#This Row],[Quantity Sold]])</f>
        <v>195882.7</v>
      </c>
      <c r="G213">
        <v>195882.7</v>
      </c>
      <c r="H213" s="1">
        <v>45386</v>
      </c>
      <c r="I213" t="s">
        <v>1071</v>
      </c>
      <c r="J213">
        <v>4.0999999999999996</v>
      </c>
      <c r="K213" t="str">
        <f>IF(Table1_1[[#This Row],[Quantity Sold]]&gt;=3,"BULK ORDER","REGULAR ORDER")</f>
        <v>BULK ORDER</v>
      </c>
      <c r="L213" t="str">
        <f>IF(Table1_1[[#This Row],[Customer Rating]]&gt;=4.5,"EXCELLENT",IF(Table1_1[[#This Row],[Customer Rating]]&lt;=4,"GOOD","AVERAGE"))</f>
        <v>AVERAGE</v>
      </c>
    </row>
    <row r="214" spans="1:12" x14ac:dyDescent="0.3">
      <c r="A214" t="s">
        <v>215</v>
      </c>
      <c r="B214" t="s">
        <v>1075</v>
      </c>
      <c r="C214" t="s">
        <v>1053</v>
      </c>
      <c r="D214">
        <v>24619.84</v>
      </c>
      <c r="E214">
        <v>2</v>
      </c>
      <c r="F214">
        <f>SUM(Table1_1[[#This Row],[Price (INR)]]*Table1_1[[#This Row],[Quantity Sold]])</f>
        <v>49239.68</v>
      </c>
      <c r="G214">
        <v>49239.68</v>
      </c>
      <c r="H214" s="1">
        <v>45632</v>
      </c>
      <c r="I214" t="s">
        <v>1049</v>
      </c>
      <c r="J214">
        <v>4.0999999999999996</v>
      </c>
      <c r="K214" t="str">
        <f>IF(Table1_1[[#This Row],[Quantity Sold]]&gt;=3,"BULK ORDER","REGULAR ORDER")</f>
        <v>REGULAR ORDER</v>
      </c>
      <c r="L214" t="str">
        <f>IF(Table1_1[[#This Row],[Customer Rating]]&gt;=4.5,"EXCELLENT",IF(Table1_1[[#This Row],[Customer Rating]]&lt;=4,"GOOD","AVERAGE"))</f>
        <v>AVERAGE</v>
      </c>
    </row>
    <row r="215" spans="1:12" x14ac:dyDescent="0.3">
      <c r="A215" t="s">
        <v>218</v>
      </c>
      <c r="B215" t="s">
        <v>1077</v>
      </c>
      <c r="C215" t="s">
        <v>1048</v>
      </c>
      <c r="D215">
        <v>19386.27</v>
      </c>
      <c r="E215">
        <v>1</v>
      </c>
      <c r="F215">
        <f>SUM(Table1_1[[#This Row],[Price (INR)]]*Table1_1[[#This Row],[Quantity Sold]])</f>
        <v>19386.27</v>
      </c>
      <c r="G215">
        <v>19386.27</v>
      </c>
      <c r="H215" s="1">
        <v>45489</v>
      </c>
      <c r="I215" t="s">
        <v>42</v>
      </c>
      <c r="J215">
        <v>4.0999999999999996</v>
      </c>
      <c r="K215" t="str">
        <f>IF(Table1_1[[#This Row],[Quantity Sold]]&gt;=3,"BULK ORDER","REGULAR ORDER")</f>
        <v>REGULAR ORDER</v>
      </c>
      <c r="L215" t="str">
        <f>IF(Table1_1[[#This Row],[Customer Rating]]&gt;=4.5,"EXCELLENT",IF(Table1_1[[#This Row],[Customer Rating]]&lt;=4,"GOOD","AVERAGE"))</f>
        <v>AVERAGE</v>
      </c>
    </row>
    <row r="216" spans="1:12" x14ac:dyDescent="0.3">
      <c r="A216" t="s">
        <v>221</v>
      </c>
      <c r="B216" t="s">
        <v>1070</v>
      </c>
      <c r="C216" t="s">
        <v>1051</v>
      </c>
      <c r="D216">
        <v>32264.17</v>
      </c>
      <c r="E216">
        <v>1</v>
      </c>
      <c r="F216">
        <f>SUM(Table1_1[[#This Row],[Price (INR)]]*Table1_1[[#This Row],[Quantity Sold]])</f>
        <v>32264.17</v>
      </c>
      <c r="G216">
        <v>32264.17</v>
      </c>
      <c r="H216" s="1">
        <v>45495</v>
      </c>
      <c r="I216" t="s">
        <v>1071</v>
      </c>
      <c r="J216">
        <v>4.0999999999999996</v>
      </c>
      <c r="K216" t="str">
        <f>IF(Table1_1[[#This Row],[Quantity Sold]]&gt;=3,"BULK ORDER","REGULAR ORDER")</f>
        <v>REGULAR ORDER</v>
      </c>
      <c r="L216" t="str">
        <f>IF(Table1_1[[#This Row],[Customer Rating]]&gt;=4.5,"EXCELLENT",IF(Table1_1[[#This Row],[Customer Rating]]&lt;=4,"GOOD","AVERAGE"))</f>
        <v>AVERAGE</v>
      </c>
    </row>
    <row r="217" spans="1:12" x14ac:dyDescent="0.3">
      <c r="A217" t="s">
        <v>227</v>
      </c>
      <c r="B217" t="s">
        <v>1079</v>
      </c>
      <c r="C217" t="s">
        <v>1057</v>
      </c>
      <c r="D217">
        <v>47002.720000000001</v>
      </c>
      <c r="E217">
        <v>3</v>
      </c>
      <c r="F217">
        <f>SUM(Table1_1[[#This Row],[Price (INR)]]*Table1_1[[#This Row],[Quantity Sold]])</f>
        <v>141008.16</v>
      </c>
      <c r="G217">
        <v>141008.16</v>
      </c>
      <c r="H217" s="1">
        <v>45356</v>
      </c>
      <c r="I217" t="s">
        <v>1049</v>
      </c>
      <c r="J217">
        <v>4.0999999999999996</v>
      </c>
      <c r="K217" t="str">
        <f>IF(Table1_1[[#This Row],[Quantity Sold]]&gt;=3,"BULK ORDER","REGULAR ORDER")</f>
        <v>BULK ORDER</v>
      </c>
      <c r="L217" t="str">
        <f>IF(Table1_1[[#This Row],[Customer Rating]]&gt;=4.5,"EXCELLENT",IF(Table1_1[[#This Row],[Customer Rating]]&lt;=4,"GOOD","AVERAGE"))</f>
        <v>AVERAGE</v>
      </c>
    </row>
    <row r="218" spans="1:12" x14ac:dyDescent="0.3">
      <c r="A218" t="s">
        <v>234</v>
      </c>
      <c r="B218" t="s">
        <v>1073</v>
      </c>
      <c r="C218" t="s">
        <v>1053</v>
      </c>
      <c r="D218">
        <v>39372.11</v>
      </c>
      <c r="E218">
        <v>1</v>
      </c>
      <c r="F218">
        <f>SUM(Table1_1[[#This Row],[Price (INR)]]*Table1_1[[#This Row],[Quantity Sold]])</f>
        <v>39372.11</v>
      </c>
      <c r="G218">
        <v>39372.11</v>
      </c>
      <c r="H218" s="1">
        <v>45395</v>
      </c>
      <c r="I218" t="s">
        <v>1059</v>
      </c>
      <c r="J218">
        <v>4.0999999999999996</v>
      </c>
      <c r="K218" t="str">
        <f>IF(Table1_1[[#This Row],[Quantity Sold]]&gt;=3,"BULK ORDER","REGULAR ORDER")</f>
        <v>REGULAR ORDER</v>
      </c>
      <c r="L218" t="str">
        <f>IF(Table1_1[[#This Row],[Customer Rating]]&gt;=4.5,"EXCELLENT",IF(Table1_1[[#This Row],[Customer Rating]]&lt;=4,"GOOD","AVERAGE"))</f>
        <v>AVERAGE</v>
      </c>
    </row>
    <row r="219" spans="1:12" x14ac:dyDescent="0.3">
      <c r="A219" t="s">
        <v>313</v>
      </c>
      <c r="B219" t="s">
        <v>1063</v>
      </c>
      <c r="C219" t="s">
        <v>1055</v>
      </c>
      <c r="D219">
        <v>4248.25</v>
      </c>
      <c r="E219">
        <v>5</v>
      </c>
      <c r="F219">
        <f>SUM(Table1_1[[#This Row],[Price (INR)]]*Table1_1[[#This Row],[Quantity Sold]])</f>
        <v>21241.25</v>
      </c>
      <c r="G219">
        <v>21241.25</v>
      </c>
      <c r="H219" s="1">
        <v>45492</v>
      </c>
      <c r="I219" t="s">
        <v>1059</v>
      </c>
      <c r="J219">
        <v>4.0999999999999996</v>
      </c>
      <c r="K219" t="str">
        <f>IF(Table1_1[[#This Row],[Quantity Sold]]&gt;=3,"BULK ORDER","REGULAR ORDER")</f>
        <v>BULK ORDER</v>
      </c>
      <c r="L219" t="str">
        <f>IF(Table1_1[[#This Row],[Customer Rating]]&gt;=4.5,"EXCELLENT",IF(Table1_1[[#This Row],[Customer Rating]]&lt;=4,"GOOD","AVERAGE"))</f>
        <v>AVERAGE</v>
      </c>
    </row>
    <row r="220" spans="1:12" x14ac:dyDescent="0.3">
      <c r="A220" t="s">
        <v>324</v>
      </c>
      <c r="B220" t="s">
        <v>1060</v>
      </c>
      <c r="C220" t="s">
        <v>1051</v>
      </c>
      <c r="D220">
        <v>22968.18</v>
      </c>
      <c r="E220">
        <v>4</v>
      </c>
      <c r="F220">
        <f>SUM(Table1_1[[#This Row],[Price (INR)]]*Table1_1[[#This Row],[Quantity Sold]])</f>
        <v>91872.72</v>
      </c>
      <c r="G220">
        <v>91872.72</v>
      </c>
      <c r="H220" s="1">
        <v>45680</v>
      </c>
      <c r="I220" t="s">
        <v>1071</v>
      </c>
      <c r="J220">
        <v>4.0999999999999996</v>
      </c>
      <c r="K220" t="str">
        <f>IF(Table1_1[[#This Row],[Quantity Sold]]&gt;=3,"BULK ORDER","REGULAR ORDER")</f>
        <v>BULK ORDER</v>
      </c>
      <c r="L220" t="str">
        <f>IF(Table1_1[[#This Row],[Customer Rating]]&gt;=4.5,"EXCELLENT",IF(Table1_1[[#This Row],[Customer Rating]]&lt;=4,"GOOD","AVERAGE"))</f>
        <v>AVERAGE</v>
      </c>
    </row>
    <row r="221" spans="1:12" x14ac:dyDescent="0.3">
      <c r="A221" t="s">
        <v>327</v>
      </c>
      <c r="B221" t="s">
        <v>1056</v>
      </c>
      <c r="C221" t="s">
        <v>1057</v>
      </c>
      <c r="D221">
        <v>43043.82</v>
      </c>
      <c r="E221">
        <v>5</v>
      </c>
      <c r="F221">
        <f>SUM(Table1_1[[#This Row],[Price (INR)]]*Table1_1[[#This Row],[Quantity Sold]])</f>
        <v>215219.1</v>
      </c>
      <c r="G221">
        <v>215219.1</v>
      </c>
      <c r="H221" s="1">
        <v>45605</v>
      </c>
      <c r="I221" t="s">
        <v>1059</v>
      </c>
      <c r="J221">
        <v>4.0999999999999996</v>
      </c>
      <c r="K221" t="str">
        <f>IF(Table1_1[[#This Row],[Quantity Sold]]&gt;=3,"BULK ORDER","REGULAR ORDER")</f>
        <v>BULK ORDER</v>
      </c>
      <c r="L221" t="str">
        <f>IF(Table1_1[[#This Row],[Customer Rating]]&gt;=4.5,"EXCELLENT",IF(Table1_1[[#This Row],[Customer Rating]]&lt;=4,"GOOD","AVERAGE"))</f>
        <v>AVERAGE</v>
      </c>
    </row>
    <row r="222" spans="1:12" x14ac:dyDescent="0.3">
      <c r="A222" t="s">
        <v>334</v>
      </c>
      <c r="B222" t="s">
        <v>1058</v>
      </c>
      <c r="C222" t="s">
        <v>1057</v>
      </c>
      <c r="D222">
        <v>464.18</v>
      </c>
      <c r="E222">
        <v>3</v>
      </c>
      <c r="F222">
        <f>SUM(Table1_1[[#This Row],[Price (INR)]]*Table1_1[[#This Row],[Quantity Sold]])</f>
        <v>1392.54</v>
      </c>
      <c r="G222">
        <v>1392.54</v>
      </c>
      <c r="H222" s="1">
        <v>45506</v>
      </c>
      <c r="I222" t="s">
        <v>1049</v>
      </c>
      <c r="J222">
        <v>4.0999999999999996</v>
      </c>
      <c r="K222" t="str">
        <f>IF(Table1_1[[#This Row],[Quantity Sold]]&gt;=3,"BULK ORDER","REGULAR ORDER")</f>
        <v>BULK ORDER</v>
      </c>
      <c r="L222" t="str">
        <f>IF(Table1_1[[#This Row],[Customer Rating]]&gt;=4.5,"EXCELLENT",IF(Table1_1[[#This Row],[Customer Rating]]&lt;=4,"GOOD","AVERAGE"))</f>
        <v>AVERAGE</v>
      </c>
    </row>
    <row r="223" spans="1:12" x14ac:dyDescent="0.3">
      <c r="A223" t="s">
        <v>364</v>
      </c>
      <c r="B223" t="s">
        <v>1066</v>
      </c>
      <c r="C223" t="s">
        <v>1055</v>
      </c>
      <c r="D223">
        <v>23293.14</v>
      </c>
      <c r="E223">
        <v>2</v>
      </c>
      <c r="F223">
        <f>SUM(Table1_1[[#This Row],[Price (INR)]]*Table1_1[[#This Row],[Quantity Sold]])</f>
        <v>46586.28</v>
      </c>
      <c r="G223">
        <v>46586.28</v>
      </c>
      <c r="H223" s="1">
        <v>45451</v>
      </c>
      <c r="I223" t="s">
        <v>16</v>
      </c>
      <c r="J223">
        <v>4.0999999999999996</v>
      </c>
      <c r="K223" t="str">
        <f>IF(Table1_1[[#This Row],[Quantity Sold]]&gt;=3,"BULK ORDER","REGULAR ORDER")</f>
        <v>REGULAR ORDER</v>
      </c>
      <c r="L223" t="str">
        <f>IF(Table1_1[[#This Row],[Customer Rating]]&gt;=4.5,"EXCELLENT",IF(Table1_1[[#This Row],[Customer Rating]]&lt;=4,"GOOD","AVERAGE"))</f>
        <v>AVERAGE</v>
      </c>
    </row>
    <row r="224" spans="1:12" x14ac:dyDescent="0.3">
      <c r="A224" t="s">
        <v>456</v>
      </c>
      <c r="B224" t="s">
        <v>1075</v>
      </c>
      <c r="C224" t="s">
        <v>1053</v>
      </c>
      <c r="D224">
        <v>35325.379999999997</v>
      </c>
      <c r="E224">
        <v>2</v>
      </c>
      <c r="F224">
        <f>SUM(Table1_1[[#This Row],[Price (INR)]]*Table1_1[[#This Row],[Quantity Sold]])</f>
        <v>70650.759999999995</v>
      </c>
      <c r="G224">
        <v>70650.759999999995</v>
      </c>
      <c r="H224" s="1">
        <v>45430</v>
      </c>
      <c r="I224" t="s">
        <v>16</v>
      </c>
      <c r="J224">
        <v>4.0999999999999996</v>
      </c>
      <c r="K224" t="str">
        <f>IF(Table1_1[[#This Row],[Quantity Sold]]&gt;=3,"BULK ORDER","REGULAR ORDER")</f>
        <v>REGULAR ORDER</v>
      </c>
      <c r="L224" t="str">
        <f>IF(Table1_1[[#This Row],[Customer Rating]]&gt;=4.5,"EXCELLENT",IF(Table1_1[[#This Row],[Customer Rating]]&lt;=4,"GOOD","AVERAGE"))</f>
        <v>AVERAGE</v>
      </c>
    </row>
    <row r="225" spans="1:12" x14ac:dyDescent="0.3">
      <c r="A225" t="s">
        <v>468</v>
      </c>
      <c r="B225" t="s">
        <v>1074</v>
      </c>
      <c r="C225" t="s">
        <v>1055</v>
      </c>
      <c r="D225">
        <v>25233.95</v>
      </c>
      <c r="E225">
        <v>4</v>
      </c>
      <c r="F225">
        <f>SUM(Table1_1[[#This Row],[Price (INR)]]*Table1_1[[#This Row],[Quantity Sold]])</f>
        <v>100935.8</v>
      </c>
      <c r="G225">
        <v>100935.8</v>
      </c>
      <c r="H225" s="1">
        <v>45590</v>
      </c>
      <c r="I225" t="s">
        <v>42</v>
      </c>
      <c r="J225">
        <v>4.0999999999999996</v>
      </c>
      <c r="K225" t="str">
        <f>IF(Table1_1[[#This Row],[Quantity Sold]]&gt;=3,"BULK ORDER","REGULAR ORDER")</f>
        <v>BULK ORDER</v>
      </c>
      <c r="L225" t="str">
        <f>IF(Table1_1[[#This Row],[Customer Rating]]&gt;=4.5,"EXCELLENT",IF(Table1_1[[#This Row],[Customer Rating]]&lt;=4,"GOOD","AVERAGE"))</f>
        <v>AVERAGE</v>
      </c>
    </row>
    <row r="226" spans="1:12" x14ac:dyDescent="0.3">
      <c r="A226" t="s">
        <v>484</v>
      </c>
      <c r="B226" t="s">
        <v>1063</v>
      </c>
      <c r="C226" t="s">
        <v>1055</v>
      </c>
      <c r="D226">
        <v>26947.54</v>
      </c>
      <c r="E226">
        <v>2</v>
      </c>
      <c r="F226">
        <f>SUM(Table1_1[[#This Row],[Price (INR)]]*Table1_1[[#This Row],[Quantity Sold]])</f>
        <v>53895.08</v>
      </c>
      <c r="G226">
        <v>53895.08</v>
      </c>
      <c r="H226" s="1">
        <v>45448</v>
      </c>
      <c r="I226" t="s">
        <v>1071</v>
      </c>
      <c r="J226">
        <v>4.0999999999999996</v>
      </c>
      <c r="K226" t="str">
        <f>IF(Table1_1[[#This Row],[Quantity Sold]]&gt;=3,"BULK ORDER","REGULAR ORDER")</f>
        <v>REGULAR ORDER</v>
      </c>
      <c r="L226" t="str">
        <f>IF(Table1_1[[#This Row],[Customer Rating]]&gt;=4.5,"EXCELLENT",IF(Table1_1[[#This Row],[Customer Rating]]&lt;=4,"GOOD","AVERAGE"))</f>
        <v>AVERAGE</v>
      </c>
    </row>
    <row r="227" spans="1:12" x14ac:dyDescent="0.3">
      <c r="A227" t="s">
        <v>506</v>
      </c>
      <c r="B227" t="s">
        <v>1078</v>
      </c>
      <c r="C227" t="s">
        <v>1048</v>
      </c>
      <c r="D227">
        <v>18085.73</v>
      </c>
      <c r="E227">
        <v>3</v>
      </c>
      <c r="F227">
        <f>SUM(Table1_1[[#This Row],[Price (INR)]]*Table1_1[[#This Row],[Quantity Sold]])</f>
        <v>54257.19</v>
      </c>
      <c r="G227">
        <v>54257.19</v>
      </c>
      <c r="H227" s="1">
        <v>45485</v>
      </c>
      <c r="I227" t="s">
        <v>1071</v>
      </c>
      <c r="J227">
        <v>4.0999999999999996</v>
      </c>
      <c r="K227" t="str">
        <f>IF(Table1_1[[#This Row],[Quantity Sold]]&gt;=3,"BULK ORDER","REGULAR ORDER")</f>
        <v>BULK ORDER</v>
      </c>
      <c r="L227" t="str">
        <f>IF(Table1_1[[#This Row],[Customer Rating]]&gt;=4.5,"EXCELLENT",IF(Table1_1[[#This Row],[Customer Rating]]&lt;=4,"GOOD","AVERAGE"))</f>
        <v>AVERAGE</v>
      </c>
    </row>
    <row r="228" spans="1:12" x14ac:dyDescent="0.3">
      <c r="A228" t="s">
        <v>520</v>
      </c>
      <c r="B228" t="s">
        <v>1054</v>
      </c>
      <c r="C228" t="s">
        <v>1055</v>
      </c>
      <c r="D228">
        <v>29509.14</v>
      </c>
      <c r="E228">
        <v>3</v>
      </c>
      <c r="F228">
        <f>SUM(Table1_1[[#This Row],[Price (INR)]]*Table1_1[[#This Row],[Quantity Sold]])</f>
        <v>88527.42</v>
      </c>
      <c r="G228">
        <v>88527.42</v>
      </c>
      <c r="H228" s="1">
        <v>45641</v>
      </c>
      <c r="I228" t="s">
        <v>1071</v>
      </c>
      <c r="J228">
        <v>4.0999999999999996</v>
      </c>
      <c r="K228" t="str">
        <f>IF(Table1_1[[#This Row],[Quantity Sold]]&gt;=3,"BULK ORDER","REGULAR ORDER")</f>
        <v>BULK ORDER</v>
      </c>
      <c r="L228" t="str">
        <f>IF(Table1_1[[#This Row],[Customer Rating]]&gt;=4.5,"EXCELLENT",IF(Table1_1[[#This Row],[Customer Rating]]&lt;=4,"GOOD","AVERAGE"))</f>
        <v>AVERAGE</v>
      </c>
    </row>
    <row r="229" spans="1:12" x14ac:dyDescent="0.3">
      <c r="A229" t="s">
        <v>546</v>
      </c>
      <c r="B229" t="s">
        <v>1052</v>
      </c>
      <c r="C229" t="s">
        <v>1053</v>
      </c>
      <c r="D229">
        <v>35911.22</v>
      </c>
      <c r="E229">
        <v>4</v>
      </c>
      <c r="F229">
        <f>SUM(Table1_1[[#This Row],[Price (INR)]]*Table1_1[[#This Row],[Quantity Sold]])</f>
        <v>143644.88</v>
      </c>
      <c r="G229">
        <v>143644.88</v>
      </c>
      <c r="H229" s="1">
        <v>45547</v>
      </c>
      <c r="I229" t="s">
        <v>1068</v>
      </c>
      <c r="J229">
        <v>4.0999999999999996</v>
      </c>
      <c r="K229" t="str">
        <f>IF(Table1_1[[#This Row],[Quantity Sold]]&gt;=3,"BULK ORDER","REGULAR ORDER")</f>
        <v>BULK ORDER</v>
      </c>
      <c r="L229" t="str">
        <f>IF(Table1_1[[#This Row],[Customer Rating]]&gt;=4.5,"EXCELLENT",IF(Table1_1[[#This Row],[Customer Rating]]&lt;=4,"GOOD","AVERAGE"))</f>
        <v>AVERAGE</v>
      </c>
    </row>
    <row r="230" spans="1:12" x14ac:dyDescent="0.3">
      <c r="A230" t="s">
        <v>633</v>
      </c>
      <c r="B230" t="s">
        <v>1072</v>
      </c>
      <c r="C230" t="s">
        <v>1057</v>
      </c>
      <c r="D230">
        <v>30252.89</v>
      </c>
      <c r="E230">
        <v>4</v>
      </c>
      <c r="F230">
        <f>SUM(Table1_1[[#This Row],[Price (INR)]]*Table1_1[[#This Row],[Quantity Sold]])</f>
        <v>121011.56</v>
      </c>
      <c r="G230">
        <v>121011.56</v>
      </c>
      <c r="H230" s="1">
        <v>45642</v>
      </c>
      <c r="I230" t="s">
        <v>1059</v>
      </c>
      <c r="J230">
        <v>4.0999999999999996</v>
      </c>
      <c r="K230" t="str">
        <f>IF(Table1_1[[#This Row],[Quantity Sold]]&gt;=3,"BULK ORDER","REGULAR ORDER")</f>
        <v>BULK ORDER</v>
      </c>
      <c r="L230" t="str">
        <f>IF(Table1_1[[#This Row],[Customer Rating]]&gt;=4.5,"EXCELLENT",IF(Table1_1[[#This Row],[Customer Rating]]&lt;=4,"GOOD","AVERAGE"))</f>
        <v>AVERAGE</v>
      </c>
    </row>
    <row r="231" spans="1:12" x14ac:dyDescent="0.3">
      <c r="A231" t="s">
        <v>658</v>
      </c>
      <c r="B231" t="s">
        <v>1072</v>
      </c>
      <c r="C231" t="s">
        <v>1057</v>
      </c>
      <c r="D231">
        <v>23584.89</v>
      </c>
      <c r="E231">
        <v>3</v>
      </c>
      <c r="F231">
        <f>SUM(Table1_1[[#This Row],[Price (INR)]]*Table1_1[[#This Row],[Quantity Sold]])</f>
        <v>70754.67</v>
      </c>
      <c r="G231">
        <v>70754.67</v>
      </c>
      <c r="H231" s="1">
        <v>45480</v>
      </c>
      <c r="I231" t="s">
        <v>1059</v>
      </c>
      <c r="J231">
        <v>4.0999999999999996</v>
      </c>
      <c r="K231" t="str">
        <f>IF(Table1_1[[#This Row],[Quantity Sold]]&gt;=3,"BULK ORDER","REGULAR ORDER")</f>
        <v>BULK ORDER</v>
      </c>
      <c r="L231" t="str">
        <f>IF(Table1_1[[#This Row],[Customer Rating]]&gt;=4.5,"EXCELLENT",IF(Table1_1[[#This Row],[Customer Rating]]&lt;=4,"GOOD","AVERAGE"))</f>
        <v>AVERAGE</v>
      </c>
    </row>
    <row r="232" spans="1:12" x14ac:dyDescent="0.3">
      <c r="A232" t="s">
        <v>712</v>
      </c>
      <c r="B232" t="s">
        <v>1069</v>
      </c>
      <c r="C232" t="s">
        <v>1048</v>
      </c>
      <c r="D232">
        <v>29885.360000000001</v>
      </c>
      <c r="E232">
        <v>3</v>
      </c>
      <c r="F232">
        <f>SUM(Table1_1[[#This Row],[Price (INR)]]*Table1_1[[#This Row],[Quantity Sold]])</f>
        <v>89656.08</v>
      </c>
      <c r="G232">
        <v>89656.08</v>
      </c>
      <c r="H232" s="1">
        <v>45416</v>
      </c>
      <c r="I232" t="s">
        <v>1049</v>
      </c>
      <c r="J232">
        <v>4.0999999999999996</v>
      </c>
      <c r="K232" t="str">
        <f>IF(Table1_1[[#This Row],[Quantity Sold]]&gt;=3,"BULK ORDER","REGULAR ORDER")</f>
        <v>BULK ORDER</v>
      </c>
      <c r="L232" t="str">
        <f>IF(Table1_1[[#This Row],[Customer Rating]]&gt;=4.5,"EXCELLENT",IF(Table1_1[[#This Row],[Customer Rating]]&lt;=4,"GOOD","AVERAGE"))</f>
        <v>AVERAGE</v>
      </c>
    </row>
    <row r="233" spans="1:12" x14ac:dyDescent="0.3">
      <c r="A233" t="s">
        <v>752</v>
      </c>
      <c r="B233" t="s">
        <v>1067</v>
      </c>
      <c r="C233" t="s">
        <v>1048</v>
      </c>
      <c r="D233">
        <v>20686.939999999999</v>
      </c>
      <c r="E233">
        <v>3</v>
      </c>
      <c r="F233">
        <f>SUM(Table1_1[[#This Row],[Price (INR)]]*Table1_1[[#This Row],[Quantity Sold]])</f>
        <v>62060.819999999992</v>
      </c>
      <c r="G233">
        <v>62060.82</v>
      </c>
      <c r="H233" s="1">
        <v>45652</v>
      </c>
      <c r="I233" t="s">
        <v>1059</v>
      </c>
      <c r="J233">
        <v>4.0999999999999996</v>
      </c>
      <c r="K233" t="str">
        <f>IF(Table1_1[[#This Row],[Quantity Sold]]&gt;=3,"BULK ORDER","REGULAR ORDER")</f>
        <v>BULK ORDER</v>
      </c>
      <c r="L233" t="str">
        <f>IF(Table1_1[[#This Row],[Customer Rating]]&gt;=4.5,"EXCELLENT",IF(Table1_1[[#This Row],[Customer Rating]]&lt;=4,"GOOD","AVERAGE"))</f>
        <v>AVERAGE</v>
      </c>
    </row>
    <row r="234" spans="1:12" x14ac:dyDescent="0.3">
      <c r="A234" t="s">
        <v>762</v>
      </c>
      <c r="B234" t="s">
        <v>1077</v>
      </c>
      <c r="C234" t="s">
        <v>1048</v>
      </c>
      <c r="D234">
        <v>49409.89</v>
      </c>
      <c r="E234">
        <v>4</v>
      </c>
      <c r="F234">
        <f>SUM(Table1_1[[#This Row],[Price (INR)]]*Table1_1[[#This Row],[Quantity Sold]])</f>
        <v>197639.56</v>
      </c>
      <c r="G234">
        <v>197639.56</v>
      </c>
      <c r="H234" s="1">
        <v>45561</v>
      </c>
      <c r="I234" t="s">
        <v>1071</v>
      </c>
      <c r="J234">
        <v>4.0999999999999996</v>
      </c>
      <c r="K234" t="str">
        <f>IF(Table1_1[[#This Row],[Quantity Sold]]&gt;=3,"BULK ORDER","REGULAR ORDER")</f>
        <v>BULK ORDER</v>
      </c>
      <c r="L234" t="str">
        <f>IF(Table1_1[[#This Row],[Customer Rating]]&gt;=4.5,"EXCELLENT",IF(Table1_1[[#This Row],[Customer Rating]]&lt;=4,"GOOD","AVERAGE"))</f>
        <v>AVERAGE</v>
      </c>
    </row>
    <row r="235" spans="1:12" x14ac:dyDescent="0.3">
      <c r="A235" t="s">
        <v>868</v>
      </c>
      <c r="B235" t="s">
        <v>1061</v>
      </c>
      <c r="C235" t="s">
        <v>1057</v>
      </c>
      <c r="D235">
        <v>22835.78</v>
      </c>
      <c r="E235">
        <v>5</v>
      </c>
      <c r="F235">
        <f>SUM(Table1_1[[#This Row],[Price (INR)]]*Table1_1[[#This Row],[Quantity Sold]])</f>
        <v>114178.9</v>
      </c>
      <c r="G235">
        <v>114178.9</v>
      </c>
      <c r="H235" s="1">
        <v>45344</v>
      </c>
      <c r="I235" t="s">
        <v>1059</v>
      </c>
      <c r="J235">
        <v>4.0999999999999996</v>
      </c>
      <c r="K235" t="str">
        <f>IF(Table1_1[[#This Row],[Quantity Sold]]&gt;=3,"BULK ORDER","REGULAR ORDER")</f>
        <v>BULK ORDER</v>
      </c>
      <c r="L235" t="str">
        <f>IF(Table1_1[[#This Row],[Customer Rating]]&gt;=4.5,"EXCELLENT",IF(Table1_1[[#This Row],[Customer Rating]]&lt;=4,"GOOD","AVERAGE"))</f>
        <v>AVERAGE</v>
      </c>
    </row>
    <row r="236" spans="1:12" x14ac:dyDescent="0.3">
      <c r="A236" t="s">
        <v>925</v>
      </c>
      <c r="B236" t="s">
        <v>1070</v>
      </c>
      <c r="C236" t="s">
        <v>1051</v>
      </c>
      <c r="D236">
        <v>42307.18</v>
      </c>
      <c r="E236">
        <v>5</v>
      </c>
      <c r="F236">
        <f>SUM(Table1_1[[#This Row],[Price (INR)]]*Table1_1[[#This Row],[Quantity Sold]])</f>
        <v>211535.9</v>
      </c>
      <c r="G236">
        <v>211535.9</v>
      </c>
      <c r="H236" s="1">
        <v>45525</v>
      </c>
      <c r="I236" t="s">
        <v>42</v>
      </c>
      <c r="J236">
        <v>4.0999999999999996</v>
      </c>
      <c r="K236" t="str">
        <f>IF(Table1_1[[#This Row],[Quantity Sold]]&gt;=3,"BULK ORDER","REGULAR ORDER")</f>
        <v>BULK ORDER</v>
      </c>
      <c r="L236" t="str">
        <f>IF(Table1_1[[#This Row],[Customer Rating]]&gt;=4.5,"EXCELLENT",IF(Table1_1[[#This Row],[Customer Rating]]&lt;=4,"GOOD","AVERAGE"))</f>
        <v>AVERAGE</v>
      </c>
    </row>
    <row r="237" spans="1:12" x14ac:dyDescent="0.3">
      <c r="A237" t="s">
        <v>955</v>
      </c>
      <c r="B237" t="s">
        <v>1047</v>
      </c>
      <c r="C237" t="s">
        <v>1048</v>
      </c>
      <c r="D237">
        <v>49796.61</v>
      </c>
      <c r="E237">
        <v>1</v>
      </c>
      <c r="F237">
        <f>SUM(Table1_1[[#This Row],[Price (INR)]]*Table1_1[[#This Row],[Quantity Sold]])</f>
        <v>49796.61</v>
      </c>
      <c r="G237">
        <v>49796.61</v>
      </c>
      <c r="H237" s="1">
        <v>45590</v>
      </c>
      <c r="I237" t="s">
        <v>42</v>
      </c>
      <c r="J237">
        <v>4.0999999999999996</v>
      </c>
      <c r="K237" t="str">
        <f>IF(Table1_1[[#This Row],[Quantity Sold]]&gt;=3,"BULK ORDER","REGULAR ORDER")</f>
        <v>REGULAR ORDER</v>
      </c>
      <c r="L237" t="str">
        <f>IF(Table1_1[[#This Row],[Customer Rating]]&gt;=4.5,"EXCELLENT",IF(Table1_1[[#This Row],[Customer Rating]]&lt;=4,"GOOD","AVERAGE"))</f>
        <v>AVERAGE</v>
      </c>
    </row>
    <row r="238" spans="1:12" x14ac:dyDescent="0.3">
      <c r="A238" t="s">
        <v>960</v>
      </c>
      <c r="B238" t="s">
        <v>1076</v>
      </c>
      <c r="C238" t="s">
        <v>1055</v>
      </c>
      <c r="D238">
        <v>16003.38</v>
      </c>
      <c r="E238">
        <v>2</v>
      </c>
      <c r="F238">
        <f>SUM(Table1_1[[#This Row],[Price (INR)]]*Table1_1[[#This Row],[Quantity Sold]])</f>
        <v>32006.76</v>
      </c>
      <c r="G238">
        <v>32006.76</v>
      </c>
      <c r="H238" s="1">
        <v>45548</v>
      </c>
      <c r="I238" t="s">
        <v>16</v>
      </c>
      <c r="J238">
        <v>4.0999999999999996</v>
      </c>
      <c r="K238" t="str">
        <f>IF(Table1_1[[#This Row],[Quantity Sold]]&gt;=3,"BULK ORDER","REGULAR ORDER")</f>
        <v>REGULAR ORDER</v>
      </c>
      <c r="L238" t="str">
        <f>IF(Table1_1[[#This Row],[Customer Rating]]&gt;=4.5,"EXCELLENT",IF(Table1_1[[#This Row],[Customer Rating]]&lt;=4,"GOOD","AVERAGE"))</f>
        <v>AVERAGE</v>
      </c>
    </row>
    <row r="239" spans="1:12" x14ac:dyDescent="0.3">
      <c r="A239" t="s">
        <v>979</v>
      </c>
      <c r="B239" t="s">
        <v>1074</v>
      </c>
      <c r="C239" t="s">
        <v>1055</v>
      </c>
      <c r="D239">
        <v>48073.8</v>
      </c>
      <c r="E239">
        <v>4</v>
      </c>
      <c r="F239">
        <f>SUM(Table1_1[[#This Row],[Price (INR)]]*Table1_1[[#This Row],[Quantity Sold]])</f>
        <v>192295.2</v>
      </c>
      <c r="G239">
        <v>192295.2</v>
      </c>
      <c r="H239" s="1">
        <v>45568</v>
      </c>
      <c r="I239" t="s">
        <v>1068</v>
      </c>
      <c r="J239">
        <v>4.0999999999999996</v>
      </c>
      <c r="K239" t="str">
        <f>IF(Table1_1[[#This Row],[Quantity Sold]]&gt;=3,"BULK ORDER","REGULAR ORDER")</f>
        <v>BULK ORDER</v>
      </c>
      <c r="L239" t="str">
        <f>IF(Table1_1[[#This Row],[Customer Rating]]&gt;=4.5,"EXCELLENT",IF(Table1_1[[#This Row],[Customer Rating]]&lt;=4,"GOOD","AVERAGE"))</f>
        <v>AVERAGE</v>
      </c>
    </row>
    <row r="240" spans="1:12" x14ac:dyDescent="0.3">
      <c r="A240" t="s">
        <v>35</v>
      </c>
      <c r="B240" t="s">
        <v>1063</v>
      </c>
      <c r="C240" t="s">
        <v>1055</v>
      </c>
      <c r="D240">
        <v>26876.51</v>
      </c>
      <c r="E240">
        <v>2</v>
      </c>
      <c r="F240">
        <f>SUM(Table1_1[[#This Row],[Price (INR)]]*Table1_1[[#This Row],[Quantity Sold]])</f>
        <v>53753.02</v>
      </c>
      <c r="G240">
        <v>53753.02</v>
      </c>
      <c r="H240" s="1">
        <v>45365</v>
      </c>
      <c r="I240" t="s">
        <v>1049</v>
      </c>
      <c r="J240">
        <v>4</v>
      </c>
      <c r="K240" t="str">
        <f>IF(Table1_1[[#This Row],[Quantity Sold]]&gt;=3,"BULK ORDER","REGULAR ORDER")</f>
        <v>REGULAR ORDER</v>
      </c>
      <c r="L240" t="str">
        <f>IF(Table1_1[[#This Row],[Customer Rating]]&gt;=4.5,"EXCELLENT",IF(Table1_1[[#This Row],[Customer Rating]]&lt;=4,"GOOD","AVERAGE"))</f>
        <v>GOOD</v>
      </c>
    </row>
    <row r="241" spans="1:12" x14ac:dyDescent="0.3">
      <c r="A241" t="s">
        <v>52</v>
      </c>
      <c r="B241" t="s">
        <v>1069</v>
      </c>
      <c r="C241" t="s">
        <v>1048</v>
      </c>
      <c r="D241">
        <v>4398.59</v>
      </c>
      <c r="E241">
        <v>5</v>
      </c>
      <c r="F241">
        <f>SUM(Table1_1[[#This Row],[Price (INR)]]*Table1_1[[#This Row],[Quantity Sold]])</f>
        <v>21992.95</v>
      </c>
      <c r="G241">
        <v>21992.95</v>
      </c>
      <c r="H241" s="1">
        <v>45373</v>
      </c>
      <c r="I241" t="s">
        <v>1059</v>
      </c>
      <c r="J241">
        <v>4</v>
      </c>
      <c r="K241" t="str">
        <f>IF(Table1_1[[#This Row],[Quantity Sold]]&gt;=3,"BULK ORDER","REGULAR ORDER")</f>
        <v>BULK ORDER</v>
      </c>
      <c r="L241" t="str">
        <f>IF(Table1_1[[#This Row],[Customer Rating]]&gt;=4.5,"EXCELLENT",IF(Table1_1[[#This Row],[Customer Rating]]&lt;=4,"GOOD","AVERAGE"))</f>
        <v>GOOD</v>
      </c>
    </row>
    <row r="242" spans="1:12" x14ac:dyDescent="0.3">
      <c r="A242" t="s">
        <v>78</v>
      </c>
      <c r="B242" t="s">
        <v>1067</v>
      </c>
      <c r="C242" t="s">
        <v>1048</v>
      </c>
      <c r="D242">
        <v>37004.54</v>
      </c>
      <c r="E242">
        <v>4</v>
      </c>
      <c r="F242">
        <f>SUM(Table1_1[[#This Row],[Price (INR)]]*Table1_1[[#This Row],[Quantity Sold]])</f>
        <v>148018.16</v>
      </c>
      <c r="G242">
        <v>148018.16</v>
      </c>
      <c r="H242" s="1">
        <v>45591</v>
      </c>
      <c r="I242" t="s">
        <v>1049</v>
      </c>
      <c r="J242">
        <v>4</v>
      </c>
      <c r="K242" t="str">
        <f>IF(Table1_1[[#This Row],[Quantity Sold]]&gt;=3,"BULK ORDER","REGULAR ORDER")</f>
        <v>BULK ORDER</v>
      </c>
      <c r="L242" t="str">
        <f>IF(Table1_1[[#This Row],[Customer Rating]]&gt;=4.5,"EXCELLENT",IF(Table1_1[[#This Row],[Customer Rating]]&lt;=4,"GOOD","AVERAGE"))</f>
        <v>GOOD</v>
      </c>
    </row>
    <row r="243" spans="1:12" x14ac:dyDescent="0.3">
      <c r="A243" t="s">
        <v>79</v>
      </c>
      <c r="B243" t="s">
        <v>1069</v>
      </c>
      <c r="C243" t="s">
        <v>1048</v>
      </c>
      <c r="D243">
        <v>27961.78</v>
      </c>
      <c r="E243">
        <v>5</v>
      </c>
      <c r="F243">
        <f>SUM(Table1_1[[#This Row],[Price (INR)]]*Table1_1[[#This Row],[Quantity Sold]])</f>
        <v>139808.9</v>
      </c>
      <c r="G243">
        <v>139808.9</v>
      </c>
      <c r="H243" s="1">
        <v>45345</v>
      </c>
      <c r="I243" t="s">
        <v>1071</v>
      </c>
      <c r="J243">
        <v>4</v>
      </c>
      <c r="K243" t="str">
        <f>IF(Table1_1[[#This Row],[Quantity Sold]]&gt;=3,"BULK ORDER","REGULAR ORDER")</f>
        <v>BULK ORDER</v>
      </c>
      <c r="L243" t="str">
        <f>IF(Table1_1[[#This Row],[Customer Rating]]&gt;=4.5,"EXCELLENT",IF(Table1_1[[#This Row],[Customer Rating]]&lt;=4,"GOOD","AVERAGE"))</f>
        <v>GOOD</v>
      </c>
    </row>
    <row r="244" spans="1:12" x14ac:dyDescent="0.3">
      <c r="A244" t="s">
        <v>122</v>
      </c>
      <c r="B244" t="s">
        <v>1065</v>
      </c>
      <c r="C244" t="s">
        <v>1053</v>
      </c>
      <c r="D244">
        <v>21317.31</v>
      </c>
      <c r="E244">
        <v>5</v>
      </c>
      <c r="F244">
        <f>SUM(Table1_1[[#This Row],[Price (INR)]]*Table1_1[[#This Row],[Quantity Sold]])</f>
        <v>106586.55</v>
      </c>
      <c r="G244">
        <v>106586.55</v>
      </c>
      <c r="H244" s="1">
        <v>45489</v>
      </c>
      <c r="I244" t="s">
        <v>1068</v>
      </c>
      <c r="J244">
        <v>4</v>
      </c>
      <c r="K244" t="str">
        <f>IF(Table1_1[[#This Row],[Quantity Sold]]&gt;=3,"BULK ORDER","REGULAR ORDER")</f>
        <v>BULK ORDER</v>
      </c>
      <c r="L244" t="str">
        <f>IF(Table1_1[[#This Row],[Customer Rating]]&gt;=4.5,"EXCELLENT",IF(Table1_1[[#This Row],[Customer Rating]]&lt;=4,"GOOD","AVERAGE"))</f>
        <v>GOOD</v>
      </c>
    </row>
    <row r="245" spans="1:12" x14ac:dyDescent="0.3">
      <c r="A245" t="s">
        <v>133</v>
      </c>
      <c r="B245" t="s">
        <v>1054</v>
      </c>
      <c r="C245" t="s">
        <v>1055</v>
      </c>
      <c r="D245">
        <v>30238.47</v>
      </c>
      <c r="E245">
        <v>2</v>
      </c>
      <c r="F245">
        <f>SUM(Table1_1[[#This Row],[Price (INR)]]*Table1_1[[#This Row],[Quantity Sold]])</f>
        <v>60476.94</v>
      </c>
      <c r="G245">
        <v>60476.94</v>
      </c>
      <c r="H245" s="1">
        <v>45559</v>
      </c>
      <c r="I245" t="s">
        <v>1071</v>
      </c>
      <c r="J245">
        <v>4</v>
      </c>
      <c r="K245" t="str">
        <f>IF(Table1_1[[#This Row],[Quantity Sold]]&gt;=3,"BULK ORDER","REGULAR ORDER")</f>
        <v>REGULAR ORDER</v>
      </c>
      <c r="L245" t="str">
        <f>IF(Table1_1[[#This Row],[Customer Rating]]&gt;=4.5,"EXCELLENT",IF(Table1_1[[#This Row],[Customer Rating]]&lt;=4,"GOOD","AVERAGE"))</f>
        <v>GOOD</v>
      </c>
    </row>
    <row r="246" spans="1:12" x14ac:dyDescent="0.3">
      <c r="A246" t="s">
        <v>146</v>
      </c>
      <c r="B246" t="s">
        <v>1047</v>
      </c>
      <c r="C246" t="s">
        <v>1048</v>
      </c>
      <c r="D246">
        <v>32788.199999999997</v>
      </c>
      <c r="E246">
        <v>5</v>
      </c>
      <c r="F246">
        <f>SUM(Table1_1[[#This Row],[Price (INR)]]*Table1_1[[#This Row],[Quantity Sold]])</f>
        <v>163941</v>
      </c>
      <c r="G246">
        <v>163941</v>
      </c>
      <c r="H246" s="1">
        <v>45480</v>
      </c>
      <c r="I246" t="s">
        <v>1068</v>
      </c>
      <c r="J246">
        <v>4</v>
      </c>
      <c r="K246" t="str">
        <f>IF(Table1_1[[#This Row],[Quantity Sold]]&gt;=3,"BULK ORDER","REGULAR ORDER")</f>
        <v>BULK ORDER</v>
      </c>
      <c r="L246" t="str">
        <f>IF(Table1_1[[#This Row],[Customer Rating]]&gt;=4.5,"EXCELLENT",IF(Table1_1[[#This Row],[Customer Rating]]&lt;=4,"GOOD","AVERAGE"))</f>
        <v>GOOD</v>
      </c>
    </row>
    <row r="247" spans="1:12" x14ac:dyDescent="0.3">
      <c r="A247" t="s">
        <v>174</v>
      </c>
      <c r="B247" t="s">
        <v>1080</v>
      </c>
      <c r="C247" t="s">
        <v>1051</v>
      </c>
      <c r="D247">
        <v>27309.73</v>
      </c>
      <c r="E247">
        <v>3</v>
      </c>
      <c r="F247">
        <f>SUM(Table1_1[[#This Row],[Price (INR)]]*Table1_1[[#This Row],[Quantity Sold]])</f>
        <v>81929.19</v>
      </c>
      <c r="G247">
        <v>81929.19</v>
      </c>
      <c r="H247" s="1">
        <v>45460</v>
      </c>
      <c r="I247" t="s">
        <v>1071</v>
      </c>
      <c r="J247">
        <v>4</v>
      </c>
      <c r="K247" t="str">
        <f>IF(Table1_1[[#This Row],[Quantity Sold]]&gt;=3,"BULK ORDER","REGULAR ORDER")</f>
        <v>BULK ORDER</v>
      </c>
      <c r="L247" t="str">
        <f>IF(Table1_1[[#This Row],[Customer Rating]]&gt;=4.5,"EXCELLENT",IF(Table1_1[[#This Row],[Customer Rating]]&lt;=4,"GOOD","AVERAGE"))</f>
        <v>GOOD</v>
      </c>
    </row>
    <row r="248" spans="1:12" x14ac:dyDescent="0.3">
      <c r="A248" t="s">
        <v>188</v>
      </c>
      <c r="B248" t="s">
        <v>1075</v>
      </c>
      <c r="C248" t="s">
        <v>1053</v>
      </c>
      <c r="D248">
        <v>15344.02</v>
      </c>
      <c r="E248">
        <v>1</v>
      </c>
      <c r="F248">
        <f>SUM(Table1_1[[#This Row],[Price (INR)]]*Table1_1[[#This Row],[Quantity Sold]])</f>
        <v>15344.02</v>
      </c>
      <c r="G248">
        <v>15344.02</v>
      </c>
      <c r="H248" s="1">
        <v>45428</v>
      </c>
      <c r="I248" t="s">
        <v>16</v>
      </c>
      <c r="J248">
        <v>4</v>
      </c>
      <c r="K248" t="str">
        <f>IF(Table1_1[[#This Row],[Quantity Sold]]&gt;=3,"BULK ORDER","REGULAR ORDER")</f>
        <v>REGULAR ORDER</v>
      </c>
      <c r="L248" t="str">
        <f>IF(Table1_1[[#This Row],[Customer Rating]]&gt;=4.5,"EXCELLENT",IF(Table1_1[[#This Row],[Customer Rating]]&lt;=4,"GOOD","AVERAGE"))</f>
        <v>GOOD</v>
      </c>
    </row>
    <row r="249" spans="1:12" x14ac:dyDescent="0.3">
      <c r="A249" t="s">
        <v>325</v>
      </c>
      <c r="B249" t="s">
        <v>1079</v>
      </c>
      <c r="C249" t="s">
        <v>1057</v>
      </c>
      <c r="D249">
        <v>43444.93</v>
      </c>
      <c r="E249">
        <v>1</v>
      </c>
      <c r="F249">
        <f>SUM(Table1_1[[#This Row],[Price (INR)]]*Table1_1[[#This Row],[Quantity Sold]])</f>
        <v>43444.93</v>
      </c>
      <c r="G249">
        <v>43444.93</v>
      </c>
      <c r="H249" s="1">
        <v>45667</v>
      </c>
      <c r="I249" t="s">
        <v>1059</v>
      </c>
      <c r="J249">
        <v>4</v>
      </c>
      <c r="K249" t="str">
        <f>IF(Table1_1[[#This Row],[Quantity Sold]]&gt;=3,"BULK ORDER","REGULAR ORDER")</f>
        <v>REGULAR ORDER</v>
      </c>
      <c r="L249" t="str">
        <f>IF(Table1_1[[#This Row],[Customer Rating]]&gt;=4.5,"EXCELLENT",IF(Table1_1[[#This Row],[Customer Rating]]&lt;=4,"GOOD","AVERAGE"))</f>
        <v>GOOD</v>
      </c>
    </row>
    <row r="250" spans="1:12" x14ac:dyDescent="0.3">
      <c r="A250" t="s">
        <v>331</v>
      </c>
      <c r="B250" t="s">
        <v>1070</v>
      </c>
      <c r="C250" t="s">
        <v>1051</v>
      </c>
      <c r="D250">
        <v>37295.08</v>
      </c>
      <c r="E250">
        <v>1</v>
      </c>
      <c r="F250">
        <f>SUM(Table1_1[[#This Row],[Price (INR)]]*Table1_1[[#This Row],[Quantity Sold]])</f>
        <v>37295.08</v>
      </c>
      <c r="G250">
        <v>37295.08</v>
      </c>
      <c r="H250" s="1">
        <v>45694</v>
      </c>
      <c r="I250" t="s">
        <v>16</v>
      </c>
      <c r="J250">
        <v>4</v>
      </c>
      <c r="K250" t="str">
        <f>IF(Table1_1[[#This Row],[Quantity Sold]]&gt;=3,"BULK ORDER","REGULAR ORDER")</f>
        <v>REGULAR ORDER</v>
      </c>
      <c r="L250" t="str">
        <f>IF(Table1_1[[#This Row],[Customer Rating]]&gt;=4.5,"EXCELLENT",IF(Table1_1[[#This Row],[Customer Rating]]&lt;=4,"GOOD","AVERAGE"))</f>
        <v>GOOD</v>
      </c>
    </row>
    <row r="251" spans="1:12" x14ac:dyDescent="0.3">
      <c r="A251" t="s">
        <v>410</v>
      </c>
      <c r="B251" t="s">
        <v>1058</v>
      </c>
      <c r="C251" t="s">
        <v>1057</v>
      </c>
      <c r="D251">
        <v>41333.21</v>
      </c>
      <c r="E251">
        <v>1</v>
      </c>
      <c r="F251">
        <f>SUM(Table1_1[[#This Row],[Price (INR)]]*Table1_1[[#This Row],[Quantity Sold]])</f>
        <v>41333.21</v>
      </c>
      <c r="G251">
        <v>41333.21</v>
      </c>
      <c r="H251" s="1">
        <v>45685</v>
      </c>
      <c r="I251" t="s">
        <v>1071</v>
      </c>
      <c r="J251">
        <v>4</v>
      </c>
      <c r="K251" t="str">
        <f>IF(Table1_1[[#This Row],[Quantity Sold]]&gt;=3,"BULK ORDER","REGULAR ORDER")</f>
        <v>REGULAR ORDER</v>
      </c>
      <c r="L251" t="str">
        <f>IF(Table1_1[[#This Row],[Customer Rating]]&gt;=4.5,"EXCELLENT",IF(Table1_1[[#This Row],[Customer Rating]]&lt;=4,"GOOD","AVERAGE"))</f>
        <v>GOOD</v>
      </c>
    </row>
    <row r="252" spans="1:12" x14ac:dyDescent="0.3">
      <c r="A252" t="s">
        <v>416</v>
      </c>
      <c r="B252" t="s">
        <v>1066</v>
      </c>
      <c r="C252" t="s">
        <v>1055</v>
      </c>
      <c r="D252">
        <v>704.55</v>
      </c>
      <c r="E252">
        <v>5</v>
      </c>
      <c r="F252">
        <f>SUM(Table1_1[[#This Row],[Price (INR)]]*Table1_1[[#This Row],[Quantity Sold]])</f>
        <v>3522.75</v>
      </c>
      <c r="G252">
        <v>3522.75</v>
      </c>
      <c r="H252" s="1">
        <v>45440</v>
      </c>
      <c r="I252" t="s">
        <v>1049</v>
      </c>
      <c r="J252">
        <v>4</v>
      </c>
      <c r="K252" t="str">
        <f>IF(Table1_1[[#This Row],[Quantity Sold]]&gt;=3,"BULK ORDER","REGULAR ORDER")</f>
        <v>BULK ORDER</v>
      </c>
      <c r="L252" t="str">
        <f>IF(Table1_1[[#This Row],[Customer Rating]]&gt;=4.5,"EXCELLENT",IF(Table1_1[[#This Row],[Customer Rating]]&lt;=4,"GOOD","AVERAGE"))</f>
        <v>GOOD</v>
      </c>
    </row>
    <row r="253" spans="1:12" x14ac:dyDescent="0.3">
      <c r="A253" t="s">
        <v>417</v>
      </c>
      <c r="B253" t="s">
        <v>1061</v>
      </c>
      <c r="C253" t="s">
        <v>1057</v>
      </c>
      <c r="D253">
        <v>38629</v>
      </c>
      <c r="E253">
        <v>1</v>
      </c>
      <c r="F253">
        <f>SUM(Table1_1[[#This Row],[Price (INR)]]*Table1_1[[#This Row],[Quantity Sold]])</f>
        <v>38629</v>
      </c>
      <c r="G253">
        <v>38629</v>
      </c>
      <c r="H253" s="1">
        <v>45488</v>
      </c>
      <c r="I253" t="s">
        <v>1071</v>
      </c>
      <c r="J253">
        <v>4</v>
      </c>
      <c r="K253" t="str">
        <f>IF(Table1_1[[#This Row],[Quantity Sold]]&gt;=3,"BULK ORDER","REGULAR ORDER")</f>
        <v>REGULAR ORDER</v>
      </c>
      <c r="L253" t="str">
        <f>IF(Table1_1[[#This Row],[Customer Rating]]&gt;=4.5,"EXCELLENT",IF(Table1_1[[#This Row],[Customer Rating]]&lt;=4,"GOOD","AVERAGE"))</f>
        <v>GOOD</v>
      </c>
    </row>
    <row r="254" spans="1:12" x14ac:dyDescent="0.3">
      <c r="A254" t="s">
        <v>477</v>
      </c>
      <c r="B254" t="s">
        <v>1074</v>
      </c>
      <c r="C254" t="s">
        <v>1055</v>
      </c>
      <c r="D254">
        <v>38160.980000000003</v>
      </c>
      <c r="E254">
        <v>2</v>
      </c>
      <c r="F254">
        <f>SUM(Table1_1[[#This Row],[Price (INR)]]*Table1_1[[#This Row],[Quantity Sold]])</f>
        <v>76321.960000000006</v>
      </c>
      <c r="G254">
        <v>76321.960000000006</v>
      </c>
      <c r="H254" s="1">
        <v>45382</v>
      </c>
      <c r="I254" t="s">
        <v>1049</v>
      </c>
      <c r="J254">
        <v>4</v>
      </c>
      <c r="K254" t="str">
        <f>IF(Table1_1[[#This Row],[Quantity Sold]]&gt;=3,"BULK ORDER","REGULAR ORDER")</f>
        <v>REGULAR ORDER</v>
      </c>
      <c r="L254" t="str">
        <f>IF(Table1_1[[#This Row],[Customer Rating]]&gt;=4.5,"EXCELLENT",IF(Table1_1[[#This Row],[Customer Rating]]&lt;=4,"GOOD","AVERAGE"))</f>
        <v>GOOD</v>
      </c>
    </row>
    <row r="255" spans="1:12" x14ac:dyDescent="0.3">
      <c r="A255" t="s">
        <v>495</v>
      </c>
      <c r="B255" t="s">
        <v>1060</v>
      </c>
      <c r="C255" t="s">
        <v>1051</v>
      </c>
      <c r="D255">
        <v>3995.44</v>
      </c>
      <c r="E255">
        <v>4</v>
      </c>
      <c r="F255">
        <f>SUM(Table1_1[[#This Row],[Price (INR)]]*Table1_1[[#This Row],[Quantity Sold]])</f>
        <v>15981.76</v>
      </c>
      <c r="G255">
        <v>15981.76</v>
      </c>
      <c r="H255" s="1">
        <v>45438</v>
      </c>
      <c r="I255" t="s">
        <v>1049</v>
      </c>
      <c r="J255">
        <v>4</v>
      </c>
      <c r="K255" t="str">
        <f>IF(Table1_1[[#This Row],[Quantity Sold]]&gt;=3,"BULK ORDER","REGULAR ORDER")</f>
        <v>BULK ORDER</v>
      </c>
      <c r="L255" t="str">
        <f>IF(Table1_1[[#This Row],[Customer Rating]]&gt;=4.5,"EXCELLENT",IF(Table1_1[[#This Row],[Customer Rating]]&lt;=4,"GOOD","AVERAGE"))</f>
        <v>GOOD</v>
      </c>
    </row>
    <row r="256" spans="1:12" x14ac:dyDescent="0.3">
      <c r="A256" t="s">
        <v>496</v>
      </c>
      <c r="B256" t="s">
        <v>1052</v>
      </c>
      <c r="C256" t="s">
        <v>1053</v>
      </c>
      <c r="D256">
        <v>38728.75</v>
      </c>
      <c r="E256">
        <v>1</v>
      </c>
      <c r="F256">
        <f>SUM(Table1_1[[#This Row],[Price (INR)]]*Table1_1[[#This Row],[Quantity Sold]])</f>
        <v>38728.75</v>
      </c>
      <c r="G256">
        <v>38728.75</v>
      </c>
      <c r="H256" s="1">
        <v>45570</v>
      </c>
      <c r="I256" t="s">
        <v>1059</v>
      </c>
      <c r="J256">
        <v>4</v>
      </c>
      <c r="K256" t="str">
        <f>IF(Table1_1[[#This Row],[Quantity Sold]]&gt;=3,"BULK ORDER","REGULAR ORDER")</f>
        <v>REGULAR ORDER</v>
      </c>
      <c r="L256" t="str">
        <f>IF(Table1_1[[#This Row],[Customer Rating]]&gt;=4.5,"EXCELLENT",IF(Table1_1[[#This Row],[Customer Rating]]&lt;=4,"GOOD","AVERAGE"))</f>
        <v>GOOD</v>
      </c>
    </row>
    <row r="257" spans="1:12" x14ac:dyDescent="0.3">
      <c r="A257" t="s">
        <v>510</v>
      </c>
      <c r="B257" t="s">
        <v>1054</v>
      </c>
      <c r="C257" t="s">
        <v>1055</v>
      </c>
      <c r="D257">
        <v>31005.06</v>
      </c>
      <c r="E257">
        <v>4</v>
      </c>
      <c r="F257">
        <f>SUM(Table1_1[[#This Row],[Price (INR)]]*Table1_1[[#This Row],[Quantity Sold]])</f>
        <v>124020.24</v>
      </c>
      <c r="G257">
        <v>124020.24</v>
      </c>
      <c r="H257" s="1">
        <v>45495</v>
      </c>
      <c r="I257" t="s">
        <v>1071</v>
      </c>
      <c r="J257">
        <v>4</v>
      </c>
      <c r="K257" t="str">
        <f>IF(Table1_1[[#This Row],[Quantity Sold]]&gt;=3,"BULK ORDER","REGULAR ORDER")</f>
        <v>BULK ORDER</v>
      </c>
      <c r="L257" t="str">
        <f>IF(Table1_1[[#This Row],[Customer Rating]]&gt;=4.5,"EXCELLENT",IF(Table1_1[[#This Row],[Customer Rating]]&lt;=4,"GOOD","AVERAGE"))</f>
        <v>GOOD</v>
      </c>
    </row>
    <row r="258" spans="1:12" x14ac:dyDescent="0.3">
      <c r="A258" t="s">
        <v>528</v>
      </c>
      <c r="B258" t="s">
        <v>1047</v>
      </c>
      <c r="C258" t="s">
        <v>1048</v>
      </c>
      <c r="D258">
        <v>6322.42</v>
      </c>
      <c r="E258">
        <v>4</v>
      </c>
      <c r="F258">
        <f>SUM(Table1_1[[#This Row],[Price (INR)]]*Table1_1[[#This Row],[Quantity Sold]])</f>
        <v>25289.68</v>
      </c>
      <c r="G258">
        <v>25289.68</v>
      </c>
      <c r="H258" s="1">
        <v>45534</v>
      </c>
      <c r="I258" t="s">
        <v>16</v>
      </c>
      <c r="J258">
        <v>4</v>
      </c>
      <c r="K258" t="str">
        <f>IF(Table1_1[[#This Row],[Quantity Sold]]&gt;=3,"BULK ORDER","REGULAR ORDER")</f>
        <v>BULK ORDER</v>
      </c>
      <c r="L258" t="str">
        <f>IF(Table1_1[[#This Row],[Customer Rating]]&gt;=4.5,"EXCELLENT",IF(Table1_1[[#This Row],[Customer Rating]]&lt;=4,"GOOD","AVERAGE"))</f>
        <v>GOOD</v>
      </c>
    </row>
    <row r="259" spans="1:12" x14ac:dyDescent="0.3">
      <c r="A259" t="s">
        <v>554</v>
      </c>
      <c r="B259" t="s">
        <v>1077</v>
      </c>
      <c r="C259" t="s">
        <v>1048</v>
      </c>
      <c r="D259">
        <v>16803.759999999998</v>
      </c>
      <c r="E259">
        <v>4</v>
      </c>
      <c r="F259">
        <f>SUM(Table1_1[[#This Row],[Price (INR)]]*Table1_1[[#This Row],[Quantity Sold]])</f>
        <v>67215.039999999994</v>
      </c>
      <c r="G259">
        <v>67215.039999999994</v>
      </c>
      <c r="H259" s="1">
        <v>45438</v>
      </c>
      <c r="I259" t="s">
        <v>1059</v>
      </c>
      <c r="J259">
        <v>4</v>
      </c>
      <c r="K259" t="str">
        <f>IF(Table1_1[[#This Row],[Quantity Sold]]&gt;=3,"BULK ORDER","REGULAR ORDER")</f>
        <v>BULK ORDER</v>
      </c>
      <c r="L259" t="str">
        <f>IF(Table1_1[[#This Row],[Customer Rating]]&gt;=4.5,"EXCELLENT",IF(Table1_1[[#This Row],[Customer Rating]]&lt;=4,"GOOD","AVERAGE"))</f>
        <v>GOOD</v>
      </c>
    </row>
    <row r="260" spans="1:12" x14ac:dyDescent="0.3">
      <c r="A260" t="s">
        <v>556</v>
      </c>
      <c r="B260" t="s">
        <v>1063</v>
      </c>
      <c r="C260" t="s">
        <v>1055</v>
      </c>
      <c r="D260">
        <v>31737.13</v>
      </c>
      <c r="E260">
        <v>5</v>
      </c>
      <c r="F260">
        <f>SUM(Table1_1[[#This Row],[Price (INR)]]*Table1_1[[#This Row],[Quantity Sold]])</f>
        <v>158685.65</v>
      </c>
      <c r="G260">
        <v>158685.65</v>
      </c>
      <c r="H260" s="1">
        <v>45394</v>
      </c>
      <c r="I260" t="s">
        <v>1071</v>
      </c>
      <c r="J260">
        <v>4</v>
      </c>
      <c r="K260" t="str">
        <f>IF(Table1_1[[#This Row],[Quantity Sold]]&gt;=3,"BULK ORDER","REGULAR ORDER")</f>
        <v>BULK ORDER</v>
      </c>
      <c r="L260" t="str">
        <f>IF(Table1_1[[#This Row],[Customer Rating]]&gt;=4.5,"EXCELLENT",IF(Table1_1[[#This Row],[Customer Rating]]&lt;=4,"GOOD","AVERAGE"))</f>
        <v>GOOD</v>
      </c>
    </row>
    <row r="261" spans="1:12" x14ac:dyDescent="0.3">
      <c r="A261" t="s">
        <v>578</v>
      </c>
      <c r="B261" t="s">
        <v>1079</v>
      </c>
      <c r="C261" t="s">
        <v>1057</v>
      </c>
      <c r="D261">
        <v>15764.25</v>
      </c>
      <c r="E261">
        <v>4</v>
      </c>
      <c r="F261">
        <f>SUM(Table1_1[[#This Row],[Price (INR)]]*Table1_1[[#This Row],[Quantity Sold]])</f>
        <v>63057</v>
      </c>
      <c r="G261">
        <v>63057</v>
      </c>
      <c r="H261" s="1">
        <v>45424</v>
      </c>
      <c r="I261" t="s">
        <v>42</v>
      </c>
      <c r="J261">
        <v>4</v>
      </c>
      <c r="K261" t="str">
        <f>IF(Table1_1[[#This Row],[Quantity Sold]]&gt;=3,"BULK ORDER","REGULAR ORDER")</f>
        <v>BULK ORDER</v>
      </c>
      <c r="L261" t="str">
        <f>IF(Table1_1[[#This Row],[Customer Rating]]&gt;=4.5,"EXCELLENT",IF(Table1_1[[#This Row],[Customer Rating]]&lt;=4,"GOOD","AVERAGE"))</f>
        <v>GOOD</v>
      </c>
    </row>
    <row r="262" spans="1:12" x14ac:dyDescent="0.3">
      <c r="A262" t="s">
        <v>666</v>
      </c>
      <c r="B262" t="s">
        <v>1064</v>
      </c>
      <c r="C262" t="s">
        <v>1053</v>
      </c>
      <c r="D262">
        <v>18338.759999999998</v>
      </c>
      <c r="E262">
        <v>5</v>
      </c>
      <c r="F262">
        <f>SUM(Table1_1[[#This Row],[Price (INR)]]*Table1_1[[#This Row],[Quantity Sold]])</f>
        <v>91693.799999999988</v>
      </c>
      <c r="G262">
        <v>91693.8</v>
      </c>
      <c r="H262" s="1">
        <v>45337</v>
      </c>
      <c r="I262" t="s">
        <v>1059</v>
      </c>
      <c r="J262">
        <v>4</v>
      </c>
      <c r="K262" t="str">
        <f>IF(Table1_1[[#This Row],[Quantity Sold]]&gt;=3,"BULK ORDER","REGULAR ORDER")</f>
        <v>BULK ORDER</v>
      </c>
      <c r="L262" t="str">
        <f>IF(Table1_1[[#This Row],[Customer Rating]]&gt;=4.5,"EXCELLENT",IF(Table1_1[[#This Row],[Customer Rating]]&lt;=4,"GOOD","AVERAGE"))</f>
        <v>GOOD</v>
      </c>
    </row>
    <row r="263" spans="1:12" x14ac:dyDescent="0.3">
      <c r="A263" t="s">
        <v>711</v>
      </c>
      <c r="B263" t="s">
        <v>1064</v>
      </c>
      <c r="C263" t="s">
        <v>1053</v>
      </c>
      <c r="D263">
        <v>43118.19</v>
      </c>
      <c r="E263">
        <v>5</v>
      </c>
      <c r="F263">
        <f>SUM(Table1_1[[#This Row],[Price (INR)]]*Table1_1[[#This Row],[Quantity Sold]])</f>
        <v>215590.95</v>
      </c>
      <c r="G263">
        <v>215590.95</v>
      </c>
      <c r="H263" s="1">
        <v>45674</v>
      </c>
      <c r="I263" t="s">
        <v>1071</v>
      </c>
      <c r="J263">
        <v>4</v>
      </c>
      <c r="K263" t="str">
        <f>IF(Table1_1[[#This Row],[Quantity Sold]]&gt;=3,"BULK ORDER","REGULAR ORDER")</f>
        <v>BULK ORDER</v>
      </c>
      <c r="L263" t="str">
        <f>IF(Table1_1[[#This Row],[Customer Rating]]&gt;=4.5,"EXCELLENT",IF(Table1_1[[#This Row],[Customer Rating]]&lt;=4,"GOOD","AVERAGE"))</f>
        <v>GOOD</v>
      </c>
    </row>
    <row r="264" spans="1:12" x14ac:dyDescent="0.3">
      <c r="A264" t="s">
        <v>728</v>
      </c>
      <c r="B264" t="s">
        <v>1080</v>
      </c>
      <c r="C264" t="s">
        <v>1051</v>
      </c>
      <c r="D264">
        <v>48130.6</v>
      </c>
      <c r="E264">
        <v>5</v>
      </c>
      <c r="F264">
        <f>SUM(Table1_1[[#This Row],[Price (INR)]]*Table1_1[[#This Row],[Quantity Sold]])</f>
        <v>240653</v>
      </c>
      <c r="G264">
        <v>240653</v>
      </c>
      <c r="H264" s="1">
        <v>45619</v>
      </c>
      <c r="I264" t="s">
        <v>16</v>
      </c>
      <c r="J264">
        <v>4</v>
      </c>
      <c r="K264" t="str">
        <f>IF(Table1_1[[#This Row],[Quantity Sold]]&gt;=3,"BULK ORDER","REGULAR ORDER")</f>
        <v>BULK ORDER</v>
      </c>
      <c r="L264" t="str">
        <f>IF(Table1_1[[#This Row],[Customer Rating]]&gt;=4.5,"EXCELLENT",IF(Table1_1[[#This Row],[Customer Rating]]&lt;=4,"GOOD","AVERAGE"))</f>
        <v>GOOD</v>
      </c>
    </row>
    <row r="265" spans="1:12" x14ac:dyDescent="0.3">
      <c r="A265" t="s">
        <v>757</v>
      </c>
      <c r="B265" t="s">
        <v>1078</v>
      </c>
      <c r="C265" t="s">
        <v>1048</v>
      </c>
      <c r="D265">
        <v>22709.95</v>
      </c>
      <c r="E265">
        <v>2</v>
      </c>
      <c r="F265">
        <f>SUM(Table1_1[[#This Row],[Price (INR)]]*Table1_1[[#This Row],[Quantity Sold]])</f>
        <v>45419.9</v>
      </c>
      <c r="G265">
        <v>45419.9</v>
      </c>
      <c r="H265" s="1">
        <v>45589</v>
      </c>
      <c r="I265" t="s">
        <v>1068</v>
      </c>
      <c r="J265">
        <v>4</v>
      </c>
      <c r="K265" t="str">
        <f>IF(Table1_1[[#This Row],[Quantity Sold]]&gt;=3,"BULK ORDER","REGULAR ORDER")</f>
        <v>REGULAR ORDER</v>
      </c>
      <c r="L265" t="str">
        <f>IF(Table1_1[[#This Row],[Customer Rating]]&gt;=4.5,"EXCELLENT",IF(Table1_1[[#This Row],[Customer Rating]]&lt;=4,"GOOD","AVERAGE"))</f>
        <v>GOOD</v>
      </c>
    </row>
    <row r="266" spans="1:12" x14ac:dyDescent="0.3">
      <c r="A266" t="s">
        <v>837</v>
      </c>
      <c r="B266" t="s">
        <v>1063</v>
      </c>
      <c r="C266" t="s">
        <v>1055</v>
      </c>
      <c r="D266">
        <v>847.39</v>
      </c>
      <c r="E266">
        <v>5</v>
      </c>
      <c r="F266">
        <f>SUM(Table1_1[[#This Row],[Price (INR)]]*Table1_1[[#This Row],[Quantity Sold]])</f>
        <v>4236.95</v>
      </c>
      <c r="G266">
        <v>4236.95</v>
      </c>
      <c r="H266" s="1">
        <v>45641</v>
      </c>
      <c r="I266" t="s">
        <v>1071</v>
      </c>
      <c r="J266">
        <v>4</v>
      </c>
      <c r="K266" t="str">
        <f>IF(Table1_1[[#This Row],[Quantity Sold]]&gt;=3,"BULK ORDER","REGULAR ORDER")</f>
        <v>BULK ORDER</v>
      </c>
      <c r="L266" t="str">
        <f>IF(Table1_1[[#This Row],[Customer Rating]]&gt;=4.5,"EXCELLENT",IF(Table1_1[[#This Row],[Customer Rating]]&lt;=4,"GOOD","AVERAGE"))</f>
        <v>GOOD</v>
      </c>
    </row>
    <row r="267" spans="1:12" x14ac:dyDescent="0.3">
      <c r="A267" t="s">
        <v>844</v>
      </c>
      <c r="B267" t="s">
        <v>1070</v>
      </c>
      <c r="C267" t="s">
        <v>1051</v>
      </c>
      <c r="D267">
        <v>4729.04</v>
      </c>
      <c r="E267">
        <v>5</v>
      </c>
      <c r="F267">
        <f>SUM(Table1_1[[#This Row],[Price (INR)]]*Table1_1[[#This Row],[Quantity Sold]])</f>
        <v>23645.200000000001</v>
      </c>
      <c r="G267">
        <v>23645.200000000001</v>
      </c>
      <c r="H267" s="1">
        <v>45544</v>
      </c>
      <c r="I267" t="s">
        <v>42</v>
      </c>
      <c r="J267">
        <v>4</v>
      </c>
      <c r="K267" t="str">
        <f>IF(Table1_1[[#This Row],[Quantity Sold]]&gt;=3,"BULK ORDER","REGULAR ORDER")</f>
        <v>BULK ORDER</v>
      </c>
      <c r="L267" t="str">
        <f>IF(Table1_1[[#This Row],[Customer Rating]]&gt;=4.5,"EXCELLENT",IF(Table1_1[[#This Row],[Customer Rating]]&lt;=4,"GOOD","AVERAGE"))</f>
        <v>GOOD</v>
      </c>
    </row>
    <row r="268" spans="1:12" x14ac:dyDescent="0.3">
      <c r="A268" t="s">
        <v>908</v>
      </c>
      <c r="B268" t="s">
        <v>1078</v>
      </c>
      <c r="C268" t="s">
        <v>1048</v>
      </c>
      <c r="D268">
        <v>47427.3</v>
      </c>
      <c r="E268">
        <v>5</v>
      </c>
      <c r="F268">
        <f>SUM(Table1_1[[#This Row],[Price (INR)]]*Table1_1[[#This Row],[Quantity Sold]])</f>
        <v>237136.5</v>
      </c>
      <c r="G268">
        <v>237136.5</v>
      </c>
      <c r="H268" s="1">
        <v>45380</v>
      </c>
      <c r="I268" t="s">
        <v>1059</v>
      </c>
      <c r="J268">
        <v>4</v>
      </c>
      <c r="K268" t="str">
        <f>IF(Table1_1[[#This Row],[Quantity Sold]]&gt;=3,"BULK ORDER","REGULAR ORDER")</f>
        <v>BULK ORDER</v>
      </c>
      <c r="L268" t="str">
        <f>IF(Table1_1[[#This Row],[Customer Rating]]&gt;=4.5,"EXCELLENT",IF(Table1_1[[#This Row],[Customer Rating]]&lt;=4,"GOOD","AVERAGE"))</f>
        <v>GOOD</v>
      </c>
    </row>
    <row r="269" spans="1:12" x14ac:dyDescent="0.3">
      <c r="A269" t="s">
        <v>924</v>
      </c>
      <c r="B269" t="s">
        <v>1077</v>
      </c>
      <c r="C269" t="s">
        <v>1048</v>
      </c>
      <c r="D269">
        <v>38005.050000000003</v>
      </c>
      <c r="E269">
        <v>1</v>
      </c>
      <c r="F269">
        <f>SUM(Table1_1[[#This Row],[Price (INR)]]*Table1_1[[#This Row],[Quantity Sold]])</f>
        <v>38005.050000000003</v>
      </c>
      <c r="G269">
        <v>38005.050000000003</v>
      </c>
      <c r="H269" s="1">
        <v>45658</v>
      </c>
      <c r="I269" t="s">
        <v>16</v>
      </c>
      <c r="J269">
        <v>4</v>
      </c>
      <c r="K269" t="str">
        <f>IF(Table1_1[[#This Row],[Quantity Sold]]&gt;=3,"BULK ORDER","REGULAR ORDER")</f>
        <v>REGULAR ORDER</v>
      </c>
      <c r="L269" t="str">
        <f>IF(Table1_1[[#This Row],[Customer Rating]]&gt;=4.5,"EXCELLENT",IF(Table1_1[[#This Row],[Customer Rating]]&lt;=4,"GOOD","AVERAGE"))</f>
        <v>GOOD</v>
      </c>
    </row>
    <row r="270" spans="1:12" x14ac:dyDescent="0.3">
      <c r="A270" t="s">
        <v>983</v>
      </c>
      <c r="B270" t="s">
        <v>1054</v>
      </c>
      <c r="C270" t="s">
        <v>1055</v>
      </c>
      <c r="D270">
        <v>19845.72</v>
      </c>
      <c r="E270">
        <v>3</v>
      </c>
      <c r="F270">
        <f>SUM(Table1_1[[#This Row],[Price (INR)]]*Table1_1[[#This Row],[Quantity Sold]])</f>
        <v>59537.16</v>
      </c>
      <c r="G270">
        <v>59537.16</v>
      </c>
      <c r="H270" s="1">
        <v>45420</v>
      </c>
      <c r="I270" t="s">
        <v>42</v>
      </c>
      <c r="J270">
        <v>4</v>
      </c>
      <c r="K270" t="str">
        <f>IF(Table1_1[[#This Row],[Quantity Sold]]&gt;=3,"BULK ORDER","REGULAR ORDER")</f>
        <v>BULK ORDER</v>
      </c>
      <c r="L270" t="str">
        <f>IF(Table1_1[[#This Row],[Customer Rating]]&gt;=4.5,"EXCELLENT",IF(Table1_1[[#This Row],[Customer Rating]]&lt;=4,"GOOD","AVERAGE"))</f>
        <v>GOOD</v>
      </c>
    </row>
    <row r="271" spans="1:12" x14ac:dyDescent="0.3">
      <c r="A271" t="s">
        <v>985</v>
      </c>
      <c r="B271" t="s">
        <v>1054</v>
      </c>
      <c r="C271" t="s">
        <v>1055</v>
      </c>
      <c r="D271">
        <v>47899.72</v>
      </c>
      <c r="E271">
        <v>2</v>
      </c>
      <c r="F271">
        <f>SUM(Table1_1[[#This Row],[Price (INR)]]*Table1_1[[#This Row],[Quantity Sold]])</f>
        <v>95799.44</v>
      </c>
      <c r="G271">
        <v>95799.44</v>
      </c>
      <c r="H271" s="1">
        <v>45483</v>
      </c>
      <c r="I271" t="s">
        <v>42</v>
      </c>
      <c r="J271">
        <v>4</v>
      </c>
      <c r="K271" t="str">
        <f>IF(Table1_1[[#This Row],[Quantity Sold]]&gt;=3,"BULK ORDER","REGULAR ORDER")</f>
        <v>REGULAR ORDER</v>
      </c>
      <c r="L271" t="str">
        <f>IF(Table1_1[[#This Row],[Customer Rating]]&gt;=4.5,"EXCELLENT",IF(Table1_1[[#This Row],[Customer Rating]]&lt;=4,"GOOD","AVERAGE"))</f>
        <v>GOOD</v>
      </c>
    </row>
    <row r="272" spans="1:12" x14ac:dyDescent="0.3">
      <c r="A272" t="s">
        <v>987</v>
      </c>
      <c r="B272" t="s">
        <v>1060</v>
      </c>
      <c r="C272" t="s">
        <v>1051</v>
      </c>
      <c r="D272">
        <v>46101.14</v>
      </c>
      <c r="E272">
        <v>2</v>
      </c>
      <c r="F272">
        <f>SUM(Table1_1[[#This Row],[Price (INR)]]*Table1_1[[#This Row],[Quantity Sold]])</f>
        <v>92202.28</v>
      </c>
      <c r="G272">
        <v>92202.28</v>
      </c>
      <c r="H272" s="1">
        <v>45352</v>
      </c>
      <c r="I272" t="s">
        <v>1071</v>
      </c>
      <c r="J272">
        <v>4</v>
      </c>
      <c r="K272" t="str">
        <f>IF(Table1_1[[#This Row],[Quantity Sold]]&gt;=3,"BULK ORDER","REGULAR ORDER")</f>
        <v>REGULAR ORDER</v>
      </c>
      <c r="L272" t="str">
        <f>IF(Table1_1[[#This Row],[Customer Rating]]&gt;=4.5,"EXCELLENT",IF(Table1_1[[#This Row],[Customer Rating]]&lt;=4,"GOOD","AVERAGE"))</f>
        <v>GOOD</v>
      </c>
    </row>
    <row r="273" spans="1:12" x14ac:dyDescent="0.3">
      <c r="A273" t="s">
        <v>996</v>
      </c>
      <c r="B273" t="s">
        <v>1052</v>
      </c>
      <c r="C273" t="s">
        <v>1053</v>
      </c>
      <c r="D273">
        <v>34969.69</v>
      </c>
      <c r="E273">
        <v>5</v>
      </c>
      <c r="F273">
        <f>SUM(Table1_1[[#This Row],[Price (INR)]]*Table1_1[[#This Row],[Quantity Sold]])</f>
        <v>174848.45</v>
      </c>
      <c r="G273">
        <v>174848.45</v>
      </c>
      <c r="H273" s="1">
        <v>45381</v>
      </c>
      <c r="I273" t="s">
        <v>1071</v>
      </c>
      <c r="J273">
        <v>4</v>
      </c>
      <c r="K273" t="str">
        <f>IF(Table1_1[[#This Row],[Quantity Sold]]&gt;=3,"BULK ORDER","REGULAR ORDER")</f>
        <v>BULK ORDER</v>
      </c>
      <c r="L273" t="str">
        <f>IF(Table1_1[[#This Row],[Customer Rating]]&gt;=4.5,"EXCELLENT",IF(Table1_1[[#This Row],[Customer Rating]]&lt;=4,"GOOD","AVERAGE"))</f>
        <v>GOOD</v>
      </c>
    </row>
    <row r="274" spans="1:12" x14ac:dyDescent="0.3">
      <c r="A274" t="s">
        <v>13</v>
      </c>
      <c r="B274" t="s">
        <v>1050</v>
      </c>
      <c r="C274" t="s">
        <v>1051</v>
      </c>
      <c r="D274">
        <v>12755.85</v>
      </c>
      <c r="E274">
        <v>4</v>
      </c>
      <c r="F274">
        <f>SUM(Table1_1[[#This Row],[Price (INR)]]*Table1_1[[#This Row],[Quantity Sold]])</f>
        <v>51023.4</v>
      </c>
      <c r="G274">
        <v>51023.4</v>
      </c>
      <c r="H274" s="1">
        <v>45644</v>
      </c>
      <c r="I274" t="s">
        <v>16</v>
      </c>
      <c r="J274">
        <v>3.9</v>
      </c>
      <c r="K274" t="str">
        <f>IF(Table1_1[[#This Row],[Quantity Sold]]&gt;=3,"BULK ORDER","REGULAR ORDER")</f>
        <v>BULK ORDER</v>
      </c>
      <c r="L274" t="str">
        <f>IF(Table1_1[[#This Row],[Customer Rating]]&gt;=4.5,"EXCELLENT",IF(Table1_1[[#This Row],[Customer Rating]]&lt;=4,"GOOD","AVERAGE"))</f>
        <v>GOOD</v>
      </c>
    </row>
    <row r="275" spans="1:12" x14ac:dyDescent="0.3">
      <c r="A275" t="s">
        <v>104</v>
      </c>
      <c r="B275" t="s">
        <v>1067</v>
      </c>
      <c r="C275" t="s">
        <v>1048</v>
      </c>
      <c r="D275">
        <v>14505.79</v>
      </c>
      <c r="E275">
        <v>3</v>
      </c>
      <c r="F275">
        <f>SUM(Table1_1[[#This Row],[Price (INR)]]*Table1_1[[#This Row],[Quantity Sold]])</f>
        <v>43517.37</v>
      </c>
      <c r="G275">
        <v>43517.37</v>
      </c>
      <c r="H275" s="1">
        <v>45483</v>
      </c>
      <c r="I275" t="s">
        <v>16</v>
      </c>
      <c r="J275">
        <v>3.9</v>
      </c>
      <c r="K275" t="str">
        <f>IF(Table1_1[[#This Row],[Quantity Sold]]&gt;=3,"BULK ORDER","REGULAR ORDER")</f>
        <v>BULK ORDER</v>
      </c>
      <c r="L275" t="str">
        <f>IF(Table1_1[[#This Row],[Customer Rating]]&gt;=4.5,"EXCELLENT",IF(Table1_1[[#This Row],[Customer Rating]]&lt;=4,"GOOD","AVERAGE"))</f>
        <v>GOOD</v>
      </c>
    </row>
    <row r="276" spans="1:12" x14ac:dyDescent="0.3">
      <c r="A276" t="s">
        <v>139</v>
      </c>
      <c r="B276" t="s">
        <v>1070</v>
      </c>
      <c r="C276" t="s">
        <v>1051</v>
      </c>
      <c r="D276">
        <v>19180.77</v>
      </c>
      <c r="E276">
        <v>3</v>
      </c>
      <c r="F276">
        <f>SUM(Table1_1[[#This Row],[Price (INR)]]*Table1_1[[#This Row],[Quantity Sold]])</f>
        <v>57542.31</v>
      </c>
      <c r="G276">
        <v>57542.31</v>
      </c>
      <c r="H276" s="1">
        <v>45685</v>
      </c>
      <c r="I276" t="s">
        <v>1059</v>
      </c>
      <c r="J276">
        <v>3.9</v>
      </c>
      <c r="K276" t="str">
        <f>IF(Table1_1[[#This Row],[Quantity Sold]]&gt;=3,"BULK ORDER","REGULAR ORDER")</f>
        <v>BULK ORDER</v>
      </c>
      <c r="L276" t="str">
        <f>IF(Table1_1[[#This Row],[Customer Rating]]&gt;=4.5,"EXCELLENT",IF(Table1_1[[#This Row],[Customer Rating]]&lt;=4,"GOOD","AVERAGE"))</f>
        <v>GOOD</v>
      </c>
    </row>
    <row r="277" spans="1:12" x14ac:dyDescent="0.3">
      <c r="A277" t="s">
        <v>154</v>
      </c>
      <c r="B277" t="s">
        <v>1078</v>
      </c>
      <c r="C277" t="s">
        <v>1048</v>
      </c>
      <c r="D277">
        <v>30826.720000000001</v>
      </c>
      <c r="E277">
        <v>1</v>
      </c>
      <c r="F277">
        <f>SUM(Table1_1[[#This Row],[Price (INR)]]*Table1_1[[#This Row],[Quantity Sold]])</f>
        <v>30826.720000000001</v>
      </c>
      <c r="G277">
        <v>30826.720000000001</v>
      </c>
      <c r="H277" s="1">
        <v>45508</v>
      </c>
      <c r="I277" t="s">
        <v>16</v>
      </c>
      <c r="J277">
        <v>3.9</v>
      </c>
      <c r="K277" t="str">
        <f>IF(Table1_1[[#This Row],[Quantity Sold]]&gt;=3,"BULK ORDER","REGULAR ORDER")</f>
        <v>REGULAR ORDER</v>
      </c>
      <c r="L277" t="str">
        <f>IF(Table1_1[[#This Row],[Customer Rating]]&gt;=4.5,"EXCELLENT",IF(Table1_1[[#This Row],[Customer Rating]]&lt;=4,"GOOD","AVERAGE"))</f>
        <v>GOOD</v>
      </c>
    </row>
    <row r="278" spans="1:12" x14ac:dyDescent="0.3">
      <c r="A278" t="s">
        <v>158</v>
      </c>
      <c r="B278" t="s">
        <v>1047</v>
      </c>
      <c r="C278" t="s">
        <v>1048</v>
      </c>
      <c r="D278">
        <v>19787.61</v>
      </c>
      <c r="E278">
        <v>1</v>
      </c>
      <c r="F278">
        <f>SUM(Table1_1[[#This Row],[Price (INR)]]*Table1_1[[#This Row],[Quantity Sold]])</f>
        <v>19787.61</v>
      </c>
      <c r="G278">
        <v>19787.61</v>
      </c>
      <c r="H278" s="1">
        <v>45572</v>
      </c>
      <c r="I278" t="s">
        <v>1049</v>
      </c>
      <c r="J278">
        <v>3.9</v>
      </c>
      <c r="K278" t="str">
        <f>IF(Table1_1[[#This Row],[Quantity Sold]]&gt;=3,"BULK ORDER","REGULAR ORDER")</f>
        <v>REGULAR ORDER</v>
      </c>
      <c r="L278" t="str">
        <f>IF(Table1_1[[#This Row],[Customer Rating]]&gt;=4.5,"EXCELLENT",IF(Table1_1[[#This Row],[Customer Rating]]&lt;=4,"GOOD","AVERAGE"))</f>
        <v>GOOD</v>
      </c>
    </row>
    <row r="279" spans="1:12" x14ac:dyDescent="0.3">
      <c r="A279" t="s">
        <v>223</v>
      </c>
      <c r="B279" t="s">
        <v>1080</v>
      </c>
      <c r="C279" t="s">
        <v>1051</v>
      </c>
      <c r="D279">
        <v>22712.18</v>
      </c>
      <c r="E279">
        <v>5</v>
      </c>
      <c r="F279">
        <f>SUM(Table1_1[[#This Row],[Price (INR)]]*Table1_1[[#This Row],[Quantity Sold]])</f>
        <v>113560.9</v>
      </c>
      <c r="G279">
        <v>113560.9</v>
      </c>
      <c r="H279" s="1">
        <v>45681</v>
      </c>
      <c r="I279" t="s">
        <v>42</v>
      </c>
      <c r="J279">
        <v>3.9</v>
      </c>
      <c r="K279" t="str">
        <f>IF(Table1_1[[#This Row],[Quantity Sold]]&gt;=3,"BULK ORDER","REGULAR ORDER")</f>
        <v>BULK ORDER</v>
      </c>
      <c r="L279" t="str">
        <f>IF(Table1_1[[#This Row],[Customer Rating]]&gt;=4.5,"EXCELLENT",IF(Table1_1[[#This Row],[Customer Rating]]&lt;=4,"GOOD","AVERAGE"))</f>
        <v>GOOD</v>
      </c>
    </row>
    <row r="280" spans="1:12" x14ac:dyDescent="0.3">
      <c r="A280" t="s">
        <v>238</v>
      </c>
      <c r="B280" t="s">
        <v>1063</v>
      </c>
      <c r="C280" t="s">
        <v>1055</v>
      </c>
      <c r="D280">
        <v>39699.85</v>
      </c>
      <c r="E280">
        <v>3</v>
      </c>
      <c r="F280">
        <f>SUM(Table1_1[[#This Row],[Price (INR)]]*Table1_1[[#This Row],[Quantity Sold]])</f>
        <v>119099.54999999999</v>
      </c>
      <c r="G280">
        <v>119099.55</v>
      </c>
      <c r="H280" s="1">
        <v>45426</v>
      </c>
      <c r="I280" t="s">
        <v>1059</v>
      </c>
      <c r="J280">
        <v>3.9</v>
      </c>
      <c r="K280" t="str">
        <f>IF(Table1_1[[#This Row],[Quantity Sold]]&gt;=3,"BULK ORDER","REGULAR ORDER")</f>
        <v>BULK ORDER</v>
      </c>
      <c r="L280" t="str">
        <f>IF(Table1_1[[#This Row],[Customer Rating]]&gt;=4.5,"EXCELLENT",IF(Table1_1[[#This Row],[Customer Rating]]&lt;=4,"GOOD","AVERAGE"))</f>
        <v>GOOD</v>
      </c>
    </row>
    <row r="281" spans="1:12" x14ac:dyDescent="0.3">
      <c r="A281" t="s">
        <v>332</v>
      </c>
      <c r="B281" t="s">
        <v>1060</v>
      </c>
      <c r="C281" t="s">
        <v>1051</v>
      </c>
      <c r="D281">
        <v>13915.5</v>
      </c>
      <c r="E281">
        <v>3</v>
      </c>
      <c r="F281">
        <f>SUM(Table1_1[[#This Row],[Price (INR)]]*Table1_1[[#This Row],[Quantity Sold]])</f>
        <v>41746.5</v>
      </c>
      <c r="G281">
        <v>41746.5</v>
      </c>
      <c r="H281" s="1">
        <v>45475</v>
      </c>
      <c r="I281" t="s">
        <v>1071</v>
      </c>
      <c r="J281">
        <v>3.9</v>
      </c>
      <c r="K281" t="str">
        <f>IF(Table1_1[[#This Row],[Quantity Sold]]&gt;=3,"BULK ORDER","REGULAR ORDER")</f>
        <v>BULK ORDER</v>
      </c>
      <c r="L281" t="str">
        <f>IF(Table1_1[[#This Row],[Customer Rating]]&gt;=4.5,"EXCELLENT",IF(Table1_1[[#This Row],[Customer Rating]]&lt;=4,"GOOD","AVERAGE"))</f>
        <v>GOOD</v>
      </c>
    </row>
    <row r="282" spans="1:12" x14ac:dyDescent="0.3">
      <c r="A282" t="s">
        <v>351</v>
      </c>
      <c r="B282" t="s">
        <v>1067</v>
      </c>
      <c r="C282" t="s">
        <v>1048</v>
      </c>
      <c r="D282">
        <v>27175.37</v>
      </c>
      <c r="E282">
        <v>5</v>
      </c>
      <c r="F282">
        <f>SUM(Table1_1[[#This Row],[Price (INR)]]*Table1_1[[#This Row],[Quantity Sold]])</f>
        <v>135876.85</v>
      </c>
      <c r="G282">
        <v>135876.85</v>
      </c>
      <c r="H282" s="1">
        <v>45506</v>
      </c>
      <c r="I282" t="s">
        <v>42</v>
      </c>
      <c r="J282">
        <v>3.9</v>
      </c>
      <c r="K282" t="str">
        <f>IF(Table1_1[[#This Row],[Quantity Sold]]&gt;=3,"BULK ORDER","REGULAR ORDER")</f>
        <v>BULK ORDER</v>
      </c>
      <c r="L282" t="str">
        <f>IF(Table1_1[[#This Row],[Customer Rating]]&gt;=4.5,"EXCELLENT",IF(Table1_1[[#This Row],[Customer Rating]]&lt;=4,"GOOD","AVERAGE"))</f>
        <v>GOOD</v>
      </c>
    </row>
    <row r="283" spans="1:12" x14ac:dyDescent="0.3">
      <c r="A283" t="s">
        <v>429</v>
      </c>
      <c r="B283" t="s">
        <v>1073</v>
      </c>
      <c r="C283" t="s">
        <v>1053</v>
      </c>
      <c r="D283">
        <v>5463.13</v>
      </c>
      <c r="E283">
        <v>1</v>
      </c>
      <c r="F283">
        <f>SUM(Table1_1[[#This Row],[Price (INR)]]*Table1_1[[#This Row],[Quantity Sold]])</f>
        <v>5463.13</v>
      </c>
      <c r="G283">
        <v>5463.13</v>
      </c>
      <c r="H283" s="1">
        <v>45473</v>
      </c>
      <c r="I283" t="s">
        <v>1049</v>
      </c>
      <c r="J283">
        <v>3.9</v>
      </c>
      <c r="K283" t="str">
        <f>IF(Table1_1[[#This Row],[Quantity Sold]]&gt;=3,"BULK ORDER","REGULAR ORDER")</f>
        <v>REGULAR ORDER</v>
      </c>
      <c r="L283" t="str">
        <f>IF(Table1_1[[#This Row],[Customer Rating]]&gt;=4.5,"EXCELLENT",IF(Table1_1[[#This Row],[Customer Rating]]&lt;=4,"GOOD","AVERAGE"))</f>
        <v>GOOD</v>
      </c>
    </row>
    <row r="284" spans="1:12" x14ac:dyDescent="0.3">
      <c r="A284" t="s">
        <v>442</v>
      </c>
      <c r="B284" t="s">
        <v>1062</v>
      </c>
      <c r="C284" t="s">
        <v>1051</v>
      </c>
      <c r="D284">
        <v>40248.269999999997</v>
      </c>
      <c r="E284">
        <v>3</v>
      </c>
      <c r="F284">
        <f>SUM(Table1_1[[#This Row],[Price (INR)]]*Table1_1[[#This Row],[Quantity Sold]])</f>
        <v>120744.81</v>
      </c>
      <c r="G284">
        <v>120744.81</v>
      </c>
      <c r="H284" s="1">
        <v>45401</v>
      </c>
      <c r="I284" t="s">
        <v>1059</v>
      </c>
      <c r="J284">
        <v>3.9</v>
      </c>
      <c r="K284" t="str">
        <f>IF(Table1_1[[#This Row],[Quantity Sold]]&gt;=3,"BULK ORDER","REGULAR ORDER")</f>
        <v>BULK ORDER</v>
      </c>
      <c r="L284" t="str">
        <f>IF(Table1_1[[#This Row],[Customer Rating]]&gt;=4.5,"EXCELLENT",IF(Table1_1[[#This Row],[Customer Rating]]&lt;=4,"GOOD","AVERAGE"))</f>
        <v>GOOD</v>
      </c>
    </row>
    <row r="285" spans="1:12" x14ac:dyDescent="0.3">
      <c r="A285" t="s">
        <v>457</v>
      </c>
      <c r="B285" t="s">
        <v>1058</v>
      </c>
      <c r="C285" t="s">
        <v>1057</v>
      </c>
      <c r="D285">
        <v>45866.22</v>
      </c>
      <c r="E285">
        <v>1</v>
      </c>
      <c r="F285">
        <f>SUM(Table1_1[[#This Row],[Price (INR)]]*Table1_1[[#This Row],[Quantity Sold]])</f>
        <v>45866.22</v>
      </c>
      <c r="G285">
        <v>45866.22</v>
      </c>
      <c r="H285" s="1">
        <v>45635</v>
      </c>
      <c r="I285" t="s">
        <v>42</v>
      </c>
      <c r="J285">
        <v>3.9</v>
      </c>
      <c r="K285" t="str">
        <f>IF(Table1_1[[#This Row],[Quantity Sold]]&gt;=3,"BULK ORDER","REGULAR ORDER")</f>
        <v>REGULAR ORDER</v>
      </c>
      <c r="L285" t="str">
        <f>IF(Table1_1[[#This Row],[Customer Rating]]&gt;=4.5,"EXCELLENT",IF(Table1_1[[#This Row],[Customer Rating]]&lt;=4,"GOOD","AVERAGE"))</f>
        <v>GOOD</v>
      </c>
    </row>
    <row r="286" spans="1:12" x14ac:dyDescent="0.3">
      <c r="A286" t="s">
        <v>465</v>
      </c>
      <c r="B286" t="s">
        <v>1067</v>
      </c>
      <c r="C286" t="s">
        <v>1048</v>
      </c>
      <c r="D286">
        <v>1134.78</v>
      </c>
      <c r="E286">
        <v>2</v>
      </c>
      <c r="F286">
        <f>SUM(Table1_1[[#This Row],[Price (INR)]]*Table1_1[[#This Row],[Quantity Sold]])</f>
        <v>2269.56</v>
      </c>
      <c r="G286">
        <v>2269.56</v>
      </c>
      <c r="H286" s="1">
        <v>45452</v>
      </c>
      <c r="I286" t="s">
        <v>1049</v>
      </c>
      <c r="J286">
        <v>3.9</v>
      </c>
      <c r="K286" t="str">
        <f>IF(Table1_1[[#This Row],[Quantity Sold]]&gt;=3,"BULK ORDER","REGULAR ORDER")</f>
        <v>REGULAR ORDER</v>
      </c>
      <c r="L286" t="str">
        <f>IF(Table1_1[[#This Row],[Customer Rating]]&gt;=4.5,"EXCELLENT",IF(Table1_1[[#This Row],[Customer Rating]]&lt;=4,"GOOD","AVERAGE"))</f>
        <v>GOOD</v>
      </c>
    </row>
    <row r="287" spans="1:12" x14ac:dyDescent="0.3">
      <c r="A287" t="s">
        <v>507</v>
      </c>
      <c r="B287" t="s">
        <v>1065</v>
      </c>
      <c r="C287" t="s">
        <v>1053</v>
      </c>
      <c r="D287">
        <v>29844.59</v>
      </c>
      <c r="E287">
        <v>3</v>
      </c>
      <c r="F287">
        <f>SUM(Table1_1[[#This Row],[Price (INR)]]*Table1_1[[#This Row],[Quantity Sold]])</f>
        <v>89533.77</v>
      </c>
      <c r="G287">
        <v>89533.77</v>
      </c>
      <c r="H287" s="1">
        <v>45471</v>
      </c>
      <c r="I287" t="s">
        <v>1068</v>
      </c>
      <c r="J287">
        <v>3.9</v>
      </c>
      <c r="K287" t="str">
        <f>IF(Table1_1[[#This Row],[Quantity Sold]]&gt;=3,"BULK ORDER","REGULAR ORDER")</f>
        <v>BULK ORDER</v>
      </c>
      <c r="L287" t="str">
        <f>IF(Table1_1[[#This Row],[Customer Rating]]&gt;=4.5,"EXCELLENT",IF(Table1_1[[#This Row],[Customer Rating]]&lt;=4,"GOOD","AVERAGE"))</f>
        <v>GOOD</v>
      </c>
    </row>
    <row r="288" spans="1:12" x14ac:dyDescent="0.3">
      <c r="A288" t="s">
        <v>543</v>
      </c>
      <c r="B288" t="s">
        <v>1050</v>
      </c>
      <c r="C288" t="s">
        <v>1051</v>
      </c>
      <c r="D288">
        <v>40238.5</v>
      </c>
      <c r="E288">
        <v>3</v>
      </c>
      <c r="F288">
        <f>SUM(Table1_1[[#This Row],[Price (INR)]]*Table1_1[[#This Row],[Quantity Sold]])</f>
        <v>120715.5</v>
      </c>
      <c r="G288">
        <v>120715.5</v>
      </c>
      <c r="H288" s="1">
        <v>45494</v>
      </c>
      <c r="I288" t="s">
        <v>1059</v>
      </c>
      <c r="J288">
        <v>3.9</v>
      </c>
      <c r="K288" t="str">
        <f>IF(Table1_1[[#This Row],[Quantity Sold]]&gt;=3,"BULK ORDER","REGULAR ORDER")</f>
        <v>BULK ORDER</v>
      </c>
      <c r="L288" t="str">
        <f>IF(Table1_1[[#This Row],[Customer Rating]]&gt;=4.5,"EXCELLENT",IF(Table1_1[[#This Row],[Customer Rating]]&lt;=4,"GOOD","AVERAGE"))</f>
        <v>GOOD</v>
      </c>
    </row>
    <row r="289" spans="1:12" x14ac:dyDescent="0.3">
      <c r="A289" t="s">
        <v>597</v>
      </c>
      <c r="B289" t="s">
        <v>1065</v>
      </c>
      <c r="C289" t="s">
        <v>1053</v>
      </c>
      <c r="D289">
        <v>9335.19</v>
      </c>
      <c r="E289">
        <v>2</v>
      </c>
      <c r="F289">
        <f>SUM(Table1_1[[#This Row],[Price (INR)]]*Table1_1[[#This Row],[Quantity Sold]])</f>
        <v>18670.38</v>
      </c>
      <c r="G289">
        <v>18670.38</v>
      </c>
      <c r="H289" s="1">
        <v>45624</v>
      </c>
      <c r="I289" t="s">
        <v>42</v>
      </c>
      <c r="J289">
        <v>3.9</v>
      </c>
      <c r="K289" t="str">
        <f>IF(Table1_1[[#This Row],[Quantity Sold]]&gt;=3,"BULK ORDER","REGULAR ORDER")</f>
        <v>REGULAR ORDER</v>
      </c>
      <c r="L289" t="str">
        <f>IF(Table1_1[[#This Row],[Customer Rating]]&gt;=4.5,"EXCELLENT",IF(Table1_1[[#This Row],[Customer Rating]]&lt;=4,"GOOD","AVERAGE"))</f>
        <v>GOOD</v>
      </c>
    </row>
    <row r="290" spans="1:12" x14ac:dyDescent="0.3">
      <c r="A290" t="s">
        <v>694</v>
      </c>
      <c r="B290" t="s">
        <v>1047</v>
      </c>
      <c r="C290" t="s">
        <v>1048</v>
      </c>
      <c r="D290">
        <v>38964.36</v>
      </c>
      <c r="E290">
        <v>5</v>
      </c>
      <c r="F290">
        <f>SUM(Table1_1[[#This Row],[Price (INR)]]*Table1_1[[#This Row],[Quantity Sold]])</f>
        <v>194821.8</v>
      </c>
      <c r="G290">
        <v>194821.8</v>
      </c>
      <c r="H290" s="1">
        <v>45594</v>
      </c>
      <c r="I290" t="s">
        <v>1059</v>
      </c>
      <c r="J290">
        <v>3.9</v>
      </c>
      <c r="K290" t="str">
        <f>IF(Table1_1[[#This Row],[Quantity Sold]]&gt;=3,"BULK ORDER","REGULAR ORDER")</f>
        <v>BULK ORDER</v>
      </c>
      <c r="L290" t="str">
        <f>IF(Table1_1[[#This Row],[Customer Rating]]&gt;=4.5,"EXCELLENT",IF(Table1_1[[#This Row],[Customer Rating]]&lt;=4,"GOOD","AVERAGE"))</f>
        <v>GOOD</v>
      </c>
    </row>
    <row r="291" spans="1:12" x14ac:dyDescent="0.3">
      <c r="A291" t="s">
        <v>697</v>
      </c>
      <c r="B291" t="s">
        <v>1076</v>
      </c>
      <c r="C291" t="s">
        <v>1055</v>
      </c>
      <c r="D291">
        <v>21992.38</v>
      </c>
      <c r="E291">
        <v>5</v>
      </c>
      <c r="F291">
        <f>SUM(Table1_1[[#This Row],[Price (INR)]]*Table1_1[[#This Row],[Quantity Sold]])</f>
        <v>109961.90000000001</v>
      </c>
      <c r="G291">
        <v>109961.9</v>
      </c>
      <c r="H291" s="1">
        <v>45501</v>
      </c>
      <c r="I291" t="s">
        <v>1049</v>
      </c>
      <c r="J291">
        <v>3.9</v>
      </c>
      <c r="K291" t="str">
        <f>IF(Table1_1[[#This Row],[Quantity Sold]]&gt;=3,"BULK ORDER","REGULAR ORDER")</f>
        <v>BULK ORDER</v>
      </c>
      <c r="L291" t="str">
        <f>IF(Table1_1[[#This Row],[Customer Rating]]&gt;=4.5,"EXCELLENT",IF(Table1_1[[#This Row],[Customer Rating]]&lt;=4,"GOOD","AVERAGE"))</f>
        <v>GOOD</v>
      </c>
    </row>
    <row r="292" spans="1:12" x14ac:dyDescent="0.3">
      <c r="A292" t="s">
        <v>713</v>
      </c>
      <c r="B292" t="s">
        <v>1047</v>
      </c>
      <c r="C292" t="s">
        <v>1048</v>
      </c>
      <c r="D292">
        <v>7728.33</v>
      </c>
      <c r="E292">
        <v>5</v>
      </c>
      <c r="F292">
        <f>SUM(Table1_1[[#This Row],[Price (INR)]]*Table1_1[[#This Row],[Quantity Sold]])</f>
        <v>38641.65</v>
      </c>
      <c r="G292">
        <v>38641.65</v>
      </c>
      <c r="H292" s="1">
        <v>45471</v>
      </c>
      <c r="I292" t="s">
        <v>42</v>
      </c>
      <c r="J292">
        <v>3.9</v>
      </c>
      <c r="K292" t="str">
        <f>IF(Table1_1[[#This Row],[Quantity Sold]]&gt;=3,"BULK ORDER","REGULAR ORDER")</f>
        <v>BULK ORDER</v>
      </c>
      <c r="L292" t="str">
        <f>IF(Table1_1[[#This Row],[Customer Rating]]&gt;=4.5,"EXCELLENT",IF(Table1_1[[#This Row],[Customer Rating]]&lt;=4,"GOOD","AVERAGE"))</f>
        <v>GOOD</v>
      </c>
    </row>
    <row r="293" spans="1:12" x14ac:dyDescent="0.3">
      <c r="A293" t="s">
        <v>726</v>
      </c>
      <c r="B293" t="s">
        <v>1072</v>
      </c>
      <c r="C293" t="s">
        <v>1057</v>
      </c>
      <c r="D293">
        <v>17539.189999999999</v>
      </c>
      <c r="E293">
        <v>1</v>
      </c>
      <c r="F293">
        <f>SUM(Table1_1[[#This Row],[Price (INR)]]*Table1_1[[#This Row],[Quantity Sold]])</f>
        <v>17539.189999999999</v>
      </c>
      <c r="G293">
        <v>17539.189999999999</v>
      </c>
      <c r="H293" s="1">
        <v>45480</v>
      </c>
      <c r="I293" t="s">
        <v>1059</v>
      </c>
      <c r="J293">
        <v>3.9</v>
      </c>
      <c r="K293" t="str">
        <f>IF(Table1_1[[#This Row],[Quantity Sold]]&gt;=3,"BULK ORDER","REGULAR ORDER")</f>
        <v>REGULAR ORDER</v>
      </c>
      <c r="L293" t="str">
        <f>IF(Table1_1[[#This Row],[Customer Rating]]&gt;=4.5,"EXCELLENT",IF(Table1_1[[#This Row],[Customer Rating]]&lt;=4,"GOOD","AVERAGE"))</f>
        <v>GOOD</v>
      </c>
    </row>
    <row r="294" spans="1:12" x14ac:dyDescent="0.3">
      <c r="A294" t="s">
        <v>743</v>
      </c>
      <c r="B294" t="s">
        <v>1052</v>
      </c>
      <c r="C294" t="s">
        <v>1053</v>
      </c>
      <c r="D294">
        <v>38968.519999999997</v>
      </c>
      <c r="E294">
        <v>4</v>
      </c>
      <c r="F294">
        <f>SUM(Table1_1[[#This Row],[Price (INR)]]*Table1_1[[#This Row],[Quantity Sold]])</f>
        <v>155874.07999999999</v>
      </c>
      <c r="G294">
        <v>155874.07999999999</v>
      </c>
      <c r="H294" s="1">
        <v>45600</v>
      </c>
      <c r="I294" t="s">
        <v>1071</v>
      </c>
      <c r="J294">
        <v>3.9</v>
      </c>
      <c r="K294" t="str">
        <f>IF(Table1_1[[#This Row],[Quantity Sold]]&gt;=3,"BULK ORDER","REGULAR ORDER")</f>
        <v>BULK ORDER</v>
      </c>
      <c r="L294" t="str">
        <f>IF(Table1_1[[#This Row],[Customer Rating]]&gt;=4.5,"EXCELLENT",IF(Table1_1[[#This Row],[Customer Rating]]&lt;=4,"GOOD","AVERAGE"))</f>
        <v>GOOD</v>
      </c>
    </row>
    <row r="295" spans="1:12" x14ac:dyDescent="0.3">
      <c r="A295" t="s">
        <v>1015</v>
      </c>
      <c r="B295" t="s">
        <v>1072</v>
      </c>
      <c r="C295" t="s">
        <v>1057</v>
      </c>
      <c r="D295">
        <v>8571.5499999999993</v>
      </c>
      <c r="E295">
        <v>4</v>
      </c>
      <c r="F295">
        <f>SUM(Table1_1[[#This Row],[Price (INR)]]*Table1_1[[#This Row],[Quantity Sold]])</f>
        <v>34286.199999999997</v>
      </c>
      <c r="G295">
        <v>34286.199999999997</v>
      </c>
      <c r="H295" s="1">
        <v>45669</v>
      </c>
      <c r="I295" t="s">
        <v>1059</v>
      </c>
      <c r="J295">
        <v>3.9</v>
      </c>
      <c r="K295" t="str">
        <f>IF(Table1_1[[#This Row],[Quantity Sold]]&gt;=3,"BULK ORDER","REGULAR ORDER")</f>
        <v>BULK ORDER</v>
      </c>
      <c r="L295" t="str">
        <f>IF(Table1_1[[#This Row],[Customer Rating]]&gt;=4.5,"EXCELLENT",IF(Table1_1[[#This Row],[Customer Rating]]&lt;=4,"GOOD","AVERAGE"))</f>
        <v>GOOD</v>
      </c>
    </row>
    <row r="296" spans="1:12" x14ac:dyDescent="0.3">
      <c r="A296" t="s">
        <v>102</v>
      </c>
      <c r="B296" t="s">
        <v>1074</v>
      </c>
      <c r="C296" t="s">
        <v>1055</v>
      </c>
      <c r="D296">
        <v>27120.36</v>
      </c>
      <c r="E296">
        <v>2</v>
      </c>
      <c r="F296">
        <f>SUM(Table1_1[[#This Row],[Price (INR)]]*Table1_1[[#This Row],[Quantity Sold]])</f>
        <v>54240.72</v>
      </c>
      <c r="G296">
        <v>54240.72</v>
      </c>
      <c r="H296" s="1">
        <v>45456</v>
      </c>
      <c r="I296" t="s">
        <v>1068</v>
      </c>
      <c r="J296">
        <v>3.8</v>
      </c>
      <c r="K296" t="str">
        <f>IF(Table1_1[[#This Row],[Quantity Sold]]&gt;=3,"BULK ORDER","REGULAR ORDER")</f>
        <v>REGULAR ORDER</v>
      </c>
      <c r="L296" t="str">
        <f>IF(Table1_1[[#This Row],[Customer Rating]]&gt;=4.5,"EXCELLENT",IF(Table1_1[[#This Row],[Customer Rating]]&lt;=4,"GOOD","AVERAGE"))</f>
        <v>GOOD</v>
      </c>
    </row>
    <row r="297" spans="1:12" x14ac:dyDescent="0.3">
      <c r="A297" t="s">
        <v>118</v>
      </c>
      <c r="B297" t="s">
        <v>1077</v>
      </c>
      <c r="C297" t="s">
        <v>1048</v>
      </c>
      <c r="D297">
        <v>42981.08</v>
      </c>
      <c r="E297">
        <v>3</v>
      </c>
      <c r="F297">
        <f>SUM(Table1_1[[#This Row],[Price (INR)]]*Table1_1[[#This Row],[Quantity Sold]])</f>
        <v>128943.24</v>
      </c>
      <c r="G297">
        <v>128943.24</v>
      </c>
      <c r="H297" s="1">
        <v>45376</v>
      </c>
      <c r="I297" t="s">
        <v>42</v>
      </c>
      <c r="J297">
        <v>3.8</v>
      </c>
      <c r="K297" t="str">
        <f>IF(Table1_1[[#This Row],[Quantity Sold]]&gt;=3,"BULK ORDER","REGULAR ORDER")</f>
        <v>BULK ORDER</v>
      </c>
      <c r="L297" t="str">
        <f>IF(Table1_1[[#This Row],[Customer Rating]]&gt;=4.5,"EXCELLENT",IF(Table1_1[[#This Row],[Customer Rating]]&lt;=4,"GOOD","AVERAGE"))</f>
        <v>GOOD</v>
      </c>
    </row>
    <row r="298" spans="1:12" x14ac:dyDescent="0.3">
      <c r="A298" t="s">
        <v>157</v>
      </c>
      <c r="B298" t="s">
        <v>1079</v>
      </c>
      <c r="C298" t="s">
        <v>1057</v>
      </c>
      <c r="D298">
        <v>39263.94</v>
      </c>
      <c r="E298">
        <v>5</v>
      </c>
      <c r="F298">
        <f>SUM(Table1_1[[#This Row],[Price (INR)]]*Table1_1[[#This Row],[Quantity Sold]])</f>
        <v>196319.7</v>
      </c>
      <c r="G298">
        <v>196319.7</v>
      </c>
      <c r="H298" s="1">
        <v>45509</v>
      </c>
      <c r="I298" t="s">
        <v>1059</v>
      </c>
      <c r="J298">
        <v>3.8</v>
      </c>
      <c r="K298" t="str">
        <f>IF(Table1_1[[#This Row],[Quantity Sold]]&gt;=3,"BULK ORDER","REGULAR ORDER")</f>
        <v>BULK ORDER</v>
      </c>
      <c r="L298" t="str">
        <f>IF(Table1_1[[#This Row],[Customer Rating]]&gt;=4.5,"EXCELLENT",IF(Table1_1[[#This Row],[Customer Rating]]&lt;=4,"GOOD","AVERAGE"))</f>
        <v>GOOD</v>
      </c>
    </row>
    <row r="299" spans="1:12" x14ac:dyDescent="0.3">
      <c r="A299" t="s">
        <v>179</v>
      </c>
      <c r="B299" t="s">
        <v>1054</v>
      </c>
      <c r="C299" t="s">
        <v>1055</v>
      </c>
      <c r="D299">
        <v>1104.25</v>
      </c>
      <c r="E299">
        <v>5</v>
      </c>
      <c r="F299">
        <f>SUM(Table1_1[[#This Row],[Price (INR)]]*Table1_1[[#This Row],[Quantity Sold]])</f>
        <v>5521.25</v>
      </c>
      <c r="G299">
        <v>5521.25</v>
      </c>
      <c r="H299" s="1">
        <v>45624</v>
      </c>
      <c r="I299" t="s">
        <v>16</v>
      </c>
      <c r="J299">
        <v>3.8</v>
      </c>
      <c r="K299" t="str">
        <f>IF(Table1_1[[#This Row],[Quantity Sold]]&gt;=3,"BULK ORDER","REGULAR ORDER")</f>
        <v>BULK ORDER</v>
      </c>
      <c r="L299" t="str">
        <f>IF(Table1_1[[#This Row],[Customer Rating]]&gt;=4.5,"EXCELLENT",IF(Table1_1[[#This Row],[Customer Rating]]&lt;=4,"GOOD","AVERAGE"))</f>
        <v>GOOD</v>
      </c>
    </row>
    <row r="300" spans="1:12" x14ac:dyDescent="0.3">
      <c r="A300" t="s">
        <v>181</v>
      </c>
      <c r="B300" t="s">
        <v>1069</v>
      </c>
      <c r="C300" t="s">
        <v>1048</v>
      </c>
      <c r="D300">
        <v>24032.880000000001</v>
      </c>
      <c r="E300">
        <v>1</v>
      </c>
      <c r="F300">
        <f>SUM(Table1_1[[#This Row],[Price (INR)]]*Table1_1[[#This Row],[Quantity Sold]])</f>
        <v>24032.880000000001</v>
      </c>
      <c r="G300">
        <v>24032.880000000001</v>
      </c>
      <c r="H300" s="1">
        <v>45593</v>
      </c>
      <c r="I300" t="s">
        <v>1059</v>
      </c>
      <c r="J300">
        <v>3.8</v>
      </c>
      <c r="K300" t="str">
        <f>IF(Table1_1[[#This Row],[Quantity Sold]]&gt;=3,"BULK ORDER","REGULAR ORDER")</f>
        <v>REGULAR ORDER</v>
      </c>
      <c r="L300" t="str">
        <f>IF(Table1_1[[#This Row],[Customer Rating]]&gt;=4.5,"EXCELLENT",IF(Table1_1[[#This Row],[Customer Rating]]&lt;=4,"GOOD","AVERAGE"))</f>
        <v>GOOD</v>
      </c>
    </row>
    <row r="301" spans="1:12" x14ac:dyDescent="0.3">
      <c r="A301" t="s">
        <v>222</v>
      </c>
      <c r="B301" t="s">
        <v>1075</v>
      </c>
      <c r="C301" t="s">
        <v>1053</v>
      </c>
      <c r="D301">
        <v>30171.74</v>
      </c>
      <c r="E301">
        <v>4</v>
      </c>
      <c r="F301">
        <f>SUM(Table1_1[[#This Row],[Price (INR)]]*Table1_1[[#This Row],[Quantity Sold]])</f>
        <v>120686.96</v>
      </c>
      <c r="G301">
        <v>120686.96</v>
      </c>
      <c r="H301" s="1">
        <v>45502</v>
      </c>
      <c r="I301" t="s">
        <v>1071</v>
      </c>
      <c r="J301">
        <v>3.8</v>
      </c>
      <c r="K301" t="str">
        <f>IF(Table1_1[[#This Row],[Quantity Sold]]&gt;=3,"BULK ORDER","REGULAR ORDER")</f>
        <v>BULK ORDER</v>
      </c>
      <c r="L301" t="str">
        <f>IF(Table1_1[[#This Row],[Customer Rating]]&gt;=4.5,"EXCELLENT",IF(Table1_1[[#This Row],[Customer Rating]]&lt;=4,"GOOD","AVERAGE"))</f>
        <v>GOOD</v>
      </c>
    </row>
    <row r="302" spans="1:12" x14ac:dyDescent="0.3">
      <c r="A302" t="s">
        <v>283</v>
      </c>
      <c r="B302" t="s">
        <v>1069</v>
      </c>
      <c r="C302" t="s">
        <v>1048</v>
      </c>
      <c r="D302">
        <v>45045.03</v>
      </c>
      <c r="E302">
        <v>5</v>
      </c>
      <c r="F302">
        <f>SUM(Table1_1[[#This Row],[Price (INR)]]*Table1_1[[#This Row],[Quantity Sold]])</f>
        <v>225225.15</v>
      </c>
      <c r="G302">
        <v>225225.15</v>
      </c>
      <c r="H302" s="1">
        <v>45659</v>
      </c>
      <c r="I302" t="s">
        <v>1071</v>
      </c>
      <c r="J302">
        <v>3.8</v>
      </c>
      <c r="K302" t="str">
        <f>IF(Table1_1[[#This Row],[Quantity Sold]]&gt;=3,"BULK ORDER","REGULAR ORDER")</f>
        <v>BULK ORDER</v>
      </c>
      <c r="L302" t="str">
        <f>IF(Table1_1[[#This Row],[Customer Rating]]&gt;=4.5,"EXCELLENT",IF(Table1_1[[#This Row],[Customer Rating]]&lt;=4,"GOOD","AVERAGE"))</f>
        <v>GOOD</v>
      </c>
    </row>
    <row r="303" spans="1:12" x14ac:dyDescent="0.3">
      <c r="A303" t="s">
        <v>338</v>
      </c>
      <c r="B303" t="s">
        <v>1072</v>
      </c>
      <c r="C303" t="s">
        <v>1057</v>
      </c>
      <c r="D303">
        <v>32749.9</v>
      </c>
      <c r="E303">
        <v>1</v>
      </c>
      <c r="F303">
        <f>SUM(Table1_1[[#This Row],[Price (INR)]]*Table1_1[[#This Row],[Quantity Sold]])</f>
        <v>32749.9</v>
      </c>
      <c r="G303">
        <v>32749.9</v>
      </c>
      <c r="H303" s="1">
        <v>45506</v>
      </c>
      <c r="I303" t="s">
        <v>1071</v>
      </c>
      <c r="J303">
        <v>3.8</v>
      </c>
      <c r="K303" t="str">
        <f>IF(Table1_1[[#This Row],[Quantity Sold]]&gt;=3,"BULK ORDER","REGULAR ORDER")</f>
        <v>REGULAR ORDER</v>
      </c>
      <c r="L303" t="str">
        <f>IF(Table1_1[[#This Row],[Customer Rating]]&gt;=4.5,"EXCELLENT",IF(Table1_1[[#This Row],[Customer Rating]]&lt;=4,"GOOD","AVERAGE"))</f>
        <v>GOOD</v>
      </c>
    </row>
    <row r="304" spans="1:12" x14ac:dyDescent="0.3">
      <c r="A304" t="s">
        <v>372</v>
      </c>
      <c r="B304" t="s">
        <v>1062</v>
      </c>
      <c r="C304" t="s">
        <v>1051</v>
      </c>
      <c r="D304">
        <v>33683.4</v>
      </c>
      <c r="E304">
        <v>1</v>
      </c>
      <c r="F304">
        <f>SUM(Table1_1[[#This Row],[Price (INR)]]*Table1_1[[#This Row],[Quantity Sold]])</f>
        <v>33683.4</v>
      </c>
      <c r="G304">
        <v>33683.4</v>
      </c>
      <c r="H304" s="1">
        <v>45665</v>
      </c>
      <c r="I304" t="s">
        <v>1049</v>
      </c>
      <c r="J304">
        <v>3.8</v>
      </c>
      <c r="K304" t="str">
        <f>IF(Table1_1[[#This Row],[Quantity Sold]]&gt;=3,"BULK ORDER","REGULAR ORDER")</f>
        <v>REGULAR ORDER</v>
      </c>
      <c r="L304" t="str">
        <f>IF(Table1_1[[#This Row],[Customer Rating]]&gt;=4.5,"EXCELLENT",IF(Table1_1[[#This Row],[Customer Rating]]&lt;=4,"GOOD","AVERAGE"))</f>
        <v>GOOD</v>
      </c>
    </row>
    <row r="305" spans="1:12" x14ac:dyDescent="0.3">
      <c r="A305" t="s">
        <v>405</v>
      </c>
      <c r="B305" t="s">
        <v>1047</v>
      </c>
      <c r="C305" t="s">
        <v>1048</v>
      </c>
      <c r="D305">
        <v>7633.85</v>
      </c>
      <c r="E305">
        <v>2</v>
      </c>
      <c r="F305">
        <f>SUM(Table1_1[[#This Row],[Price (INR)]]*Table1_1[[#This Row],[Quantity Sold]])</f>
        <v>15267.7</v>
      </c>
      <c r="G305">
        <v>15267.7</v>
      </c>
      <c r="H305" s="1">
        <v>45536</v>
      </c>
      <c r="I305" t="s">
        <v>1071</v>
      </c>
      <c r="J305">
        <v>3.8</v>
      </c>
      <c r="K305" t="str">
        <f>IF(Table1_1[[#This Row],[Quantity Sold]]&gt;=3,"BULK ORDER","REGULAR ORDER")</f>
        <v>REGULAR ORDER</v>
      </c>
      <c r="L305" t="str">
        <f>IF(Table1_1[[#This Row],[Customer Rating]]&gt;=4.5,"EXCELLENT",IF(Table1_1[[#This Row],[Customer Rating]]&lt;=4,"GOOD","AVERAGE"))</f>
        <v>GOOD</v>
      </c>
    </row>
    <row r="306" spans="1:12" x14ac:dyDescent="0.3">
      <c r="A306" t="s">
        <v>412</v>
      </c>
      <c r="B306" t="s">
        <v>1050</v>
      </c>
      <c r="C306" t="s">
        <v>1051</v>
      </c>
      <c r="D306">
        <v>22335.58</v>
      </c>
      <c r="E306">
        <v>2</v>
      </c>
      <c r="F306">
        <f>SUM(Table1_1[[#This Row],[Price (INR)]]*Table1_1[[#This Row],[Quantity Sold]])</f>
        <v>44671.16</v>
      </c>
      <c r="G306">
        <v>44671.16</v>
      </c>
      <c r="H306" s="1">
        <v>45504</v>
      </c>
      <c r="I306" t="s">
        <v>1059</v>
      </c>
      <c r="J306">
        <v>3.8</v>
      </c>
      <c r="K306" t="str">
        <f>IF(Table1_1[[#This Row],[Quantity Sold]]&gt;=3,"BULK ORDER","REGULAR ORDER")</f>
        <v>REGULAR ORDER</v>
      </c>
      <c r="L306" t="str">
        <f>IF(Table1_1[[#This Row],[Customer Rating]]&gt;=4.5,"EXCELLENT",IF(Table1_1[[#This Row],[Customer Rating]]&lt;=4,"GOOD","AVERAGE"))</f>
        <v>GOOD</v>
      </c>
    </row>
    <row r="307" spans="1:12" x14ac:dyDescent="0.3">
      <c r="A307" t="s">
        <v>422</v>
      </c>
      <c r="B307" t="s">
        <v>1067</v>
      </c>
      <c r="C307" t="s">
        <v>1048</v>
      </c>
      <c r="D307">
        <v>8448.77</v>
      </c>
      <c r="E307">
        <v>2</v>
      </c>
      <c r="F307">
        <f>SUM(Table1_1[[#This Row],[Price (INR)]]*Table1_1[[#This Row],[Quantity Sold]])</f>
        <v>16897.54</v>
      </c>
      <c r="G307">
        <v>16897.54</v>
      </c>
      <c r="H307" s="1">
        <v>45424</v>
      </c>
      <c r="I307" t="s">
        <v>16</v>
      </c>
      <c r="J307">
        <v>3.8</v>
      </c>
      <c r="K307" t="str">
        <f>IF(Table1_1[[#This Row],[Quantity Sold]]&gt;=3,"BULK ORDER","REGULAR ORDER")</f>
        <v>REGULAR ORDER</v>
      </c>
      <c r="L307" t="str">
        <f>IF(Table1_1[[#This Row],[Customer Rating]]&gt;=4.5,"EXCELLENT",IF(Table1_1[[#This Row],[Customer Rating]]&lt;=4,"GOOD","AVERAGE"))</f>
        <v>GOOD</v>
      </c>
    </row>
    <row r="308" spans="1:12" x14ac:dyDescent="0.3">
      <c r="A308" t="s">
        <v>493</v>
      </c>
      <c r="B308" t="s">
        <v>1070</v>
      </c>
      <c r="C308" t="s">
        <v>1051</v>
      </c>
      <c r="D308">
        <v>23433.86</v>
      </c>
      <c r="E308">
        <v>1</v>
      </c>
      <c r="F308">
        <f>SUM(Table1_1[[#This Row],[Price (INR)]]*Table1_1[[#This Row],[Quantity Sold]])</f>
        <v>23433.86</v>
      </c>
      <c r="G308">
        <v>23433.86</v>
      </c>
      <c r="H308" s="1">
        <v>45521</v>
      </c>
      <c r="I308" t="s">
        <v>42</v>
      </c>
      <c r="J308">
        <v>3.8</v>
      </c>
      <c r="K308" t="str">
        <f>IF(Table1_1[[#This Row],[Quantity Sold]]&gt;=3,"BULK ORDER","REGULAR ORDER")</f>
        <v>REGULAR ORDER</v>
      </c>
      <c r="L308" t="str">
        <f>IF(Table1_1[[#This Row],[Customer Rating]]&gt;=4.5,"EXCELLENT",IF(Table1_1[[#This Row],[Customer Rating]]&lt;=4,"GOOD","AVERAGE"))</f>
        <v>GOOD</v>
      </c>
    </row>
    <row r="309" spans="1:12" x14ac:dyDescent="0.3">
      <c r="A309" t="s">
        <v>523</v>
      </c>
      <c r="B309" t="s">
        <v>1079</v>
      </c>
      <c r="C309" t="s">
        <v>1057</v>
      </c>
      <c r="D309">
        <v>14273.74</v>
      </c>
      <c r="E309">
        <v>2</v>
      </c>
      <c r="F309">
        <f>SUM(Table1_1[[#This Row],[Price (INR)]]*Table1_1[[#This Row],[Quantity Sold]])</f>
        <v>28547.48</v>
      </c>
      <c r="G309">
        <v>28547.48</v>
      </c>
      <c r="H309" s="1">
        <v>45645</v>
      </c>
      <c r="I309" t="s">
        <v>1071</v>
      </c>
      <c r="J309">
        <v>3.8</v>
      </c>
      <c r="K309" t="str">
        <f>IF(Table1_1[[#This Row],[Quantity Sold]]&gt;=3,"BULK ORDER","REGULAR ORDER")</f>
        <v>REGULAR ORDER</v>
      </c>
      <c r="L309" t="str">
        <f>IF(Table1_1[[#This Row],[Customer Rating]]&gt;=4.5,"EXCELLENT",IF(Table1_1[[#This Row],[Customer Rating]]&lt;=4,"GOOD","AVERAGE"))</f>
        <v>GOOD</v>
      </c>
    </row>
    <row r="310" spans="1:12" x14ac:dyDescent="0.3">
      <c r="A310" t="s">
        <v>527</v>
      </c>
      <c r="B310" t="s">
        <v>1078</v>
      </c>
      <c r="C310" t="s">
        <v>1048</v>
      </c>
      <c r="D310">
        <v>27434.25</v>
      </c>
      <c r="E310">
        <v>1</v>
      </c>
      <c r="F310">
        <f>SUM(Table1_1[[#This Row],[Price (INR)]]*Table1_1[[#This Row],[Quantity Sold]])</f>
        <v>27434.25</v>
      </c>
      <c r="G310">
        <v>27434.25</v>
      </c>
      <c r="H310" s="1">
        <v>45353</v>
      </c>
      <c r="I310" t="s">
        <v>42</v>
      </c>
      <c r="J310">
        <v>3.8</v>
      </c>
      <c r="K310" t="str">
        <f>IF(Table1_1[[#This Row],[Quantity Sold]]&gt;=3,"BULK ORDER","REGULAR ORDER")</f>
        <v>REGULAR ORDER</v>
      </c>
      <c r="L310" t="str">
        <f>IF(Table1_1[[#This Row],[Customer Rating]]&gt;=4.5,"EXCELLENT",IF(Table1_1[[#This Row],[Customer Rating]]&lt;=4,"GOOD","AVERAGE"))</f>
        <v>GOOD</v>
      </c>
    </row>
    <row r="311" spans="1:12" x14ac:dyDescent="0.3">
      <c r="A311" t="s">
        <v>723</v>
      </c>
      <c r="B311" t="s">
        <v>1047</v>
      </c>
      <c r="C311" t="s">
        <v>1048</v>
      </c>
      <c r="D311">
        <v>2013.64</v>
      </c>
      <c r="E311">
        <v>3</v>
      </c>
      <c r="F311">
        <f>SUM(Table1_1[[#This Row],[Price (INR)]]*Table1_1[[#This Row],[Quantity Sold]])</f>
        <v>6040.92</v>
      </c>
      <c r="G311">
        <v>6040.92</v>
      </c>
      <c r="H311" s="1">
        <v>45364</v>
      </c>
      <c r="I311" t="s">
        <v>16</v>
      </c>
      <c r="J311">
        <v>3.8</v>
      </c>
      <c r="K311" t="str">
        <f>IF(Table1_1[[#This Row],[Quantity Sold]]&gt;=3,"BULK ORDER","REGULAR ORDER")</f>
        <v>BULK ORDER</v>
      </c>
      <c r="L311" t="str">
        <f>IF(Table1_1[[#This Row],[Customer Rating]]&gt;=4.5,"EXCELLENT",IF(Table1_1[[#This Row],[Customer Rating]]&lt;=4,"GOOD","AVERAGE"))</f>
        <v>GOOD</v>
      </c>
    </row>
    <row r="312" spans="1:12" x14ac:dyDescent="0.3">
      <c r="A312" t="s">
        <v>741</v>
      </c>
      <c r="B312" t="s">
        <v>1078</v>
      </c>
      <c r="C312" t="s">
        <v>1048</v>
      </c>
      <c r="D312">
        <v>4617.2</v>
      </c>
      <c r="E312">
        <v>4</v>
      </c>
      <c r="F312">
        <f>SUM(Table1_1[[#This Row],[Price (INR)]]*Table1_1[[#This Row],[Quantity Sold]])</f>
        <v>18468.8</v>
      </c>
      <c r="G312">
        <v>18468.8</v>
      </c>
      <c r="H312" s="1">
        <v>45370</v>
      </c>
      <c r="I312" t="s">
        <v>16</v>
      </c>
      <c r="J312">
        <v>3.8</v>
      </c>
      <c r="K312" t="str">
        <f>IF(Table1_1[[#This Row],[Quantity Sold]]&gt;=3,"BULK ORDER","REGULAR ORDER")</f>
        <v>BULK ORDER</v>
      </c>
      <c r="L312" t="str">
        <f>IF(Table1_1[[#This Row],[Customer Rating]]&gt;=4.5,"EXCELLENT",IF(Table1_1[[#This Row],[Customer Rating]]&lt;=4,"GOOD","AVERAGE"))</f>
        <v>GOOD</v>
      </c>
    </row>
    <row r="313" spans="1:12" x14ac:dyDescent="0.3">
      <c r="A313" t="s">
        <v>744</v>
      </c>
      <c r="B313" t="s">
        <v>1074</v>
      </c>
      <c r="C313" t="s">
        <v>1055</v>
      </c>
      <c r="D313">
        <v>20435.34</v>
      </c>
      <c r="E313">
        <v>5</v>
      </c>
      <c r="F313">
        <f>SUM(Table1_1[[#This Row],[Price (INR)]]*Table1_1[[#This Row],[Quantity Sold]])</f>
        <v>102176.7</v>
      </c>
      <c r="G313">
        <v>102176.7</v>
      </c>
      <c r="H313" s="1">
        <v>45582</v>
      </c>
      <c r="I313" t="s">
        <v>1068</v>
      </c>
      <c r="J313">
        <v>3.8</v>
      </c>
      <c r="K313" t="str">
        <f>IF(Table1_1[[#This Row],[Quantity Sold]]&gt;=3,"BULK ORDER","REGULAR ORDER")</f>
        <v>BULK ORDER</v>
      </c>
      <c r="L313" t="str">
        <f>IF(Table1_1[[#This Row],[Customer Rating]]&gt;=4.5,"EXCELLENT",IF(Table1_1[[#This Row],[Customer Rating]]&lt;=4,"GOOD","AVERAGE"))</f>
        <v>GOOD</v>
      </c>
    </row>
    <row r="314" spans="1:12" x14ac:dyDescent="0.3">
      <c r="A314" t="s">
        <v>765</v>
      </c>
      <c r="B314" t="s">
        <v>1076</v>
      </c>
      <c r="C314" t="s">
        <v>1055</v>
      </c>
      <c r="D314">
        <v>27306.31</v>
      </c>
      <c r="E314">
        <v>3</v>
      </c>
      <c r="F314">
        <f>SUM(Table1_1[[#This Row],[Price (INR)]]*Table1_1[[#This Row],[Quantity Sold]])</f>
        <v>81918.930000000008</v>
      </c>
      <c r="G314">
        <v>81918.929999999993</v>
      </c>
      <c r="H314" s="1">
        <v>45369</v>
      </c>
      <c r="I314" t="s">
        <v>1068</v>
      </c>
      <c r="J314">
        <v>3.8</v>
      </c>
      <c r="K314" t="str">
        <f>IF(Table1_1[[#This Row],[Quantity Sold]]&gt;=3,"BULK ORDER","REGULAR ORDER")</f>
        <v>BULK ORDER</v>
      </c>
      <c r="L314" t="str">
        <f>IF(Table1_1[[#This Row],[Customer Rating]]&gt;=4.5,"EXCELLENT",IF(Table1_1[[#This Row],[Customer Rating]]&lt;=4,"GOOD","AVERAGE"))</f>
        <v>GOOD</v>
      </c>
    </row>
    <row r="315" spans="1:12" x14ac:dyDescent="0.3">
      <c r="A315" t="s">
        <v>800</v>
      </c>
      <c r="B315" t="s">
        <v>1065</v>
      </c>
      <c r="C315" t="s">
        <v>1053</v>
      </c>
      <c r="D315">
        <v>18385.32</v>
      </c>
      <c r="E315">
        <v>5</v>
      </c>
      <c r="F315">
        <f>SUM(Table1_1[[#This Row],[Price (INR)]]*Table1_1[[#This Row],[Quantity Sold]])</f>
        <v>91926.6</v>
      </c>
      <c r="G315">
        <v>91926.6</v>
      </c>
      <c r="H315" s="1">
        <v>45427</v>
      </c>
      <c r="I315" t="s">
        <v>16</v>
      </c>
      <c r="J315">
        <v>3.8</v>
      </c>
      <c r="K315" t="str">
        <f>IF(Table1_1[[#This Row],[Quantity Sold]]&gt;=3,"BULK ORDER","REGULAR ORDER")</f>
        <v>BULK ORDER</v>
      </c>
      <c r="L315" t="str">
        <f>IF(Table1_1[[#This Row],[Customer Rating]]&gt;=4.5,"EXCELLENT",IF(Table1_1[[#This Row],[Customer Rating]]&lt;=4,"GOOD","AVERAGE"))</f>
        <v>GOOD</v>
      </c>
    </row>
    <row r="316" spans="1:12" x14ac:dyDescent="0.3">
      <c r="A316" t="s">
        <v>821</v>
      </c>
      <c r="B316" t="s">
        <v>1065</v>
      </c>
      <c r="C316" t="s">
        <v>1053</v>
      </c>
      <c r="D316">
        <v>22254.17</v>
      </c>
      <c r="E316">
        <v>4</v>
      </c>
      <c r="F316">
        <f>SUM(Table1_1[[#This Row],[Price (INR)]]*Table1_1[[#This Row],[Quantity Sold]])</f>
        <v>89016.68</v>
      </c>
      <c r="G316">
        <v>89016.68</v>
      </c>
      <c r="H316" s="1">
        <v>45396</v>
      </c>
      <c r="I316" t="s">
        <v>1049</v>
      </c>
      <c r="J316">
        <v>3.8</v>
      </c>
      <c r="K316" t="str">
        <f>IF(Table1_1[[#This Row],[Quantity Sold]]&gt;=3,"BULK ORDER","REGULAR ORDER")</f>
        <v>BULK ORDER</v>
      </c>
      <c r="L316" t="str">
        <f>IF(Table1_1[[#This Row],[Customer Rating]]&gt;=4.5,"EXCELLENT",IF(Table1_1[[#This Row],[Customer Rating]]&lt;=4,"GOOD","AVERAGE"))</f>
        <v>GOOD</v>
      </c>
    </row>
    <row r="317" spans="1:12" x14ac:dyDescent="0.3">
      <c r="A317" t="s">
        <v>850</v>
      </c>
      <c r="B317" t="s">
        <v>1047</v>
      </c>
      <c r="C317" t="s">
        <v>1048</v>
      </c>
      <c r="D317">
        <v>25186.79</v>
      </c>
      <c r="E317">
        <v>3</v>
      </c>
      <c r="F317">
        <f>SUM(Table1_1[[#This Row],[Price (INR)]]*Table1_1[[#This Row],[Quantity Sold]])</f>
        <v>75560.37</v>
      </c>
      <c r="G317">
        <v>75560.37</v>
      </c>
      <c r="H317" s="1">
        <v>45344</v>
      </c>
      <c r="I317" t="s">
        <v>42</v>
      </c>
      <c r="J317">
        <v>3.8</v>
      </c>
      <c r="K317" t="str">
        <f>IF(Table1_1[[#This Row],[Quantity Sold]]&gt;=3,"BULK ORDER","REGULAR ORDER")</f>
        <v>BULK ORDER</v>
      </c>
      <c r="L317" t="str">
        <f>IF(Table1_1[[#This Row],[Customer Rating]]&gt;=4.5,"EXCELLENT",IF(Table1_1[[#This Row],[Customer Rating]]&lt;=4,"GOOD","AVERAGE"))</f>
        <v>GOOD</v>
      </c>
    </row>
    <row r="318" spans="1:12" x14ac:dyDescent="0.3">
      <c r="A318" t="s">
        <v>865</v>
      </c>
      <c r="B318" t="s">
        <v>1072</v>
      </c>
      <c r="C318" t="s">
        <v>1057</v>
      </c>
      <c r="D318">
        <v>4160.5200000000004</v>
      </c>
      <c r="E318">
        <v>2</v>
      </c>
      <c r="F318">
        <f>SUM(Table1_1[[#This Row],[Price (INR)]]*Table1_1[[#This Row],[Quantity Sold]])</f>
        <v>8321.0400000000009</v>
      </c>
      <c r="G318">
        <v>8321.0400000000009</v>
      </c>
      <c r="H318" s="1">
        <v>45632</v>
      </c>
      <c r="I318" t="s">
        <v>1071</v>
      </c>
      <c r="J318">
        <v>3.8</v>
      </c>
      <c r="K318" t="str">
        <f>IF(Table1_1[[#This Row],[Quantity Sold]]&gt;=3,"BULK ORDER","REGULAR ORDER")</f>
        <v>REGULAR ORDER</v>
      </c>
      <c r="L318" t="str">
        <f>IF(Table1_1[[#This Row],[Customer Rating]]&gt;=4.5,"EXCELLENT",IF(Table1_1[[#This Row],[Customer Rating]]&lt;=4,"GOOD","AVERAGE"))</f>
        <v>GOOD</v>
      </c>
    </row>
    <row r="319" spans="1:12" x14ac:dyDescent="0.3">
      <c r="A319" t="s">
        <v>916</v>
      </c>
      <c r="B319" t="s">
        <v>1069</v>
      </c>
      <c r="C319" t="s">
        <v>1048</v>
      </c>
      <c r="D319">
        <v>40379.730000000003</v>
      </c>
      <c r="E319">
        <v>1</v>
      </c>
      <c r="F319">
        <f>SUM(Table1_1[[#This Row],[Price (INR)]]*Table1_1[[#This Row],[Quantity Sold]])</f>
        <v>40379.730000000003</v>
      </c>
      <c r="G319">
        <v>40379.730000000003</v>
      </c>
      <c r="H319" s="1">
        <v>45598</v>
      </c>
      <c r="I319" t="s">
        <v>42</v>
      </c>
      <c r="J319">
        <v>3.8</v>
      </c>
      <c r="K319" t="str">
        <f>IF(Table1_1[[#This Row],[Quantity Sold]]&gt;=3,"BULK ORDER","REGULAR ORDER")</f>
        <v>REGULAR ORDER</v>
      </c>
      <c r="L319" t="str">
        <f>IF(Table1_1[[#This Row],[Customer Rating]]&gt;=4.5,"EXCELLENT",IF(Table1_1[[#This Row],[Customer Rating]]&lt;=4,"GOOD","AVERAGE"))</f>
        <v>GOOD</v>
      </c>
    </row>
    <row r="320" spans="1:12" x14ac:dyDescent="0.3">
      <c r="A320" t="s">
        <v>932</v>
      </c>
      <c r="B320" t="s">
        <v>1074</v>
      </c>
      <c r="C320" t="s">
        <v>1055</v>
      </c>
      <c r="D320">
        <v>18097.79</v>
      </c>
      <c r="E320">
        <v>1</v>
      </c>
      <c r="F320">
        <f>SUM(Table1_1[[#This Row],[Price (INR)]]*Table1_1[[#This Row],[Quantity Sold]])</f>
        <v>18097.79</v>
      </c>
      <c r="G320">
        <v>18097.79</v>
      </c>
      <c r="H320" s="1">
        <v>45434</v>
      </c>
      <c r="I320" t="s">
        <v>1071</v>
      </c>
      <c r="J320">
        <v>3.8</v>
      </c>
      <c r="K320" t="str">
        <f>IF(Table1_1[[#This Row],[Quantity Sold]]&gt;=3,"BULK ORDER","REGULAR ORDER")</f>
        <v>REGULAR ORDER</v>
      </c>
      <c r="L320" t="str">
        <f>IF(Table1_1[[#This Row],[Customer Rating]]&gt;=4.5,"EXCELLENT",IF(Table1_1[[#This Row],[Customer Rating]]&lt;=4,"GOOD","AVERAGE"))</f>
        <v>GOOD</v>
      </c>
    </row>
    <row r="321" spans="1:12" x14ac:dyDescent="0.3">
      <c r="A321" t="s">
        <v>964</v>
      </c>
      <c r="B321" t="s">
        <v>1058</v>
      </c>
      <c r="C321" t="s">
        <v>1057</v>
      </c>
      <c r="D321">
        <v>1039.1099999999999</v>
      </c>
      <c r="E321">
        <v>4</v>
      </c>
      <c r="F321">
        <f>SUM(Table1_1[[#This Row],[Price (INR)]]*Table1_1[[#This Row],[Quantity Sold]])</f>
        <v>4156.4399999999996</v>
      </c>
      <c r="G321">
        <v>4156.4399999999996</v>
      </c>
      <c r="H321" s="1">
        <v>45582</v>
      </c>
      <c r="I321" t="s">
        <v>1068</v>
      </c>
      <c r="J321">
        <v>3.8</v>
      </c>
      <c r="K321" t="str">
        <f>IF(Table1_1[[#This Row],[Quantity Sold]]&gt;=3,"BULK ORDER","REGULAR ORDER")</f>
        <v>BULK ORDER</v>
      </c>
      <c r="L321" t="str">
        <f>IF(Table1_1[[#This Row],[Customer Rating]]&gt;=4.5,"EXCELLENT",IF(Table1_1[[#This Row],[Customer Rating]]&lt;=4,"GOOD","AVERAGE"))</f>
        <v>GOOD</v>
      </c>
    </row>
    <row r="322" spans="1:12" x14ac:dyDescent="0.3">
      <c r="A322" t="s">
        <v>1000</v>
      </c>
      <c r="B322" t="s">
        <v>1056</v>
      </c>
      <c r="C322" t="s">
        <v>1057</v>
      </c>
      <c r="D322">
        <v>30564.98</v>
      </c>
      <c r="E322">
        <v>3</v>
      </c>
      <c r="F322">
        <f>SUM(Table1_1[[#This Row],[Price (INR)]]*Table1_1[[#This Row],[Quantity Sold]])</f>
        <v>91694.94</v>
      </c>
      <c r="G322">
        <v>91694.94</v>
      </c>
      <c r="H322" s="1">
        <v>45487</v>
      </c>
      <c r="I322" t="s">
        <v>1049</v>
      </c>
      <c r="J322">
        <v>3.8</v>
      </c>
      <c r="K322" t="str">
        <f>IF(Table1_1[[#This Row],[Quantity Sold]]&gt;=3,"BULK ORDER","REGULAR ORDER")</f>
        <v>BULK ORDER</v>
      </c>
      <c r="L322" t="str">
        <f>IF(Table1_1[[#This Row],[Customer Rating]]&gt;=4.5,"EXCELLENT",IF(Table1_1[[#This Row],[Customer Rating]]&lt;=4,"GOOD","AVERAGE"))</f>
        <v>GOOD</v>
      </c>
    </row>
    <row r="323" spans="1:12" x14ac:dyDescent="0.3">
      <c r="A323" t="s">
        <v>43</v>
      </c>
      <c r="B323" t="s">
        <v>1066</v>
      </c>
      <c r="C323" t="s">
        <v>1055</v>
      </c>
      <c r="D323">
        <v>10826.05</v>
      </c>
      <c r="E323">
        <v>1</v>
      </c>
      <c r="F323">
        <f>SUM(Table1_1[[#This Row],[Price (INR)]]*Table1_1[[#This Row],[Quantity Sold]])</f>
        <v>10826.05</v>
      </c>
      <c r="G323">
        <v>10826.05</v>
      </c>
      <c r="H323" s="1">
        <v>45445</v>
      </c>
      <c r="I323" t="s">
        <v>1059</v>
      </c>
      <c r="J323">
        <v>3.7</v>
      </c>
      <c r="K323" t="str">
        <f>IF(Table1_1[[#This Row],[Quantity Sold]]&gt;=3,"BULK ORDER","REGULAR ORDER")</f>
        <v>REGULAR ORDER</v>
      </c>
      <c r="L323" t="str">
        <f>IF(Table1_1[[#This Row],[Customer Rating]]&gt;=4.5,"EXCELLENT",IF(Table1_1[[#This Row],[Customer Rating]]&lt;=4,"GOOD","AVERAGE"))</f>
        <v>GOOD</v>
      </c>
    </row>
    <row r="324" spans="1:12" x14ac:dyDescent="0.3">
      <c r="A324" t="s">
        <v>66</v>
      </c>
      <c r="B324" t="s">
        <v>1065</v>
      </c>
      <c r="C324" t="s">
        <v>1053</v>
      </c>
      <c r="D324">
        <v>49097.01</v>
      </c>
      <c r="E324">
        <v>4</v>
      </c>
      <c r="F324">
        <f>SUM(Table1_1[[#This Row],[Price (INR)]]*Table1_1[[#This Row],[Quantity Sold]])</f>
        <v>196388.04</v>
      </c>
      <c r="G324">
        <v>196388.04</v>
      </c>
      <c r="H324" s="1">
        <v>45509</v>
      </c>
      <c r="I324" t="s">
        <v>1068</v>
      </c>
      <c r="J324">
        <v>3.7</v>
      </c>
      <c r="K324" t="str">
        <f>IF(Table1_1[[#This Row],[Quantity Sold]]&gt;=3,"BULK ORDER","REGULAR ORDER")</f>
        <v>BULK ORDER</v>
      </c>
      <c r="L324" t="str">
        <f>IF(Table1_1[[#This Row],[Customer Rating]]&gt;=4.5,"EXCELLENT",IF(Table1_1[[#This Row],[Customer Rating]]&lt;=4,"GOOD","AVERAGE"))</f>
        <v>GOOD</v>
      </c>
    </row>
    <row r="325" spans="1:12" x14ac:dyDescent="0.3">
      <c r="A325" t="s">
        <v>77</v>
      </c>
      <c r="B325" t="s">
        <v>1061</v>
      </c>
      <c r="C325" t="s">
        <v>1057</v>
      </c>
      <c r="D325">
        <v>3677.4</v>
      </c>
      <c r="E325">
        <v>3</v>
      </c>
      <c r="F325">
        <f>SUM(Table1_1[[#This Row],[Price (INR)]]*Table1_1[[#This Row],[Quantity Sold]])</f>
        <v>11032.2</v>
      </c>
      <c r="G325">
        <v>11032.2</v>
      </c>
      <c r="H325" s="1">
        <v>45504</v>
      </c>
      <c r="I325" t="s">
        <v>16</v>
      </c>
      <c r="J325">
        <v>3.7</v>
      </c>
      <c r="K325" t="str">
        <f>IF(Table1_1[[#This Row],[Quantity Sold]]&gt;=3,"BULK ORDER","REGULAR ORDER")</f>
        <v>BULK ORDER</v>
      </c>
      <c r="L325" t="str">
        <f>IF(Table1_1[[#This Row],[Customer Rating]]&gt;=4.5,"EXCELLENT",IF(Table1_1[[#This Row],[Customer Rating]]&lt;=4,"GOOD","AVERAGE"))</f>
        <v>GOOD</v>
      </c>
    </row>
    <row r="326" spans="1:12" x14ac:dyDescent="0.3">
      <c r="A326" t="s">
        <v>80</v>
      </c>
      <c r="B326" t="s">
        <v>1067</v>
      </c>
      <c r="C326" t="s">
        <v>1048</v>
      </c>
      <c r="D326">
        <v>2655.8</v>
      </c>
      <c r="E326">
        <v>2</v>
      </c>
      <c r="F326">
        <f>SUM(Table1_1[[#This Row],[Price (INR)]]*Table1_1[[#This Row],[Quantity Sold]])</f>
        <v>5311.6</v>
      </c>
      <c r="G326">
        <v>5311.6</v>
      </c>
      <c r="H326" s="1">
        <v>45334</v>
      </c>
      <c r="I326" t="s">
        <v>1071</v>
      </c>
      <c r="J326">
        <v>3.7</v>
      </c>
      <c r="K326" t="str">
        <f>IF(Table1_1[[#This Row],[Quantity Sold]]&gt;=3,"BULK ORDER","REGULAR ORDER")</f>
        <v>REGULAR ORDER</v>
      </c>
      <c r="L326" t="str">
        <f>IF(Table1_1[[#This Row],[Customer Rating]]&gt;=4.5,"EXCELLENT",IF(Table1_1[[#This Row],[Customer Rating]]&lt;=4,"GOOD","AVERAGE"))</f>
        <v>GOOD</v>
      </c>
    </row>
    <row r="327" spans="1:12" x14ac:dyDescent="0.3">
      <c r="A327" t="s">
        <v>148</v>
      </c>
      <c r="B327" t="s">
        <v>1064</v>
      </c>
      <c r="C327" t="s">
        <v>1053</v>
      </c>
      <c r="D327">
        <v>28758.42</v>
      </c>
      <c r="E327">
        <v>5</v>
      </c>
      <c r="F327">
        <f>SUM(Table1_1[[#This Row],[Price (INR)]]*Table1_1[[#This Row],[Quantity Sold]])</f>
        <v>143792.09999999998</v>
      </c>
      <c r="G327">
        <v>143792.1</v>
      </c>
      <c r="H327" s="1">
        <v>45557</v>
      </c>
      <c r="I327" t="s">
        <v>1071</v>
      </c>
      <c r="J327">
        <v>3.7</v>
      </c>
      <c r="K327" t="str">
        <f>IF(Table1_1[[#This Row],[Quantity Sold]]&gt;=3,"BULK ORDER","REGULAR ORDER")</f>
        <v>BULK ORDER</v>
      </c>
      <c r="L327" t="str">
        <f>IF(Table1_1[[#This Row],[Customer Rating]]&gt;=4.5,"EXCELLENT",IF(Table1_1[[#This Row],[Customer Rating]]&lt;=4,"GOOD","AVERAGE"))</f>
        <v>GOOD</v>
      </c>
    </row>
    <row r="328" spans="1:12" x14ac:dyDescent="0.3">
      <c r="A328" t="s">
        <v>160</v>
      </c>
      <c r="B328" t="s">
        <v>1065</v>
      </c>
      <c r="C328" t="s">
        <v>1053</v>
      </c>
      <c r="D328">
        <v>14286.02</v>
      </c>
      <c r="E328">
        <v>4</v>
      </c>
      <c r="F328">
        <f>SUM(Table1_1[[#This Row],[Price (INR)]]*Table1_1[[#This Row],[Quantity Sold]])</f>
        <v>57144.08</v>
      </c>
      <c r="G328">
        <v>57144.08</v>
      </c>
      <c r="H328" s="1">
        <v>45437</v>
      </c>
      <c r="I328" t="s">
        <v>16</v>
      </c>
      <c r="J328">
        <v>3.7</v>
      </c>
      <c r="K328" t="str">
        <f>IF(Table1_1[[#This Row],[Quantity Sold]]&gt;=3,"BULK ORDER","REGULAR ORDER")</f>
        <v>BULK ORDER</v>
      </c>
      <c r="L328" t="str">
        <f>IF(Table1_1[[#This Row],[Customer Rating]]&gt;=4.5,"EXCELLENT",IF(Table1_1[[#This Row],[Customer Rating]]&lt;=4,"GOOD","AVERAGE"))</f>
        <v>GOOD</v>
      </c>
    </row>
    <row r="329" spans="1:12" x14ac:dyDescent="0.3">
      <c r="A329" t="s">
        <v>178</v>
      </c>
      <c r="B329" t="s">
        <v>1080</v>
      </c>
      <c r="C329" t="s">
        <v>1051</v>
      </c>
      <c r="D329">
        <v>42987.64</v>
      </c>
      <c r="E329">
        <v>5</v>
      </c>
      <c r="F329">
        <f>SUM(Table1_1[[#This Row],[Price (INR)]]*Table1_1[[#This Row],[Quantity Sold]])</f>
        <v>214938.2</v>
      </c>
      <c r="G329">
        <v>214938.2</v>
      </c>
      <c r="H329" s="1">
        <v>45381</v>
      </c>
      <c r="I329" t="s">
        <v>1059</v>
      </c>
      <c r="J329">
        <v>3.7</v>
      </c>
      <c r="K329" t="str">
        <f>IF(Table1_1[[#This Row],[Quantity Sold]]&gt;=3,"BULK ORDER","REGULAR ORDER")</f>
        <v>BULK ORDER</v>
      </c>
      <c r="L329" t="str">
        <f>IF(Table1_1[[#This Row],[Customer Rating]]&gt;=4.5,"EXCELLENT",IF(Table1_1[[#This Row],[Customer Rating]]&lt;=4,"GOOD","AVERAGE"))</f>
        <v>GOOD</v>
      </c>
    </row>
    <row r="330" spans="1:12" x14ac:dyDescent="0.3">
      <c r="A330" t="s">
        <v>336</v>
      </c>
      <c r="B330" t="s">
        <v>1077</v>
      </c>
      <c r="C330" t="s">
        <v>1048</v>
      </c>
      <c r="D330">
        <v>29093.02</v>
      </c>
      <c r="E330">
        <v>2</v>
      </c>
      <c r="F330">
        <f>SUM(Table1_1[[#This Row],[Price (INR)]]*Table1_1[[#This Row],[Quantity Sold]])</f>
        <v>58186.04</v>
      </c>
      <c r="G330">
        <v>58186.04</v>
      </c>
      <c r="H330" s="1">
        <v>45597</v>
      </c>
      <c r="I330" t="s">
        <v>1049</v>
      </c>
      <c r="J330">
        <v>3.7</v>
      </c>
      <c r="K330" t="str">
        <f>IF(Table1_1[[#This Row],[Quantity Sold]]&gt;=3,"BULK ORDER","REGULAR ORDER")</f>
        <v>REGULAR ORDER</v>
      </c>
      <c r="L330" t="str">
        <f>IF(Table1_1[[#This Row],[Customer Rating]]&gt;=4.5,"EXCELLENT",IF(Table1_1[[#This Row],[Customer Rating]]&lt;=4,"GOOD","AVERAGE"))</f>
        <v>GOOD</v>
      </c>
    </row>
    <row r="331" spans="1:12" x14ac:dyDescent="0.3">
      <c r="A331" t="s">
        <v>380</v>
      </c>
      <c r="B331" t="s">
        <v>1061</v>
      </c>
      <c r="C331" t="s">
        <v>1057</v>
      </c>
      <c r="D331">
        <v>46079.49</v>
      </c>
      <c r="E331">
        <v>5</v>
      </c>
      <c r="F331">
        <f>SUM(Table1_1[[#This Row],[Price (INR)]]*Table1_1[[#This Row],[Quantity Sold]])</f>
        <v>230397.44999999998</v>
      </c>
      <c r="G331">
        <v>230397.45</v>
      </c>
      <c r="H331" s="1">
        <v>45350</v>
      </c>
      <c r="I331" t="s">
        <v>1071</v>
      </c>
      <c r="J331">
        <v>3.7</v>
      </c>
      <c r="K331" t="str">
        <f>IF(Table1_1[[#This Row],[Quantity Sold]]&gt;=3,"BULK ORDER","REGULAR ORDER")</f>
        <v>BULK ORDER</v>
      </c>
      <c r="L331" t="str">
        <f>IF(Table1_1[[#This Row],[Customer Rating]]&gt;=4.5,"EXCELLENT",IF(Table1_1[[#This Row],[Customer Rating]]&lt;=4,"GOOD","AVERAGE"))</f>
        <v>GOOD</v>
      </c>
    </row>
    <row r="332" spans="1:12" x14ac:dyDescent="0.3">
      <c r="A332" t="s">
        <v>397</v>
      </c>
      <c r="B332" t="s">
        <v>1070</v>
      </c>
      <c r="C332" t="s">
        <v>1051</v>
      </c>
      <c r="D332">
        <v>26166.89</v>
      </c>
      <c r="E332">
        <v>4</v>
      </c>
      <c r="F332">
        <f>SUM(Table1_1[[#This Row],[Price (INR)]]*Table1_1[[#This Row],[Quantity Sold]])</f>
        <v>104667.56</v>
      </c>
      <c r="G332">
        <v>104667.56</v>
      </c>
      <c r="H332" s="1">
        <v>45541</v>
      </c>
      <c r="I332" t="s">
        <v>1068</v>
      </c>
      <c r="J332">
        <v>3.7</v>
      </c>
      <c r="K332" t="str">
        <f>IF(Table1_1[[#This Row],[Quantity Sold]]&gt;=3,"BULK ORDER","REGULAR ORDER")</f>
        <v>BULK ORDER</v>
      </c>
      <c r="L332" t="str">
        <f>IF(Table1_1[[#This Row],[Customer Rating]]&gt;=4.5,"EXCELLENT",IF(Table1_1[[#This Row],[Customer Rating]]&lt;=4,"GOOD","AVERAGE"))</f>
        <v>GOOD</v>
      </c>
    </row>
    <row r="333" spans="1:12" x14ac:dyDescent="0.3">
      <c r="A333" t="s">
        <v>399</v>
      </c>
      <c r="B333" t="s">
        <v>1070</v>
      </c>
      <c r="C333" t="s">
        <v>1051</v>
      </c>
      <c r="D333">
        <v>33543.19</v>
      </c>
      <c r="E333">
        <v>2</v>
      </c>
      <c r="F333">
        <f>SUM(Table1_1[[#This Row],[Price (INR)]]*Table1_1[[#This Row],[Quantity Sold]])</f>
        <v>67086.38</v>
      </c>
      <c r="G333">
        <v>67086.38</v>
      </c>
      <c r="H333" s="1">
        <v>45360</v>
      </c>
      <c r="I333" t="s">
        <v>16</v>
      </c>
      <c r="J333">
        <v>3.7</v>
      </c>
      <c r="K333" t="str">
        <f>IF(Table1_1[[#This Row],[Quantity Sold]]&gt;=3,"BULK ORDER","REGULAR ORDER")</f>
        <v>REGULAR ORDER</v>
      </c>
      <c r="L333" t="str">
        <f>IF(Table1_1[[#This Row],[Customer Rating]]&gt;=4.5,"EXCELLENT",IF(Table1_1[[#This Row],[Customer Rating]]&lt;=4,"GOOD","AVERAGE"))</f>
        <v>GOOD</v>
      </c>
    </row>
    <row r="334" spans="1:12" x14ac:dyDescent="0.3">
      <c r="A334" t="s">
        <v>519</v>
      </c>
      <c r="B334" t="s">
        <v>1079</v>
      </c>
      <c r="C334" t="s">
        <v>1057</v>
      </c>
      <c r="D334">
        <v>32460.13</v>
      </c>
      <c r="E334">
        <v>4</v>
      </c>
      <c r="F334">
        <f>SUM(Table1_1[[#This Row],[Price (INR)]]*Table1_1[[#This Row],[Quantity Sold]])</f>
        <v>129840.52</v>
      </c>
      <c r="G334">
        <v>129840.52</v>
      </c>
      <c r="H334" s="1">
        <v>45410</v>
      </c>
      <c r="I334" t="s">
        <v>1068</v>
      </c>
      <c r="J334">
        <v>3.7</v>
      </c>
      <c r="K334" t="str">
        <f>IF(Table1_1[[#This Row],[Quantity Sold]]&gt;=3,"BULK ORDER","REGULAR ORDER")</f>
        <v>BULK ORDER</v>
      </c>
      <c r="L334" t="str">
        <f>IF(Table1_1[[#This Row],[Customer Rating]]&gt;=4.5,"EXCELLENT",IF(Table1_1[[#This Row],[Customer Rating]]&lt;=4,"GOOD","AVERAGE"))</f>
        <v>GOOD</v>
      </c>
    </row>
    <row r="335" spans="1:12" x14ac:dyDescent="0.3">
      <c r="A335" t="s">
        <v>619</v>
      </c>
      <c r="B335" t="s">
        <v>1064</v>
      </c>
      <c r="C335" t="s">
        <v>1053</v>
      </c>
      <c r="D335">
        <v>10736.32</v>
      </c>
      <c r="E335">
        <v>3</v>
      </c>
      <c r="F335">
        <f>SUM(Table1_1[[#This Row],[Price (INR)]]*Table1_1[[#This Row],[Quantity Sold]])</f>
        <v>32208.959999999999</v>
      </c>
      <c r="G335">
        <v>32208.959999999999</v>
      </c>
      <c r="H335" s="1">
        <v>45488</v>
      </c>
      <c r="I335" t="s">
        <v>16</v>
      </c>
      <c r="J335">
        <v>3.7</v>
      </c>
      <c r="K335" t="str">
        <f>IF(Table1_1[[#This Row],[Quantity Sold]]&gt;=3,"BULK ORDER","REGULAR ORDER")</f>
        <v>BULK ORDER</v>
      </c>
      <c r="L335" t="str">
        <f>IF(Table1_1[[#This Row],[Customer Rating]]&gt;=4.5,"EXCELLENT",IF(Table1_1[[#This Row],[Customer Rating]]&lt;=4,"GOOD","AVERAGE"))</f>
        <v>GOOD</v>
      </c>
    </row>
    <row r="336" spans="1:12" x14ac:dyDescent="0.3">
      <c r="A336" t="s">
        <v>630</v>
      </c>
      <c r="B336" t="s">
        <v>1050</v>
      </c>
      <c r="C336" t="s">
        <v>1051</v>
      </c>
      <c r="D336">
        <v>26527.78</v>
      </c>
      <c r="E336">
        <v>4</v>
      </c>
      <c r="F336">
        <f>SUM(Table1_1[[#This Row],[Price (INR)]]*Table1_1[[#This Row],[Quantity Sold]])</f>
        <v>106111.12</v>
      </c>
      <c r="G336">
        <v>106111.12</v>
      </c>
      <c r="H336" s="1">
        <v>45337</v>
      </c>
      <c r="I336" t="s">
        <v>1071</v>
      </c>
      <c r="J336">
        <v>3.7</v>
      </c>
      <c r="K336" t="str">
        <f>IF(Table1_1[[#This Row],[Quantity Sold]]&gt;=3,"BULK ORDER","REGULAR ORDER")</f>
        <v>BULK ORDER</v>
      </c>
      <c r="L336" t="str">
        <f>IF(Table1_1[[#This Row],[Customer Rating]]&gt;=4.5,"EXCELLENT",IF(Table1_1[[#This Row],[Customer Rating]]&lt;=4,"GOOD","AVERAGE"))</f>
        <v>GOOD</v>
      </c>
    </row>
    <row r="337" spans="1:12" x14ac:dyDescent="0.3">
      <c r="A337" t="s">
        <v>631</v>
      </c>
      <c r="B337" t="s">
        <v>1056</v>
      </c>
      <c r="C337" t="s">
        <v>1057</v>
      </c>
      <c r="D337">
        <v>37170.400000000001</v>
      </c>
      <c r="E337">
        <v>5</v>
      </c>
      <c r="F337">
        <f>SUM(Table1_1[[#This Row],[Price (INR)]]*Table1_1[[#This Row],[Quantity Sold]])</f>
        <v>185852</v>
      </c>
      <c r="G337">
        <v>185852</v>
      </c>
      <c r="H337" s="1">
        <v>45420</v>
      </c>
      <c r="I337" t="s">
        <v>1049</v>
      </c>
      <c r="J337">
        <v>3.7</v>
      </c>
      <c r="K337" t="str">
        <f>IF(Table1_1[[#This Row],[Quantity Sold]]&gt;=3,"BULK ORDER","REGULAR ORDER")</f>
        <v>BULK ORDER</v>
      </c>
      <c r="L337" t="str">
        <f>IF(Table1_1[[#This Row],[Customer Rating]]&gt;=4.5,"EXCELLENT",IF(Table1_1[[#This Row],[Customer Rating]]&lt;=4,"GOOD","AVERAGE"))</f>
        <v>GOOD</v>
      </c>
    </row>
    <row r="338" spans="1:12" x14ac:dyDescent="0.3">
      <c r="A338" t="s">
        <v>683</v>
      </c>
      <c r="B338" t="s">
        <v>1054</v>
      </c>
      <c r="C338" t="s">
        <v>1055</v>
      </c>
      <c r="D338">
        <v>25935.66</v>
      </c>
      <c r="E338">
        <v>5</v>
      </c>
      <c r="F338">
        <f>SUM(Table1_1[[#This Row],[Price (INR)]]*Table1_1[[#This Row],[Quantity Sold]])</f>
        <v>129678.3</v>
      </c>
      <c r="G338">
        <v>129678.3</v>
      </c>
      <c r="H338" s="1">
        <v>45649</v>
      </c>
      <c r="I338" t="s">
        <v>1049</v>
      </c>
      <c r="J338">
        <v>3.7</v>
      </c>
      <c r="K338" t="str">
        <f>IF(Table1_1[[#This Row],[Quantity Sold]]&gt;=3,"BULK ORDER","REGULAR ORDER")</f>
        <v>BULK ORDER</v>
      </c>
      <c r="L338" t="str">
        <f>IF(Table1_1[[#This Row],[Customer Rating]]&gt;=4.5,"EXCELLENT",IF(Table1_1[[#This Row],[Customer Rating]]&lt;=4,"GOOD","AVERAGE"))</f>
        <v>GOOD</v>
      </c>
    </row>
    <row r="339" spans="1:12" x14ac:dyDescent="0.3">
      <c r="A339" t="s">
        <v>731</v>
      </c>
      <c r="B339" t="s">
        <v>1064</v>
      </c>
      <c r="C339" t="s">
        <v>1053</v>
      </c>
      <c r="D339">
        <v>17009.73</v>
      </c>
      <c r="E339">
        <v>4</v>
      </c>
      <c r="F339">
        <f>SUM(Table1_1[[#This Row],[Price (INR)]]*Table1_1[[#This Row],[Quantity Sold]])</f>
        <v>68038.92</v>
      </c>
      <c r="G339">
        <v>68038.92</v>
      </c>
      <c r="H339" s="1">
        <v>45608</v>
      </c>
      <c r="I339" t="s">
        <v>1049</v>
      </c>
      <c r="J339">
        <v>3.7</v>
      </c>
      <c r="K339" t="str">
        <f>IF(Table1_1[[#This Row],[Quantity Sold]]&gt;=3,"BULK ORDER","REGULAR ORDER")</f>
        <v>BULK ORDER</v>
      </c>
      <c r="L339" t="str">
        <f>IF(Table1_1[[#This Row],[Customer Rating]]&gt;=4.5,"EXCELLENT",IF(Table1_1[[#This Row],[Customer Rating]]&lt;=4,"GOOD","AVERAGE"))</f>
        <v>GOOD</v>
      </c>
    </row>
    <row r="340" spans="1:12" x14ac:dyDescent="0.3">
      <c r="A340" t="s">
        <v>777</v>
      </c>
      <c r="B340" t="s">
        <v>1079</v>
      </c>
      <c r="C340" t="s">
        <v>1057</v>
      </c>
      <c r="D340">
        <v>10241.780000000001</v>
      </c>
      <c r="E340">
        <v>2</v>
      </c>
      <c r="F340">
        <f>SUM(Table1_1[[#This Row],[Price (INR)]]*Table1_1[[#This Row],[Quantity Sold]])</f>
        <v>20483.560000000001</v>
      </c>
      <c r="G340">
        <v>20483.560000000001</v>
      </c>
      <c r="H340" s="1">
        <v>45672</v>
      </c>
      <c r="I340" t="s">
        <v>1059</v>
      </c>
      <c r="J340">
        <v>3.7</v>
      </c>
      <c r="K340" t="str">
        <f>IF(Table1_1[[#This Row],[Quantity Sold]]&gt;=3,"BULK ORDER","REGULAR ORDER")</f>
        <v>REGULAR ORDER</v>
      </c>
      <c r="L340" t="str">
        <f>IF(Table1_1[[#This Row],[Customer Rating]]&gt;=4.5,"EXCELLENT",IF(Table1_1[[#This Row],[Customer Rating]]&lt;=4,"GOOD","AVERAGE"))</f>
        <v>GOOD</v>
      </c>
    </row>
    <row r="341" spans="1:12" x14ac:dyDescent="0.3">
      <c r="A341" t="s">
        <v>859</v>
      </c>
      <c r="B341" t="s">
        <v>1070</v>
      </c>
      <c r="C341" t="s">
        <v>1051</v>
      </c>
      <c r="D341">
        <v>6114.55</v>
      </c>
      <c r="E341">
        <v>4</v>
      </c>
      <c r="F341">
        <f>SUM(Table1_1[[#This Row],[Price (INR)]]*Table1_1[[#This Row],[Quantity Sold]])</f>
        <v>24458.2</v>
      </c>
      <c r="G341">
        <v>24458.2</v>
      </c>
      <c r="H341" s="1">
        <v>45531</v>
      </c>
      <c r="I341" t="s">
        <v>1049</v>
      </c>
      <c r="J341">
        <v>3.7</v>
      </c>
      <c r="K341" t="str">
        <f>IF(Table1_1[[#This Row],[Quantity Sold]]&gt;=3,"BULK ORDER","REGULAR ORDER")</f>
        <v>BULK ORDER</v>
      </c>
      <c r="L341" t="str">
        <f>IF(Table1_1[[#This Row],[Customer Rating]]&gt;=4.5,"EXCELLENT",IF(Table1_1[[#This Row],[Customer Rating]]&lt;=4,"GOOD","AVERAGE"))</f>
        <v>GOOD</v>
      </c>
    </row>
    <row r="342" spans="1:12" x14ac:dyDescent="0.3">
      <c r="A342" t="s">
        <v>863</v>
      </c>
      <c r="B342" t="s">
        <v>1078</v>
      </c>
      <c r="C342" t="s">
        <v>1048</v>
      </c>
      <c r="D342">
        <v>4042.56</v>
      </c>
      <c r="E342">
        <v>2</v>
      </c>
      <c r="F342">
        <f>SUM(Table1_1[[#This Row],[Price (INR)]]*Table1_1[[#This Row],[Quantity Sold]])</f>
        <v>8085.12</v>
      </c>
      <c r="G342">
        <v>8085.12</v>
      </c>
      <c r="H342" s="1">
        <v>45365</v>
      </c>
      <c r="I342" t="s">
        <v>1049</v>
      </c>
      <c r="J342">
        <v>3.7</v>
      </c>
      <c r="K342" t="str">
        <f>IF(Table1_1[[#This Row],[Quantity Sold]]&gt;=3,"BULK ORDER","REGULAR ORDER")</f>
        <v>REGULAR ORDER</v>
      </c>
      <c r="L342" t="str">
        <f>IF(Table1_1[[#This Row],[Customer Rating]]&gt;=4.5,"EXCELLENT",IF(Table1_1[[#This Row],[Customer Rating]]&lt;=4,"GOOD","AVERAGE"))</f>
        <v>GOOD</v>
      </c>
    </row>
    <row r="343" spans="1:12" x14ac:dyDescent="0.3">
      <c r="A343" t="s">
        <v>877</v>
      </c>
      <c r="B343" t="s">
        <v>1054</v>
      </c>
      <c r="C343" t="s">
        <v>1055</v>
      </c>
      <c r="D343">
        <v>28678.880000000001</v>
      </c>
      <c r="E343">
        <v>4</v>
      </c>
      <c r="F343">
        <f>SUM(Table1_1[[#This Row],[Price (INR)]]*Table1_1[[#This Row],[Quantity Sold]])</f>
        <v>114715.52</v>
      </c>
      <c r="G343">
        <v>114715.52</v>
      </c>
      <c r="H343" s="1">
        <v>45582</v>
      </c>
      <c r="I343" t="s">
        <v>1071</v>
      </c>
      <c r="J343">
        <v>3.7</v>
      </c>
      <c r="K343" t="str">
        <f>IF(Table1_1[[#This Row],[Quantity Sold]]&gt;=3,"BULK ORDER","REGULAR ORDER")</f>
        <v>BULK ORDER</v>
      </c>
      <c r="L343" t="str">
        <f>IF(Table1_1[[#This Row],[Customer Rating]]&gt;=4.5,"EXCELLENT",IF(Table1_1[[#This Row],[Customer Rating]]&lt;=4,"GOOD","AVERAGE"))</f>
        <v>GOOD</v>
      </c>
    </row>
    <row r="344" spans="1:12" x14ac:dyDescent="0.3">
      <c r="A344" t="s">
        <v>942</v>
      </c>
      <c r="B344" t="s">
        <v>1058</v>
      </c>
      <c r="C344" t="s">
        <v>1057</v>
      </c>
      <c r="D344">
        <v>31978.03</v>
      </c>
      <c r="E344">
        <v>2</v>
      </c>
      <c r="F344">
        <f>SUM(Table1_1[[#This Row],[Price (INR)]]*Table1_1[[#This Row],[Quantity Sold]])</f>
        <v>63956.06</v>
      </c>
      <c r="G344">
        <v>63956.06</v>
      </c>
      <c r="H344" s="1">
        <v>45431</v>
      </c>
      <c r="I344" t="s">
        <v>1068</v>
      </c>
      <c r="J344">
        <v>3.7</v>
      </c>
      <c r="K344" t="str">
        <f>IF(Table1_1[[#This Row],[Quantity Sold]]&gt;=3,"BULK ORDER","REGULAR ORDER")</f>
        <v>REGULAR ORDER</v>
      </c>
      <c r="L344" t="str">
        <f>IF(Table1_1[[#This Row],[Customer Rating]]&gt;=4.5,"EXCELLENT",IF(Table1_1[[#This Row],[Customer Rating]]&lt;=4,"GOOD","AVERAGE"))</f>
        <v>GOOD</v>
      </c>
    </row>
    <row r="345" spans="1:12" x14ac:dyDescent="0.3">
      <c r="A345" t="s">
        <v>972</v>
      </c>
      <c r="B345" t="s">
        <v>1050</v>
      </c>
      <c r="C345" t="s">
        <v>1051</v>
      </c>
      <c r="D345">
        <v>29604.77</v>
      </c>
      <c r="E345">
        <v>4</v>
      </c>
      <c r="F345">
        <f>SUM(Table1_1[[#This Row],[Price (INR)]]*Table1_1[[#This Row],[Quantity Sold]])</f>
        <v>118419.08</v>
      </c>
      <c r="G345">
        <v>118419.08</v>
      </c>
      <c r="H345" s="1">
        <v>45418</v>
      </c>
      <c r="I345" t="s">
        <v>1059</v>
      </c>
      <c r="J345">
        <v>3.7</v>
      </c>
      <c r="K345" t="str">
        <f>IF(Table1_1[[#This Row],[Quantity Sold]]&gt;=3,"BULK ORDER","REGULAR ORDER")</f>
        <v>BULK ORDER</v>
      </c>
      <c r="L345" t="str">
        <f>IF(Table1_1[[#This Row],[Customer Rating]]&gt;=4.5,"EXCELLENT",IF(Table1_1[[#This Row],[Customer Rating]]&lt;=4,"GOOD","AVERAGE"))</f>
        <v>GOOD</v>
      </c>
    </row>
    <row r="346" spans="1:12" x14ac:dyDescent="0.3">
      <c r="A346" t="s">
        <v>973</v>
      </c>
      <c r="B346" t="s">
        <v>1062</v>
      </c>
      <c r="C346" t="s">
        <v>1051</v>
      </c>
      <c r="D346">
        <v>19927.72</v>
      </c>
      <c r="E346">
        <v>2</v>
      </c>
      <c r="F346">
        <f>SUM(Table1_1[[#This Row],[Price (INR)]]*Table1_1[[#This Row],[Quantity Sold]])</f>
        <v>39855.440000000002</v>
      </c>
      <c r="G346">
        <v>39855.440000000002</v>
      </c>
      <c r="H346" s="1">
        <v>45450</v>
      </c>
      <c r="I346" t="s">
        <v>1068</v>
      </c>
      <c r="J346">
        <v>3.7</v>
      </c>
      <c r="K346" t="str">
        <f>IF(Table1_1[[#This Row],[Quantity Sold]]&gt;=3,"BULK ORDER","REGULAR ORDER")</f>
        <v>REGULAR ORDER</v>
      </c>
      <c r="L346" t="str">
        <f>IF(Table1_1[[#This Row],[Customer Rating]]&gt;=4.5,"EXCELLENT",IF(Table1_1[[#This Row],[Customer Rating]]&lt;=4,"GOOD","AVERAGE"))</f>
        <v>GOOD</v>
      </c>
    </row>
    <row r="347" spans="1:12" x14ac:dyDescent="0.3">
      <c r="A347" t="s">
        <v>1016</v>
      </c>
      <c r="B347" t="s">
        <v>1076</v>
      </c>
      <c r="C347" t="s">
        <v>1055</v>
      </c>
      <c r="D347">
        <v>23125.33</v>
      </c>
      <c r="E347">
        <v>5</v>
      </c>
      <c r="F347">
        <f>SUM(Table1_1[[#This Row],[Price (INR)]]*Table1_1[[#This Row],[Quantity Sold]])</f>
        <v>115626.65000000001</v>
      </c>
      <c r="G347">
        <v>115626.65</v>
      </c>
      <c r="H347" s="1">
        <v>45676</v>
      </c>
      <c r="I347" t="s">
        <v>1049</v>
      </c>
      <c r="J347">
        <v>3.7</v>
      </c>
      <c r="K347" t="str">
        <f>IF(Table1_1[[#This Row],[Quantity Sold]]&gt;=3,"BULK ORDER","REGULAR ORDER")</f>
        <v>BULK ORDER</v>
      </c>
      <c r="L347" t="str">
        <f>IF(Table1_1[[#This Row],[Customer Rating]]&gt;=4.5,"EXCELLENT",IF(Table1_1[[#This Row],[Customer Rating]]&lt;=4,"GOOD","AVERAGE"))</f>
        <v>GOOD</v>
      </c>
    </row>
    <row r="348" spans="1:12" x14ac:dyDescent="0.3">
      <c r="A348" t="s">
        <v>1022</v>
      </c>
      <c r="B348" t="s">
        <v>1061</v>
      </c>
      <c r="C348" t="s">
        <v>1057</v>
      </c>
      <c r="D348">
        <v>35763.480000000003</v>
      </c>
      <c r="E348">
        <v>4</v>
      </c>
      <c r="F348">
        <f>SUM(Table1_1[[#This Row],[Price (INR)]]*Table1_1[[#This Row],[Quantity Sold]])</f>
        <v>143053.92000000001</v>
      </c>
      <c r="G348">
        <v>143053.92000000001</v>
      </c>
      <c r="H348" s="1">
        <v>45653</v>
      </c>
      <c r="I348" t="s">
        <v>16</v>
      </c>
      <c r="J348">
        <v>3.7</v>
      </c>
      <c r="K348" t="str">
        <f>IF(Table1_1[[#This Row],[Quantity Sold]]&gt;=3,"BULK ORDER","REGULAR ORDER")</f>
        <v>BULK ORDER</v>
      </c>
      <c r="L348" t="str">
        <f>IF(Table1_1[[#This Row],[Customer Rating]]&gt;=4.5,"EXCELLENT",IF(Table1_1[[#This Row],[Customer Rating]]&lt;=4,"GOOD","AVERAGE"))</f>
        <v>GOOD</v>
      </c>
    </row>
    <row r="349" spans="1:12" x14ac:dyDescent="0.3">
      <c r="A349" t="s">
        <v>1037</v>
      </c>
      <c r="B349" t="s">
        <v>1058</v>
      </c>
      <c r="C349" t="s">
        <v>1057</v>
      </c>
      <c r="D349">
        <v>25511.46</v>
      </c>
      <c r="E349">
        <v>2</v>
      </c>
      <c r="F349">
        <f>SUM(Table1_1[[#This Row],[Price (INR)]]*Table1_1[[#This Row],[Quantity Sold]])</f>
        <v>51022.92</v>
      </c>
      <c r="G349">
        <v>51022.92</v>
      </c>
      <c r="H349" s="1">
        <v>45623</v>
      </c>
      <c r="I349" t="s">
        <v>1071</v>
      </c>
      <c r="J349">
        <v>3.7</v>
      </c>
      <c r="K349" t="str">
        <f>IF(Table1_1[[#This Row],[Quantity Sold]]&gt;=3,"BULK ORDER","REGULAR ORDER")</f>
        <v>REGULAR ORDER</v>
      </c>
      <c r="L349" t="str">
        <f>IF(Table1_1[[#This Row],[Customer Rating]]&gt;=4.5,"EXCELLENT",IF(Table1_1[[#This Row],[Customer Rating]]&lt;=4,"GOOD","AVERAGE"))</f>
        <v>GOOD</v>
      </c>
    </row>
    <row r="350" spans="1:12" x14ac:dyDescent="0.3">
      <c r="A350" t="s">
        <v>67</v>
      </c>
      <c r="B350" t="s">
        <v>1064</v>
      </c>
      <c r="C350" t="s">
        <v>1053</v>
      </c>
      <c r="D350">
        <v>47651.19</v>
      </c>
      <c r="E350">
        <v>1</v>
      </c>
      <c r="F350">
        <f>SUM(Table1_1[[#This Row],[Price (INR)]]*Table1_1[[#This Row],[Quantity Sold]])</f>
        <v>47651.19</v>
      </c>
      <c r="G350">
        <v>47651.19</v>
      </c>
      <c r="H350" s="1">
        <v>45396</v>
      </c>
      <c r="I350" t="s">
        <v>1071</v>
      </c>
      <c r="J350">
        <v>3.6</v>
      </c>
      <c r="K350" t="str">
        <f>IF(Table1_1[[#This Row],[Quantity Sold]]&gt;=3,"BULK ORDER","REGULAR ORDER")</f>
        <v>REGULAR ORDER</v>
      </c>
      <c r="L350" t="str">
        <f>IF(Table1_1[[#This Row],[Customer Rating]]&gt;=4.5,"EXCELLENT",IF(Table1_1[[#This Row],[Customer Rating]]&lt;=4,"GOOD","AVERAGE"))</f>
        <v>GOOD</v>
      </c>
    </row>
    <row r="351" spans="1:12" x14ac:dyDescent="0.3">
      <c r="A351" t="s">
        <v>96</v>
      </c>
      <c r="B351" t="s">
        <v>1054</v>
      </c>
      <c r="C351" t="s">
        <v>1055</v>
      </c>
      <c r="D351">
        <v>29745</v>
      </c>
      <c r="E351">
        <v>1</v>
      </c>
      <c r="F351">
        <f>SUM(Table1_1[[#This Row],[Price (INR)]]*Table1_1[[#This Row],[Quantity Sold]])</f>
        <v>29745</v>
      </c>
      <c r="G351">
        <v>29745</v>
      </c>
      <c r="H351" s="1">
        <v>45569</v>
      </c>
      <c r="I351" t="s">
        <v>16</v>
      </c>
      <c r="J351">
        <v>3.6</v>
      </c>
      <c r="K351" t="str">
        <f>IF(Table1_1[[#This Row],[Quantity Sold]]&gt;=3,"BULK ORDER","REGULAR ORDER")</f>
        <v>REGULAR ORDER</v>
      </c>
      <c r="L351" t="str">
        <f>IF(Table1_1[[#This Row],[Customer Rating]]&gt;=4.5,"EXCELLENT",IF(Table1_1[[#This Row],[Customer Rating]]&lt;=4,"GOOD","AVERAGE"))</f>
        <v>GOOD</v>
      </c>
    </row>
    <row r="352" spans="1:12" x14ac:dyDescent="0.3">
      <c r="A352" t="s">
        <v>99</v>
      </c>
      <c r="B352" t="s">
        <v>1078</v>
      </c>
      <c r="C352" t="s">
        <v>1048</v>
      </c>
      <c r="D352">
        <v>18830.59</v>
      </c>
      <c r="E352">
        <v>4</v>
      </c>
      <c r="F352">
        <f>SUM(Table1_1[[#This Row],[Price (INR)]]*Table1_1[[#This Row],[Quantity Sold]])</f>
        <v>75322.36</v>
      </c>
      <c r="G352">
        <v>75322.36</v>
      </c>
      <c r="H352" s="1">
        <v>45428</v>
      </c>
      <c r="I352" t="s">
        <v>1071</v>
      </c>
      <c r="J352">
        <v>3.6</v>
      </c>
      <c r="K352" t="str">
        <f>IF(Table1_1[[#This Row],[Quantity Sold]]&gt;=3,"BULK ORDER","REGULAR ORDER")</f>
        <v>BULK ORDER</v>
      </c>
      <c r="L352" t="str">
        <f>IF(Table1_1[[#This Row],[Customer Rating]]&gt;=4.5,"EXCELLENT",IF(Table1_1[[#This Row],[Customer Rating]]&lt;=4,"GOOD","AVERAGE"))</f>
        <v>GOOD</v>
      </c>
    </row>
    <row r="353" spans="1:12" x14ac:dyDescent="0.3">
      <c r="A353" t="s">
        <v>135</v>
      </c>
      <c r="B353" t="s">
        <v>1064</v>
      </c>
      <c r="C353" t="s">
        <v>1053</v>
      </c>
      <c r="D353">
        <v>19498.32</v>
      </c>
      <c r="E353">
        <v>2</v>
      </c>
      <c r="F353">
        <f>SUM(Table1_1[[#This Row],[Price (INR)]]*Table1_1[[#This Row],[Quantity Sold]])</f>
        <v>38996.639999999999</v>
      </c>
      <c r="G353">
        <v>38996.639999999999</v>
      </c>
      <c r="H353" s="1">
        <v>45619</v>
      </c>
      <c r="I353" t="s">
        <v>1068</v>
      </c>
      <c r="J353">
        <v>3.6</v>
      </c>
      <c r="K353" t="str">
        <f>IF(Table1_1[[#This Row],[Quantity Sold]]&gt;=3,"BULK ORDER","REGULAR ORDER")</f>
        <v>REGULAR ORDER</v>
      </c>
      <c r="L353" t="str">
        <f>IF(Table1_1[[#This Row],[Customer Rating]]&gt;=4.5,"EXCELLENT",IF(Table1_1[[#This Row],[Customer Rating]]&lt;=4,"GOOD","AVERAGE"))</f>
        <v>GOOD</v>
      </c>
    </row>
    <row r="354" spans="1:12" x14ac:dyDescent="0.3">
      <c r="A354" t="s">
        <v>170</v>
      </c>
      <c r="B354" t="s">
        <v>1066</v>
      </c>
      <c r="C354" t="s">
        <v>1055</v>
      </c>
      <c r="D354">
        <v>26615.97</v>
      </c>
      <c r="E354">
        <v>3</v>
      </c>
      <c r="F354">
        <f>SUM(Table1_1[[#This Row],[Price (INR)]]*Table1_1[[#This Row],[Quantity Sold]])</f>
        <v>79847.91</v>
      </c>
      <c r="G354">
        <v>79847.91</v>
      </c>
      <c r="H354" s="1">
        <v>45530</v>
      </c>
      <c r="I354" t="s">
        <v>1071</v>
      </c>
      <c r="J354">
        <v>3.6</v>
      </c>
      <c r="K354" t="str">
        <f>IF(Table1_1[[#This Row],[Quantity Sold]]&gt;=3,"BULK ORDER","REGULAR ORDER")</f>
        <v>BULK ORDER</v>
      </c>
      <c r="L354" t="str">
        <f>IF(Table1_1[[#This Row],[Customer Rating]]&gt;=4.5,"EXCELLENT",IF(Table1_1[[#This Row],[Customer Rating]]&lt;=4,"GOOD","AVERAGE"))</f>
        <v>GOOD</v>
      </c>
    </row>
    <row r="355" spans="1:12" x14ac:dyDescent="0.3">
      <c r="A355" t="s">
        <v>255</v>
      </c>
      <c r="B355" t="s">
        <v>1072</v>
      </c>
      <c r="C355" t="s">
        <v>1057</v>
      </c>
      <c r="D355">
        <v>32824.050000000003</v>
      </c>
      <c r="E355">
        <v>3</v>
      </c>
      <c r="F355">
        <f>SUM(Table1_1[[#This Row],[Price (INR)]]*Table1_1[[#This Row],[Quantity Sold]])</f>
        <v>98472.150000000009</v>
      </c>
      <c r="G355">
        <v>98472.15</v>
      </c>
      <c r="H355" s="1">
        <v>45537</v>
      </c>
      <c r="I355" t="s">
        <v>1068</v>
      </c>
      <c r="J355">
        <v>3.6</v>
      </c>
      <c r="K355" t="str">
        <f>IF(Table1_1[[#This Row],[Quantity Sold]]&gt;=3,"BULK ORDER","REGULAR ORDER")</f>
        <v>BULK ORDER</v>
      </c>
      <c r="L355" t="str">
        <f>IF(Table1_1[[#This Row],[Customer Rating]]&gt;=4.5,"EXCELLENT",IF(Table1_1[[#This Row],[Customer Rating]]&lt;=4,"GOOD","AVERAGE"))</f>
        <v>GOOD</v>
      </c>
    </row>
    <row r="356" spans="1:12" x14ac:dyDescent="0.3">
      <c r="A356" t="s">
        <v>288</v>
      </c>
      <c r="B356" t="s">
        <v>1058</v>
      </c>
      <c r="C356" t="s">
        <v>1057</v>
      </c>
      <c r="D356">
        <v>7771.58</v>
      </c>
      <c r="E356">
        <v>5</v>
      </c>
      <c r="F356">
        <f>SUM(Table1_1[[#This Row],[Price (INR)]]*Table1_1[[#This Row],[Quantity Sold]])</f>
        <v>38857.9</v>
      </c>
      <c r="G356">
        <v>38857.9</v>
      </c>
      <c r="H356" s="1">
        <v>45521</v>
      </c>
      <c r="I356" t="s">
        <v>1049</v>
      </c>
      <c r="J356">
        <v>3.6</v>
      </c>
      <c r="K356" t="str">
        <f>IF(Table1_1[[#This Row],[Quantity Sold]]&gt;=3,"BULK ORDER","REGULAR ORDER")</f>
        <v>BULK ORDER</v>
      </c>
      <c r="L356" t="str">
        <f>IF(Table1_1[[#This Row],[Customer Rating]]&gt;=4.5,"EXCELLENT",IF(Table1_1[[#This Row],[Customer Rating]]&lt;=4,"GOOD","AVERAGE"))</f>
        <v>GOOD</v>
      </c>
    </row>
    <row r="357" spans="1:12" x14ac:dyDescent="0.3">
      <c r="A357" t="s">
        <v>322</v>
      </c>
      <c r="B357" t="s">
        <v>1063</v>
      </c>
      <c r="C357" t="s">
        <v>1055</v>
      </c>
      <c r="D357">
        <v>27400.84</v>
      </c>
      <c r="E357">
        <v>1</v>
      </c>
      <c r="F357">
        <f>SUM(Table1_1[[#This Row],[Price (INR)]]*Table1_1[[#This Row],[Quantity Sold]])</f>
        <v>27400.84</v>
      </c>
      <c r="G357">
        <v>27400.84</v>
      </c>
      <c r="H357" s="1">
        <v>45695</v>
      </c>
      <c r="I357" t="s">
        <v>1071</v>
      </c>
      <c r="J357">
        <v>3.6</v>
      </c>
      <c r="K357" t="str">
        <f>IF(Table1_1[[#This Row],[Quantity Sold]]&gt;=3,"BULK ORDER","REGULAR ORDER")</f>
        <v>REGULAR ORDER</v>
      </c>
      <c r="L357" t="str">
        <f>IF(Table1_1[[#This Row],[Customer Rating]]&gt;=4.5,"EXCELLENT",IF(Table1_1[[#This Row],[Customer Rating]]&lt;=4,"GOOD","AVERAGE"))</f>
        <v>GOOD</v>
      </c>
    </row>
    <row r="358" spans="1:12" x14ac:dyDescent="0.3">
      <c r="A358" t="s">
        <v>343</v>
      </c>
      <c r="B358" t="s">
        <v>1070</v>
      </c>
      <c r="C358" t="s">
        <v>1051</v>
      </c>
      <c r="D358">
        <v>6037.98</v>
      </c>
      <c r="E358">
        <v>2</v>
      </c>
      <c r="F358">
        <f>SUM(Table1_1[[#This Row],[Price (INR)]]*Table1_1[[#This Row],[Quantity Sold]])</f>
        <v>12075.96</v>
      </c>
      <c r="G358">
        <v>12075.96</v>
      </c>
      <c r="H358" s="1">
        <v>45437</v>
      </c>
      <c r="I358" t="s">
        <v>42</v>
      </c>
      <c r="J358">
        <v>3.6</v>
      </c>
      <c r="K358" t="str">
        <f>IF(Table1_1[[#This Row],[Quantity Sold]]&gt;=3,"BULK ORDER","REGULAR ORDER")</f>
        <v>REGULAR ORDER</v>
      </c>
      <c r="L358" t="str">
        <f>IF(Table1_1[[#This Row],[Customer Rating]]&gt;=4.5,"EXCELLENT",IF(Table1_1[[#This Row],[Customer Rating]]&lt;=4,"GOOD","AVERAGE"))</f>
        <v>GOOD</v>
      </c>
    </row>
    <row r="359" spans="1:12" x14ac:dyDescent="0.3">
      <c r="A359" t="s">
        <v>413</v>
      </c>
      <c r="B359" t="s">
        <v>1056</v>
      </c>
      <c r="C359" t="s">
        <v>1057</v>
      </c>
      <c r="D359">
        <v>40486.080000000002</v>
      </c>
      <c r="E359">
        <v>5</v>
      </c>
      <c r="F359">
        <f>SUM(Table1_1[[#This Row],[Price (INR)]]*Table1_1[[#This Row],[Quantity Sold]])</f>
        <v>202430.40000000002</v>
      </c>
      <c r="G359">
        <v>202430.4</v>
      </c>
      <c r="H359" s="1">
        <v>45622</v>
      </c>
      <c r="I359" t="s">
        <v>1059</v>
      </c>
      <c r="J359">
        <v>3.6</v>
      </c>
      <c r="K359" t="str">
        <f>IF(Table1_1[[#This Row],[Quantity Sold]]&gt;=3,"BULK ORDER","REGULAR ORDER")</f>
        <v>BULK ORDER</v>
      </c>
      <c r="L359" t="str">
        <f>IF(Table1_1[[#This Row],[Customer Rating]]&gt;=4.5,"EXCELLENT",IF(Table1_1[[#This Row],[Customer Rating]]&lt;=4,"GOOD","AVERAGE"))</f>
        <v>GOOD</v>
      </c>
    </row>
    <row r="360" spans="1:12" x14ac:dyDescent="0.3">
      <c r="A360" t="s">
        <v>529</v>
      </c>
      <c r="B360" t="s">
        <v>1067</v>
      </c>
      <c r="C360" t="s">
        <v>1048</v>
      </c>
      <c r="D360">
        <v>4316.82</v>
      </c>
      <c r="E360">
        <v>2</v>
      </c>
      <c r="F360">
        <f>SUM(Table1_1[[#This Row],[Price (INR)]]*Table1_1[[#This Row],[Quantity Sold]])</f>
        <v>8633.64</v>
      </c>
      <c r="G360">
        <v>8633.64</v>
      </c>
      <c r="H360" s="1">
        <v>45414</v>
      </c>
      <c r="I360" t="s">
        <v>1068</v>
      </c>
      <c r="J360">
        <v>3.6</v>
      </c>
      <c r="K360" t="str">
        <f>IF(Table1_1[[#This Row],[Quantity Sold]]&gt;=3,"BULK ORDER","REGULAR ORDER")</f>
        <v>REGULAR ORDER</v>
      </c>
      <c r="L360" t="str">
        <f>IF(Table1_1[[#This Row],[Customer Rating]]&gt;=4.5,"EXCELLENT",IF(Table1_1[[#This Row],[Customer Rating]]&lt;=4,"GOOD","AVERAGE"))</f>
        <v>GOOD</v>
      </c>
    </row>
    <row r="361" spans="1:12" x14ac:dyDescent="0.3">
      <c r="A361" t="s">
        <v>565</v>
      </c>
      <c r="B361" t="s">
        <v>1069</v>
      </c>
      <c r="C361" t="s">
        <v>1048</v>
      </c>
      <c r="D361">
        <v>6842.69</v>
      </c>
      <c r="E361">
        <v>1</v>
      </c>
      <c r="F361">
        <f>SUM(Table1_1[[#This Row],[Price (INR)]]*Table1_1[[#This Row],[Quantity Sold]])</f>
        <v>6842.69</v>
      </c>
      <c r="G361">
        <v>6842.69</v>
      </c>
      <c r="H361" s="1">
        <v>45447</v>
      </c>
      <c r="I361" t="s">
        <v>16</v>
      </c>
      <c r="J361">
        <v>3.6</v>
      </c>
      <c r="K361" t="str">
        <f>IF(Table1_1[[#This Row],[Quantity Sold]]&gt;=3,"BULK ORDER","REGULAR ORDER")</f>
        <v>REGULAR ORDER</v>
      </c>
      <c r="L361" t="str">
        <f>IF(Table1_1[[#This Row],[Customer Rating]]&gt;=4.5,"EXCELLENT",IF(Table1_1[[#This Row],[Customer Rating]]&lt;=4,"GOOD","AVERAGE"))</f>
        <v>GOOD</v>
      </c>
    </row>
    <row r="362" spans="1:12" x14ac:dyDescent="0.3">
      <c r="A362" t="s">
        <v>573</v>
      </c>
      <c r="B362" t="s">
        <v>1074</v>
      </c>
      <c r="C362" t="s">
        <v>1055</v>
      </c>
      <c r="D362">
        <v>45532.34</v>
      </c>
      <c r="E362">
        <v>5</v>
      </c>
      <c r="F362">
        <f>SUM(Table1_1[[#This Row],[Price (INR)]]*Table1_1[[#This Row],[Quantity Sold]])</f>
        <v>227661.69999999998</v>
      </c>
      <c r="G362">
        <v>227661.7</v>
      </c>
      <c r="H362" s="1">
        <v>45410</v>
      </c>
      <c r="I362" t="s">
        <v>1068</v>
      </c>
      <c r="J362">
        <v>3.6</v>
      </c>
      <c r="K362" t="str">
        <f>IF(Table1_1[[#This Row],[Quantity Sold]]&gt;=3,"BULK ORDER","REGULAR ORDER")</f>
        <v>BULK ORDER</v>
      </c>
      <c r="L362" t="str">
        <f>IF(Table1_1[[#This Row],[Customer Rating]]&gt;=4.5,"EXCELLENT",IF(Table1_1[[#This Row],[Customer Rating]]&lt;=4,"GOOD","AVERAGE"))</f>
        <v>GOOD</v>
      </c>
    </row>
    <row r="363" spans="1:12" x14ac:dyDescent="0.3">
      <c r="A363" t="s">
        <v>598</v>
      </c>
      <c r="B363" t="s">
        <v>1070</v>
      </c>
      <c r="C363" t="s">
        <v>1051</v>
      </c>
      <c r="D363">
        <v>25114.77</v>
      </c>
      <c r="E363">
        <v>2</v>
      </c>
      <c r="F363">
        <f>SUM(Table1_1[[#This Row],[Price (INR)]]*Table1_1[[#This Row],[Quantity Sold]])</f>
        <v>50229.54</v>
      </c>
      <c r="G363">
        <v>50229.54</v>
      </c>
      <c r="H363" s="1">
        <v>45511</v>
      </c>
      <c r="I363" t="s">
        <v>42</v>
      </c>
      <c r="J363">
        <v>3.6</v>
      </c>
      <c r="K363" t="str">
        <f>IF(Table1_1[[#This Row],[Quantity Sold]]&gt;=3,"BULK ORDER","REGULAR ORDER")</f>
        <v>REGULAR ORDER</v>
      </c>
      <c r="L363" t="str">
        <f>IF(Table1_1[[#This Row],[Customer Rating]]&gt;=4.5,"EXCELLENT",IF(Table1_1[[#This Row],[Customer Rating]]&lt;=4,"GOOD","AVERAGE"))</f>
        <v>GOOD</v>
      </c>
    </row>
    <row r="364" spans="1:12" x14ac:dyDescent="0.3">
      <c r="A364" t="s">
        <v>601</v>
      </c>
      <c r="B364" t="s">
        <v>1064</v>
      </c>
      <c r="C364" t="s">
        <v>1053</v>
      </c>
      <c r="D364">
        <v>20202.560000000001</v>
      </c>
      <c r="E364">
        <v>5</v>
      </c>
      <c r="F364">
        <f>SUM(Table1_1[[#This Row],[Price (INR)]]*Table1_1[[#This Row],[Quantity Sold]])</f>
        <v>101012.8</v>
      </c>
      <c r="G364">
        <v>101012.8</v>
      </c>
      <c r="H364" s="1">
        <v>45429</v>
      </c>
      <c r="I364" t="s">
        <v>1068</v>
      </c>
      <c r="J364">
        <v>3.6</v>
      </c>
      <c r="K364" t="str">
        <f>IF(Table1_1[[#This Row],[Quantity Sold]]&gt;=3,"BULK ORDER","REGULAR ORDER")</f>
        <v>BULK ORDER</v>
      </c>
      <c r="L364" t="str">
        <f>IF(Table1_1[[#This Row],[Customer Rating]]&gt;=4.5,"EXCELLENT",IF(Table1_1[[#This Row],[Customer Rating]]&lt;=4,"GOOD","AVERAGE"))</f>
        <v>GOOD</v>
      </c>
    </row>
    <row r="365" spans="1:12" x14ac:dyDescent="0.3">
      <c r="A365" t="s">
        <v>660</v>
      </c>
      <c r="B365" t="s">
        <v>1080</v>
      </c>
      <c r="C365" t="s">
        <v>1051</v>
      </c>
      <c r="D365">
        <v>8080.22</v>
      </c>
      <c r="E365">
        <v>2</v>
      </c>
      <c r="F365">
        <f>SUM(Table1_1[[#This Row],[Price (INR)]]*Table1_1[[#This Row],[Quantity Sold]])</f>
        <v>16160.44</v>
      </c>
      <c r="G365">
        <v>16160.44</v>
      </c>
      <c r="H365" s="1">
        <v>45358</v>
      </c>
      <c r="I365" t="s">
        <v>1049</v>
      </c>
      <c r="J365">
        <v>3.6</v>
      </c>
      <c r="K365" t="str">
        <f>IF(Table1_1[[#This Row],[Quantity Sold]]&gt;=3,"BULK ORDER","REGULAR ORDER")</f>
        <v>REGULAR ORDER</v>
      </c>
      <c r="L365" t="str">
        <f>IF(Table1_1[[#This Row],[Customer Rating]]&gt;=4.5,"EXCELLENT",IF(Table1_1[[#This Row],[Customer Rating]]&lt;=4,"GOOD","AVERAGE"))</f>
        <v>GOOD</v>
      </c>
    </row>
    <row r="366" spans="1:12" x14ac:dyDescent="0.3">
      <c r="A366" t="s">
        <v>664</v>
      </c>
      <c r="B366" t="s">
        <v>1052</v>
      </c>
      <c r="C366" t="s">
        <v>1053</v>
      </c>
      <c r="D366">
        <v>34866.42</v>
      </c>
      <c r="E366">
        <v>1</v>
      </c>
      <c r="F366">
        <f>SUM(Table1_1[[#This Row],[Price (INR)]]*Table1_1[[#This Row],[Quantity Sold]])</f>
        <v>34866.42</v>
      </c>
      <c r="G366">
        <v>34866.42</v>
      </c>
      <c r="H366" s="1">
        <v>45644</v>
      </c>
      <c r="I366" t="s">
        <v>42</v>
      </c>
      <c r="J366">
        <v>3.6</v>
      </c>
      <c r="K366" t="str">
        <f>IF(Table1_1[[#This Row],[Quantity Sold]]&gt;=3,"BULK ORDER","REGULAR ORDER")</f>
        <v>REGULAR ORDER</v>
      </c>
      <c r="L366" t="str">
        <f>IF(Table1_1[[#This Row],[Customer Rating]]&gt;=4.5,"EXCELLENT",IF(Table1_1[[#This Row],[Customer Rating]]&lt;=4,"GOOD","AVERAGE"))</f>
        <v>GOOD</v>
      </c>
    </row>
    <row r="367" spans="1:12" x14ac:dyDescent="0.3">
      <c r="A367" t="s">
        <v>739</v>
      </c>
      <c r="B367" t="s">
        <v>1062</v>
      </c>
      <c r="C367" t="s">
        <v>1051</v>
      </c>
      <c r="D367">
        <v>13763.17</v>
      </c>
      <c r="E367">
        <v>5</v>
      </c>
      <c r="F367">
        <f>SUM(Table1_1[[#This Row],[Price (INR)]]*Table1_1[[#This Row],[Quantity Sold]])</f>
        <v>68815.850000000006</v>
      </c>
      <c r="G367">
        <v>68815.850000000006</v>
      </c>
      <c r="H367" s="1">
        <v>45434</v>
      </c>
      <c r="I367" t="s">
        <v>1059</v>
      </c>
      <c r="J367">
        <v>3.6</v>
      </c>
      <c r="K367" t="str">
        <f>IF(Table1_1[[#This Row],[Quantity Sold]]&gt;=3,"BULK ORDER","REGULAR ORDER")</f>
        <v>BULK ORDER</v>
      </c>
      <c r="L367" t="str">
        <f>IF(Table1_1[[#This Row],[Customer Rating]]&gt;=4.5,"EXCELLENT",IF(Table1_1[[#This Row],[Customer Rating]]&lt;=4,"GOOD","AVERAGE"))</f>
        <v>GOOD</v>
      </c>
    </row>
    <row r="368" spans="1:12" x14ac:dyDescent="0.3">
      <c r="A368" t="s">
        <v>773</v>
      </c>
      <c r="B368" t="s">
        <v>1054</v>
      </c>
      <c r="C368" t="s">
        <v>1055</v>
      </c>
      <c r="D368">
        <v>11448.28</v>
      </c>
      <c r="E368">
        <v>1</v>
      </c>
      <c r="F368">
        <f>SUM(Table1_1[[#This Row],[Price (INR)]]*Table1_1[[#This Row],[Quantity Sold]])</f>
        <v>11448.28</v>
      </c>
      <c r="G368">
        <v>11448.28</v>
      </c>
      <c r="H368" s="1">
        <v>45508</v>
      </c>
      <c r="I368" t="s">
        <v>1071</v>
      </c>
      <c r="J368">
        <v>3.6</v>
      </c>
      <c r="K368" t="str">
        <f>IF(Table1_1[[#This Row],[Quantity Sold]]&gt;=3,"BULK ORDER","REGULAR ORDER")</f>
        <v>REGULAR ORDER</v>
      </c>
      <c r="L368" t="str">
        <f>IF(Table1_1[[#This Row],[Customer Rating]]&gt;=4.5,"EXCELLENT",IF(Table1_1[[#This Row],[Customer Rating]]&lt;=4,"GOOD","AVERAGE"))</f>
        <v>GOOD</v>
      </c>
    </row>
    <row r="369" spans="1:12" x14ac:dyDescent="0.3">
      <c r="A369" t="s">
        <v>784</v>
      </c>
      <c r="B369" t="s">
        <v>1066</v>
      </c>
      <c r="C369" t="s">
        <v>1055</v>
      </c>
      <c r="D369">
        <v>14636.55</v>
      </c>
      <c r="E369">
        <v>3</v>
      </c>
      <c r="F369">
        <f>SUM(Table1_1[[#This Row],[Price (INR)]]*Table1_1[[#This Row],[Quantity Sold]])</f>
        <v>43909.649999999994</v>
      </c>
      <c r="G369">
        <v>43909.65</v>
      </c>
      <c r="H369" s="1">
        <v>45421</v>
      </c>
      <c r="I369" t="s">
        <v>1068</v>
      </c>
      <c r="J369">
        <v>3.6</v>
      </c>
      <c r="K369" t="str">
        <f>IF(Table1_1[[#This Row],[Quantity Sold]]&gt;=3,"BULK ORDER","REGULAR ORDER")</f>
        <v>BULK ORDER</v>
      </c>
      <c r="L369" t="str">
        <f>IF(Table1_1[[#This Row],[Customer Rating]]&gt;=4.5,"EXCELLENT",IF(Table1_1[[#This Row],[Customer Rating]]&lt;=4,"GOOD","AVERAGE"))</f>
        <v>GOOD</v>
      </c>
    </row>
    <row r="370" spans="1:12" x14ac:dyDescent="0.3">
      <c r="A370" t="s">
        <v>797</v>
      </c>
      <c r="B370" t="s">
        <v>1063</v>
      </c>
      <c r="C370" t="s">
        <v>1055</v>
      </c>
      <c r="D370">
        <v>41926.03</v>
      </c>
      <c r="E370">
        <v>2</v>
      </c>
      <c r="F370">
        <f>SUM(Table1_1[[#This Row],[Price (INR)]]*Table1_1[[#This Row],[Quantity Sold]])</f>
        <v>83852.06</v>
      </c>
      <c r="G370">
        <v>83852.06</v>
      </c>
      <c r="H370" s="1">
        <v>45689</v>
      </c>
      <c r="I370" t="s">
        <v>42</v>
      </c>
      <c r="J370">
        <v>3.6</v>
      </c>
      <c r="K370" t="str">
        <f>IF(Table1_1[[#This Row],[Quantity Sold]]&gt;=3,"BULK ORDER","REGULAR ORDER")</f>
        <v>REGULAR ORDER</v>
      </c>
      <c r="L370" t="str">
        <f>IF(Table1_1[[#This Row],[Customer Rating]]&gt;=4.5,"EXCELLENT",IF(Table1_1[[#This Row],[Customer Rating]]&lt;=4,"GOOD","AVERAGE"))</f>
        <v>GOOD</v>
      </c>
    </row>
    <row r="371" spans="1:12" x14ac:dyDescent="0.3">
      <c r="A371" t="s">
        <v>871</v>
      </c>
      <c r="B371" t="s">
        <v>1064</v>
      </c>
      <c r="C371" t="s">
        <v>1053</v>
      </c>
      <c r="D371">
        <v>43606.83</v>
      </c>
      <c r="E371">
        <v>4</v>
      </c>
      <c r="F371">
        <f>SUM(Table1_1[[#This Row],[Price (INR)]]*Table1_1[[#This Row],[Quantity Sold]])</f>
        <v>174427.32</v>
      </c>
      <c r="G371">
        <v>174427.32</v>
      </c>
      <c r="H371" s="1">
        <v>45393</v>
      </c>
      <c r="I371" t="s">
        <v>1049</v>
      </c>
      <c r="J371">
        <v>3.6</v>
      </c>
      <c r="K371" t="str">
        <f>IF(Table1_1[[#This Row],[Quantity Sold]]&gt;=3,"BULK ORDER","REGULAR ORDER")</f>
        <v>BULK ORDER</v>
      </c>
      <c r="L371" t="str">
        <f>IF(Table1_1[[#This Row],[Customer Rating]]&gt;=4.5,"EXCELLENT",IF(Table1_1[[#This Row],[Customer Rating]]&lt;=4,"GOOD","AVERAGE"))</f>
        <v>GOOD</v>
      </c>
    </row>
    <row r="372" spans="1:12" x14ac:dyDescent="0.3">
      <c r="A372" t="s">
        <v>891</v>
      </c>
      <c r="B372" t="s">
        <v>1061</v>
      </c>
      <c r="C372" t="s">
        <v>1057</v>
      </c>
      <c r="D372">
        <v>13559.39</v>
      </c>
      <c r="E372">
        <v>3</v>
      </c>
      <c r="F372">
        <f>SUM(Table1_1[[#This Row],[Price (INR)]]*Table1_1[[#This Row],[Quantity Sold]])</f>
        <v>40678.17</v>
      </c>
      <c r="G372">
        <v>40678.17</v>
      </c>
      <c r="H372" s="1">
        <v>45550</v>
      </c>
      <c r="I372" t="s">
        <v>1071</v>
      </c>
      <c r="J372">
        <v>3.6</v>
      </c>
      <c r="K372" t="str">
        <f>IF(Table1_1[[#This Row],[Quantity Sold]]&gt;=3,"BULK ORDER","REGULAR ORDER")</f>
        <v>BULK ORDER</v>
      </c>
      <c r="L372" t="str">
        <f>IF(Table1_1[[#This Row],[Customer Rating]]&gt;=4.5,"EXCELLENT",IF(Table1_1[[#This Row],[Customer Rating]]&lt;=4,"GOOD","AVERAGE"))</f>
        <v>GOOD</v>
      </c>
    </row>
    <row r="373" spans="1:12" x14ac:dyDescent="0.3">
      <c r="A373" t="s">
        <v>948</v>
      </c>
      <c r="B373" t="s">
        <v>1061</v>
      </c>
      <c r="C373" t="s">
        <v>1057</v>
      </c>
      <c r="D373">
        <v>11540.73</v>
      </c>
      <c r="E373">
        <v>1</v>
      </c>
      <c r="F373">
        <f>SUM(Table1_1[[#This Row],[Price (INR)]]*Table1_1[[#This Row],[Quantity Sold]])</f>
        <v>11540.73</v>
      </c>
      <c r="G373">
        <v>11540.73</v>
      </c>
      <c r="H373" s="1">
        <v>45512</v>
      </c>
      <c r="I373" t="s">
        <v>1059</v>
      </c>
      <c r="J373">
        <v>3.6</v>
      </c>
      <c r="K373" t="str">
        <f>IF(Table1_1[[#This Row],[Quantity Sold]]&gt;=3,"BULK ORDER","REGULAR ORDER")</f>
        <v>REGULAR ORDER</v>
      </c>
      <c r="L373" t="str">
        <f>IF(Table1_1[[#This Row],[Customer Rating]]&gt;=4.5,"EXCELLENT",IF(Table1_1[[#This Row],[Customer Rating]]&lt;=4,"GOOD","AVERAGE"))</f>
        <v>GOOD</v>
      </c>
    </row>
    <row r="374" spans="1:12" x14ac:dyDescent="0.3">
      <c r="A374" t="s">
        <v>963</v>
      </c>
      <c r="B374" t="s">
        <v>1056</v>
      </c>
      <c r="C374" t="s">
        <v>1057</v>
      </c>
      <c r="D374">
        <v>5535.76</v>
      </c>
      <c r="E374">
        <v>2</v>
      </c>
      <c r="F374">
        <f>SUM(Table1_1[[#This Row],[Price (INR)]]*Table1_1[[#This Row],[Quantity Sold]])</f>
        <v>11071.52</v>
      </c>
      <c r="G374">
        <v>11071.52</v>
      </c>
      <c r="H374" s="1">
        <v>45692</v>
      </c>
      <c r="I374" t="s">
        <v>16</v>
      </c>
      <c r="J374">
        <v>3.6</v>
      </c>
      <c r="K374" t="str">
        <f>IF(Table1_1[[#This Row],[Quantity Sold]]&gt;=3,"BULK ORDER","REGULAR ORDER")</f>
        <v>REGULAR ORDER</v>
      </c>
      <c r="L374" t="str">
        <f>IF(Table1_1[[#This Row],[Customer Rating]]&gt;=4.5,"EXCELLENT",IF(Table1_1[[#This Row],[Customer Rating]]&lt;=4,"GOOD","AVERAGE"))</f>
        <v>GOOD</v>
      </c>
    </row>
    <row r="375" spans="1:12" x14ac:dyDescent="0.3">
      <c r="A375" t="s">
        <v>980</v>
      </c>
      <c r="B375" t="s">
        <v>1077</v>
      </c>
      <c r="C375" t="s">
        <v>1048</v>
      </c>
      <c r="D375">
        <v>15240.16</v>
      </c>
      <c r="E375">
        <v>5</v>
      </c>
      <c r="F375">
        <f>SUM(Table1_1[[#This Row],[Price (INR)]]*Table1_1[[#This Row],[Quantity Sold]])</f>
        <v>76200.800000000003</v>
      </c>
      <c r="G375">
        <v>76200.800000000003</v>
      </c>
      <c r="H375" s="1">
        <v>45457</v>
      </c>
      <c r="I375" t="s">
        <v>1071</v>
      </c>
      <c r="J375">
        <v>3.6</v>
      </c>
      <c r="K375" t="str">
        <f>IF(Table1_1[[#This Row],[Quantity Sold]]&gt;=3,"BULK ORDER","REGULAR ORDER")</f>
        <v>BULK ORDER</v>
      </c>
      <c r="L375" t="str">
        <f>IF(Table1_1[[#This Row],[Customer Rating]]&gt;=4.5,"EXCELLENT",IF(Table1_1[[#This Row],[Customer Rating]]&lt;=4,"GOOD","AVERAGE"))</f>
        <v>GOOD</v>
      </c>
    </row>
    <row r="376" spans="1:12" x14ac:dyDescent="0.3">
      <c r="A376" t="s">
        <v>999</v>
      </c>
      <c r="B376" t="s">
        <v>1066</v>
      </c>
      <c r="C376" t="s">
        <v>1055</v>
      </c>
      <c r="D376">
        <v>29781.11</v>
      </c>
      <c r="E376">
        <v>2</v>
      </c>
      <c r="F376">
        <f>SUM(Table1_1[[#This Row],[Price (INR)]]*Table1_1[[#This Row],[Quantity Sold]])</f>
        <v>59562.22</v>
      </c>
      <c r="G376">
        <v>59562.22</v>
      </c>
      <c r="H376" s="1">
        <v>45359</v>
      </c>
      <c r="I376" t="s">
        <v>1049</v>
      </c>
      <c r="J376">
        <v>3.6</v>
      </c>
      <c r="K376" t="str">
        <f>IF(Table1_1[[#This Row],[Quantity Sold]]&gt;=3,"BULK ORDER","REGULAR ORDER")</f>
        <v>REGULAR ORDER</v>
      </c>
      <c r="L376" t="str">
        <f>IF(Table1_1[[#This Row],[Customer Rating]]&gt;=4.5,"EXCELLENT",IF(Table1_1[[#This Row],[Customer Rating]]&lt;=4,"GOOD","AVERAGE"))</f>
        <v>GOOD</v>
      </c>
    </row>
    <row r="377" spans="1:12" x14ac:dyDescent="0.3">
      <c r="A377" t="s">
        <v>1017</v>
      </c>
      <c r="B377" t="s">
        <v>1047</v>
      </c>
      <c r="C377" t="s">
        <v>1048</v>
      </c>
      <c r="D377">
        <v>5712.21</v>
      </c>
      <c r="E377">
        <v>3</v>
      </c>
      <c r="F377">
        <f>SUM(Table1_1[[#This Row],[Price (INR)]]*Table1_1[[#This Row],[Quantity Sold]])</f>
        <v>17136.63</v>
      </c>
      <c r="G377">
        <v>17136.63</v>
      </c>
      <c r="H377" s="1">
        <v>45546</v>
      </c>
      <c r="I377" t="s">
        <v>16</v>
      </c>
      <c r="J377">
        <v>3.6</v>
      </c>
      <c r="K377" t="str">
        <f>IF(Table1_1[[#This Row],[Quantity Sold]]&gt;=3,"BULK ORDER","REGULAR ORDER")</f>
        <v>BULK ORDER</v>
      </c>
      <c r="L377" t="str">
        <f>IF(Table1_1[[#This Row],[Customer Rating]]&gt;=4.5,"EXCELLENT",IF(Table1_1[[#This Row],[Customer Rating]]&lt;=4,"GOOD","AVERAGE"))</f>
        <v>GOOD</v>
      </c>
    </row>
    <row r="378" spans="1:12" x14ac:dyDescent="0.3">
      <c r="A378" t="s">
        <v>9</v>
      </c>
      <c r="B378" t="s">
        <v>1047</v>
      </c>
      <c r="C378" t="s">
        <v>1048</v>
      </c>
      <c r="D378">
        <v>49069.56</v>
      </c>
      <c r="E378">
        <v>2</v>
      </c>
      <c r="F378">
        <f>SUM(Table1_1[[#This Row],[Price (INR)]]*Table1_1[[#This Row],[Quantity Sold]])</f>
        <v>98139.12</v>
      </c>
      <c r="G378">
        <v>98139.12</v>
      </c>
      <c r="H378" s="1">
        <v>45547</v>
      </c>
      <c r="I378" t="s">
        <v>1049</v>
      </c>
      <c r="J378">
        <v>3.5</v>
      </c>
      <c r="K378" t="str">
        <f>IF(Table1_1[[#This Row],[Quantity Sold]]&gt;=3,"BULK ORDER","REGULAR ORDER")</f>
        <v>REGULAR ORDER</v>
      </c>
      <c r="L378" t="str">
        <f>IF(Table1_1[[#This Row],[Customer Rating]]&gt;=4.5,"EXCELLENT",IF(Table1_1[[#This Row],[Customer Rating]]&lt;=4,"GOOD","AVERAGE"))</f>
        <v>GOOD</v>
      </c>
    </row>
    <row r="379" spans="1:12" x14ac:dyDescent="0.3">
      <c r="A379" t="s">
        <v>73</v>
      </c>
      <c r="B379" t="s">
        <v>1074</v>
      </c>
      <c r="C379" t="s">
        <v>1055</v>
      </c>
      <c r="D379">
        <v>49355.45</v>
      </c>
      <c r="E379">
        <v>2</v>
      </c>
      <c r="F379">
        <f>SUM(Table1_1[[#This Row],[Price (INR)]]*Table1_1[[#This Row],[Quantity Sold]])</f>
        <v>98710.9</v>
      </c>
      <c r="G379">
        <v>98710.9</v>
      </c>
      <c r="H379" s="1">
        <v>45413</v>
      </c>
      <c r="I379" t="s">
        <v>42</v>
      </c>
      <c r="J379">
        <v>3.5</v>
      </c>
      <c r="K379" t="str">
        <f>IF(Table1_1[[#This Row],[Quantity Sold]]&gt;=3,"BULK ORDER","REGULAR ORDER")</f>
        <v>REGULAR ORDER</v>
      </c>
      <c r="L379" t="str">
        <f>IF(Table1_1[[#This Row],[Customer Rating]]&gt;=4.5,"EXCELLENT",IF(Table1_1[[#This Row],[Customer Rating]]&lt;=4,"GOOD","AVERAGE"))</f>
        <v>GOOD</v>
      </c>
    </row>
    <row r="380" spans="1:12" x14ac:dyDescent="0.3">
      <c r="A380" t="s">
        <v>81</v>
      </c>
      <c r="B380" t="s">
        <v>1076</v>
      </c>
      <c r="C380" t="s">
        <v>1055</v>
      </c>
      <c r="D380">
        <v>965.51</v>
      </c>
      <c r="E380">
        <v>4</v>
      </c>
      <c r="F380">
        <f>SUM(Table1_1[[#This Row],[Price (INR)]]*Table1_1[[#This Row],[Quantity Sold]])</f>
        <v>3862.04</v>
      </c>
      <c r="G380">
        <v>3862.04</v>
      </c>
      <c r="H380" s="1">
        <v>45449</v>
      </c>
      <c r="I380" t="s">
        <v>42</v>
      </c>
      <c r="J380">
        <v>3.5</v>
      </c>
      <c r="K380" t="str">
        <f>IF(Table1_1[[#This Row],[Quantity Sold]]&gt;=3,"BULK ORDER","REGULAR ORDER")</f>
        <v>BULK ORDER</v>
      </c>
      <c r="L380" t="str">
        <f>IF(Table1_1[[#This Row],[Customer Rating]]&gt;=4.5,"EXCELLENT",IF(Table1_1[[#This Row],[Customer Rating]]&lt;=4,"GOOD","AVERAGE"))</f>
        <v>GOOD</v>
      </c>
    </row>
    <row r="381" spans="1:12" x14ac:dyDescent="0.3">
      <c r="A381" t="s">
        <v>150</v>
      </c>
      <c r="B381" t="s">
        <v>1080</v>
      </c>
      <c r="C381" t="s">
        <v>1051</v>
      </c>
      <c r="D381">
        <v>33613.18</v>
      </c>
      <c r="E381">
        <v>1</v>
      </c>
      <c r="F381">
        <f>SUM(Table1_1[[#This Row],[Price (INR)]]*Table1_1[[#This Row],[Quantity Sold]])</f>
        <v>33613.18</v>
      </c>
      <c r="G381">
        <v>33613.18</v>
      </c>
      <c r="H381" s="1">
        <v>45528</v>
      </c>
      <c r="I381" t="s">
        <v>1059</v>
      </c>
      <c r="J381">
        <v>3.5</v>
      </c>
      <c r="K381" t="str">
        <f>IF(Table1_1[[#This Row],[Quantity Sold]]&gt;=3,"BULK ORDER","REGULAR ORDER")</f>
        <v>REGULAR ORDER</v>
      </c>
      <c r="L381" t="str">
        <f>IF(Table1_1[[#This Row],[Customer Rating]]&gt;=4.5,"EXCELLENT",IF(Table1_1[[#This Row],[Customer Rating]]&lt;=4,"GOOD","AVERAGE"))</f>
        <v>GOOD</v>
      </c>
    </row>
    <row r="382" spans="1:12" x14ac:dyDescent="0.3">
      <c r="A382" t="s">
        <v>232</v>
      </c>
      <c r="B382" t="s">
        <v>1074</v>
      </c>
      <c r="C382" t="s">
        <v>1055</v>
      </c>
      <c r="D382">
        <v>21741.53</v>
      </c>
      <c r="E382">
        <v>3</v>
      </c>
      <c r="F382">
        <f>SUM(Table1_1[[#This Row],[Price (INR)]]*Table1_1[[#This Row],[Quantity Sold]])</f>
        <v>65224.59</v>
      </c>
      <c r="G382">
        <v>65224.59</v>
      </c>
      <c r="H382" s="1">
        <v>45628</v>
      </c>
      <c r="I382" t="s">
        <v>42</v>
      </c>
      <c r="J382">
        <v>3.5</v>
      </c>
      <c r="K382" t="str">
        <f>IF(Table1_1[[#This Row],[Quantity Sold]]&gt;=3,"BULK ORDER","REGULAR ORDER")</f>
        <v>BULK ORDER</v>
      </c>
      <c r="L382" t="str">
        <f>IF(Table1_1[[#This Row],[Customer Rating]]&gt;=4.5,"EXCELLENT",IF(Table1_1[[#This Row],[Customer Rating]]&lt;=4,"GOOD","AVERAGE"))</f>
        <v>GOOD</v>
      </c>
    </row>
    <row r="383" spans="1:12" x14ac:dyDescent="0.3">
      <c r="A383" t="s">
        <v>263</v>
      </c>
      <c r="B383" t="s">
        <v>1076</v>
      </c>
      <c r="C383" t="s">
        <v>1055</v>
      </c>
      <c r="D383">
        <v>39749.19</v>
      </c>
      <c r="E383">
        <v>1</v>
      </c>
      <c r="F383">
        <f>SUM(Table1_1[[#This Row],[Price (INR)]]*Table1_1[[#This Row],[Quantity Sold]])</f>
        <v>39749.19</v>
      </c>
      <c r="G383">
        <v>39749.19</v>
      </c>
      <c r="H383" s="1">
        <v>45492</v>
      </c>
      <c r="I383" t="s">
        <v>42</v>
      </c>
      <c r="J383">
        <v>3.5</v>
      </c>
      <c r="K383" t="str">
        <f>IF(Table1_1[[#This Row],[Quantity Sold]]&gt;=3,"BULK ORDER","REGULAR ORDER")</f>
        <v>REGULAR ORDER</v>
      </c>
      <c r="L383" t="str">
        <f>IF(Table1_1[[#This Row],[Customer Rating]]&gt;=4.5,"EXCELLENT",IF(Table1_1[[#This Row],[Customer Rating]]&lt;=4,"GOOD","AVERAGE"))</f>
        <v>GOOD</v>
      </c>
    </row>
    <row r="384" spans="1:12" x14ac:dyDescent="0.3">
      <c r="A384" t="s">
        <v>265</v>
      </c>
      <c r="B384" t="s">
        <v>1066</v>
      </c>
      <c r="C384" t="s">
        <v>1055</v>
      </c>
      <c r="D384">
        <v>37203.65</v>
      </c>
      <c r="E384">
        <v>4</v>
      </c>
      <c r="F384">
        <f>SUM(Table1_1[[#This Row],[Price (INR)]]*Table1_1[[#This Row],[Quantity Sold]])</f>
        <v>148814.6</v>
      </c>
      <c r="G384">
        <v>148814.6</v>
      </c>
      <c r="H384" s="1">
        <v>45426</v>
      </c>
      <c r="I384" t="s">
        <v>1059</v>
      </c>
      <c r="J384">
        <v>3.5</v>
      </c>
      <c r="K384" t="str">
        <f>IF(Table1_1[[#This Row],[Quantity Sold]]&gt;=3,"BULK ORDER","REGULAR ORDER")</f>
        <v>BULK ORDER</v>
      </c>
      <c r="L384" t="str">
        <f>IF(Table1_1[[#This Row],[Customer Rating]]&gt;=4.5,"EXCELLENT",IF(Table1_1[[#This Row],[Customer Rating]]&lt;=4,"GOOD","AVERAGE"))</f>
        <v>GOOD</v>
      </c>
    </row>
    <row r="385" spans="1:12" x14ac:dyDescent="0.3">
      <c r="A385" t="s">
        <v>275</v>
      </c>
      <c r="B385" t="s">
        <v>1072</v>
      </c>
      <c r="C385" t="s">
        <v>1057</v>
      </c>
      <c r="D385">
        <v>46858.63</v>
      </c>
      <c r="E385">
        <v>1</v>
      </c>
      <c r="F385">
        <f>SUM(Table1_1[[#This Row],[Price (INR)]]*Table1_1[[#This Row],[Quantity Sold]])</f>
        <v>46858.63</v>
      </c>
      <c r="G385">
        <v>46858.63</v>
      </c>
      <c r="H385" s="1">
        <v>45598</v>
      </c>
      <c r="I385" t="s">
        <v>1049</v>
      </c>
      <c r="J385">
        <v>3.5</v>
      </c>
      <c r="K385" t="str">
        <f>IF(Table1_1[[#This Row],[Quantity Sold]]&gt;=3,"BULK ORDER","REGULAR ORDER")</f>
        <v>REGULAR ORDER</v>
      </c>
      <c r="L385" t="str">
        <f>IF(Table1_1[[#This Row],[Customer Rating]]&gt;=4.5,"EXCELLENT",IF(Table1_1[[#This Row],[Customer Rating]]&lt;=4,"GOOD","AVERAGE"))</f>
        <v>GOOD</v>
      </c>
    </row>
    <row r="386" spans="1:12" x14ac:dyDescent="0.3">
      <c r="A386" t="s">
        <v>281</v>
      </c>
      <c r="B386" t="s">
        <v>1064</v>
      </c>
      <c r="C386" t="s">
        <v>1053</v>
      </c>
      <c r="D386">
        <v>22475.94</v>
      </c>
      <c r="E386">
        <v>4</v>
      </c>
      <c r="F386">
        <f>SUM(Table1_1[[#This Row],[Price (INR)]]*Table1_1[[#This Row],[Quantity Sold]])</f>
        <v>89903.76</v>
      </c>
      <c r="G386">
        <v>89903.76</v>
      </c>
      <c r="H386" s="1">
        <v>45335</v>
      </c>
      <c r="I386" t="s">
        <v>1049</v>
      </c>
      <c r="J386">
        <v>3.5</v>
      </c>
      <c r="K386" t="str">
        <f>IF(Table1_1[[#This Row],[Quantity Sold]]&gt;=3,"BULK ORDER","REGULAR ORDER")</f>
        <v>BULK ORDER</v>
      </c>
      <c r="L386" t="str">
        <f>IF(Table1_1[[#This Row],[Customer Rating]]&gt;=4.5,"EXCELLENT",IF(Table1_1[[#This Row],[Customer Rating]]&lt;=4,"GOOD","AVERAGE"))</f>
        <v>GOOD</v>
      </c>
    </row>
    <row r="387" spans="1:12" x14ac:dyDescent="0.3">
      <c r="A387" t="s">
        <v>287</v>
      </c>
      <c r="B387" t="s">
        <v>1066</v>
      </c>
      <c r="C387" t="s">
        <v>1055</v>
      </c>
      <c r="D387">
        <v>25614.35</v>
      </c>
      <c r="E387">
        <v>2</v>
      </c>
      <c r="F387">
        <f>SUM(Table1_1[[#This Row],[Price (INR)]]*Table1_1[[#This Row],[Quantity Sold]])</f>
        <v>51228.7</v>
      </c>
      <c r="G387">
        <v>51228.7</v>
      </c>
      <c r="H387" s="1">
        <v>45516</v>
      </c>
      <c r="I387" t="s">
        <v>1059</v>
      </c>
      <c r="J387">
        <v>3.5</v>
      </c>
      <c r="K387" t="str">
        <f>IF(Table1_1[[#This Row],[Quantity Sold]]&gt;=3,"BULK ORDER","REGULAR ORDER")</f>
        <v>REGULAR ORDER</v>
      </c>
      <c r="L387" t="str">
        <f>IF(Table1_1[[#This Row],[Customer Rating]]&gt;=4.5,"EXCELLENT",IF(Table1_1[[#This Row],[Customer Rating]]&lt;=4,"GOOD","AVERAGE"))</f>
        <v>GOOD</v>
      </c>
    </row>
    <row r="388" spans="1:12" x14ac:dyDescent="0.3">
      <c r="A388" t="s">
        <v>290</v>
      </c>
      <c r="B388" t="s">
        <v>1047</v>
      </c>
      <c r="C388" t="s">
        <v>1048</v>
      </c>
      <c r="D388">
        <v>14506.11</v>
      </c>
      <c r="E388">
        <v>5</v>
      </c>
      <c r="F388">
        <f>SUM(Table1_1[[#This Row],[Price (INR)]]*Table1_1[[#This Row],[Quantity Sold]])</f>
        <v>72530.55</v>
      </c>
      <c r="G388">
        <v>72530.55</v>
      </c>
      <c r="H388" s="1">
        <v>45459</v>
      </c>
      <c r="I388" t="s">
        <v>1049</v>
      </c>
      <c r="J388">
        <v>3.5</v>
      </c>
      <c r="K388" t="str">
        <f>IF(Table1_1[[#This Row],[Quantity Sold]]&gt;=3,"BULK ORDER","REGULAR ORDER")</f>
        <v>BULK ORDER</v>
      </c>
      <c r="L388" t="str">
        <f>IF(Table1_1[[#This Row],[Customer Rating]]&gt;=4.5,"EXCELLENT",IF(Table1_1[[#This Row],[Customer Rating]]&lt;=4,"GOOD","AVERAGE"))</f>
        <v>GOOD</v>
      </c>
    </row>
    <row r="389" spans="1:12" x14ac:dyDescent="0.3">
      <c r="A389" t="s">
        <v>337</v>
      </c>
      <c r="B389" t="s">
        <v>1062</v>
      </c>
      <c r="C389" t="s">
        <v>1051</v>
      </c>
      <c r="D389">
        <v>44770.65</v>
      </c>
      <c r="E389">
        <v>3</v>
      </c>
      <c r="F389">
        <f>SUM(Table1_1[[#This Row],[Price (INR)]]*Table1_1[[#This Row],[Quantity Sold]])</f>
        <v>134311.95000000001</v>
      </c>
      <c r="G389">
        <v>134311.95000000001</v>
      </c>
      <c r="H389" s="1">
        <v>45638</v>
      </c>
      <c r="I389" t="s">
        <v>1059</v>
      </c>
      <c r="J389">
        <v>3.5</v>
      </c>
      <c r="K389" t="str">
        <f>IF(Table1_1[[#This Row],[Quantity Sold]]&gt;=3,"BULK ORDER","REGULAR ORDER")</f>
        <v>BULK ORDER</v>
      </c>
      <c r="L389" t="str">
        <f>IF(Table1_1[[#This Row],[Customer Rating]]&gt;=4.5,"EXCELLENT",IF(Table1_1[[#This Row],[Customer Rating]]&lt;=4,"GOOD","AVERAGE"))</f>
        <v>GOOD</v>
      </c>
    </row>
    <row r="390" spans="1:12" x14ac:dyDescent="0.3">
      <c r="A390" t="s">
        <v>352</v>
      </c>
      <c r="B390" t="s">
        <v>1080</v>
      </c>
      <c r="C390" t="s">
        <v>1051</v>
      </c>
      <c r="D390">
        <v>25379.68</v>
      </c>
      <c r="E390">
        <v>4</v>
      </c>
      <c r="F390">
        <f>SUM(Table1_1[[#This Row],[Price (INR)]]*Table1_1[[#This Row],[Quantity Sold]])</f>
        <v>101518.72</v>
      </c>
      <c r="G390">
        <v>101518.72</v>
      </c>
      <c r="H390" s="1">
        <v>45571</v>
      </c>
      <c r="I390" t="s">
        <v>1059</v>
      </c>
      <c r="J390">
        <v>3.5</v>
      </c>
      <c r="K390" t="str">
        <f>IF(Table1_1[[#This Row],[Quantity Sold]]&gt;=3,"BULK ORDER","REGULAR ORDER")</f>
        <v>BULK ORDER</v>
      </c>
      <c r="L390" t="str">
        <f>IF(Table1_1[[#This Row],[Customer Rating]]&gt;=4.5,"EXCELLENT",IF(Table1_1[[#This Row],[Customer Rating]]&lt;=4,"GOOD","AVERAGE"))</f>
        <v>GOOD</v>
      </c>
    </row>
    <row r="391" spans="1:12" x14ac:dyDescent="0.3">
      <c r="A391" t="s">
        <v>373</v>
      </c>
      <c r="B391" t="s">
        <v>1073</v>
      </c>
      <c r="C391" t="s">
        <v>1053</v>
      </c>
      <c r="D391">
        <v>49561.57</v>
      </c>
      <c r="E391">
        <v>3</v>
      </c>
      <c r="F391">
        <f>SUM(Table1_1[[#This Row],[Price (INR)]]*Table1_1[[#This Row],[Quantity Sold]])</f>
        <v>148684.71</v>
      </c>
      <c r="G391">
        <v>148684.71</v>
      </c>
      <c r="H391" s="1">
        <v>45385</v>
      </c>
      <c r="I391" t="s">
        <v>1071</v>
      </c>
      <c r="J391">
        <v>3.5</v>
      </c>
      <c r="K391" t="str">
        <f>IF(Table1_1[[#This Row],[Quantity Sold]]&gt;=3,"BULK ORDER","REGULAR ORDER")</f>
        <v>BULK ORDER</v>
      </c>
      <c r="L391" t="str">
        <f>IF(Table1_1[[#This Row],[Customer Rating]]&gt;=4.5,"EXCELLENT",IF(Table1_1[[#This Row],[Customer Rating]]&lt;=4,"GOOD","AVERAGE"))</f>
        <v>GOOD</v>
      </c>
    </row>
    <row r="392" spans="1:12" x14ac:dyDescent="0.3">
      <c r="A392" t="s">
        <v>378</v>
      </c>
      <c r="B392" t="s">
        <v>1062</v>
      </c>
      <c r="C392" t="s">
        <v>1051</v>
      </c>
      <c r="D392">
        <v>26096.959999999999</v>
      </c>
      <c r="E392">
        <v>4</v>
      </c>
      <c r="F392">
        <f>SUM(Table1_1[[#This Row],[Price (INR)]]*Table1_1[[#This Row],[Quantity Sold]])</f>
        <v>104387.84</v>
      </c>
      <c r="G392">
        <v>104387.84</v>
      </c>
      <c r="H392" s="1">
        <v>45379</v>
      </c>
      <c r="I392" t="s">
        <v>1049</v>
      </c>
      <c r="J392">
        <v>3.5</v>
      </c>
      <c r="K392" t="str">
        <f>IF(Table1_1[[#This Row],[Quantity Sold]]&gt;=3,"BULK ORDER","REGULAR ORDER")</f>
        <v>BULK ORDER</v>
      </c>
      <c r="L392" t="str">
        <f>IF(Table1_1[[#This Row],[Customer Rating]]&gt;=4.5,"EXCELLENT",IF(Table1_1[[#This Row],[Customer Rating]]&lt;=4,"GOOD","AVERAGE"))</f>
        <v>GOOD</v>
      </c>
    </row>
    <row r="393" spans="1:12" x14ac:dyDescent="0.3">
      <c r="A393" t="s">
        <v>445</v>
      </c>
      <c r="B393" t="s">
        <v>1075</v>
      </c>
      <c r="C393" t="s">
        <v>1053</v>
      </c>
      <c r="D393">
        <v>47564.29</v>
      </c>
      <c r="E393">
        <v>3</v>
      </c>
      <c r="F393">
        <f>SUM(Table1_1[[#This Row],[Price (INR)]]*Table1_1[[#This Row],[Quantity Sold]])</f>
        <v>142692.87</v>
      </c>
      <c r="G393">
        <v>142692.87</v>
      </c>
      <c r="H393" s="1">
        <v>45435</v>
      </c>
      <c r="I393" t="s">
        <v>1071</v>
      </c>
      <c r="J393">
        <v>3.5</v>
      </c>
      <c r="K393" t="str">
        <f>IF(Table1_1[[#This Row],[Quantity Sold]]&gt;=3,"BULK ORDER","REGULAR ORDER")</f>
        <v>BULK ORDER</v>
      </c>
      <c r="L393" t="str">
        <f>IF(Table1_1[[#This Row],[Customer Rating]]&gt;=4.5,"EXCELLENT",IF(Table1_1[[#This Row],[Customer Rating]]&lt;=4,"GOOD","AVERAGE"))</f>
        <v>GOOD</v>
      </c>
    </row>
    <row r="394" spans="1:12" x14ac:dyDescent="0.3">
      <c r="A394" t="s">
        <v>447</v>
      </c>
      <c r="B394" t="s">
        <v>1067</v>
      </c>
      <c r="C394" t="s">
        <v>1048</v>
      </c>
      <c r="D394">
        <v>904.29</v>
      </c>
      <c r="E394">
        <v>2</v>
      </c>
      <c r="F394">
        <f>SUM(Table1_1[[#This Row],[Price (INR)]]*Table1_1[[#This Row],[Quantity Sold]])</f>
        <v>1808.58</v>
      </c>
      <c r="G394">
        <v>1808.58</v>
      </c>
      <c r="H394" s="1">
        <v>45413</v>
      </c>
      <c r="I394" t="s">
        <v>1049</v>
      </c>
      <c r="J394">
        <v>3.5</v>
      </c>
      <c r="K394" t="str">
        <f>IF(Table1_1[[#This Row],[Quantity Sold]]&gt;=3,"BULK ORDER","REGULAR ORDER")</f>
        <v>REGULAR ORDER</v>
      </c>
      <c r="L394" t="str">
        <f>IF(Table1_1[[#This Row],[Customer Rating]]&gt;=4.5,"EXCELLENT",IF(Table1_1[[#This Row],[Customer Rating]]&lt;=4,"GOOD","AVERAGE"))</f>
        <v>GOOD</v>
      </c>
    </row>
    <row r="395" spans="1:12" x14ac:dyDescent="0.3">
      <c r="A395" t="s">
        <v>486</v>
      </c>
      <c r="B395" t="s">
        <v>1066</v>
      </c>
      <c r="C395" t="s">
        <v>1055</v>
      </c>
      <c r="D395">
        <v>30310.92</v>
      </c>
      <c r="E395">
        <v>3</v>
      </c>
      <c r="F395">
        <f>SUM(Table1_1[[#This Row],[Price (INR)]]*Table1_1[[#This Row],[Quantity Sold]])</f>
        <v>90932.76</v>
      </c>
      <c r="G395">
        <v>90932.76</v>
      </c>
      <c r="H395" s="1">
        <v>45402</v>
      </c>
      <c r="I395" t="s">
        <v>16</v>
      </c>
      <c r="J395">
        <v>3.5</v>
      </c>
      <c r="K395" t="str">
        <f>IF(Table1_1[[#This Row],[Quantity Sold]]&gt;=3,"BULK ORDER","REGULAR ORDER")</f>
        <v>BULK ORDER</v>
      </c>
      <c r="L395" t="str">
        <f>IF(Table1_1[[#This Row],[Customer Rating]]&gt;=4.5,"EXCELLENT",IF(Table1_1[[#This Row],[Customer Rating]]&lt;=4,"GOOD","AVERAGE"))</f>
        <v>GOOD</v>
      </c>
    </row>
    <row r="396" spans="1:12" x14ac:dyDescent="0.3">
      <c r="A396" t="s">
        <v>535</v>
      </c>
      <c r="B396" t="s">
        <v>1080</v>
      </c>
      <c r="C396" t="s">
        <v>1051</v>
      </c>
      <c r="D396">
        <v>33071.089999999997</v>
      </c>
      <c r="E396">
        <v>2</v>
      </c>
      <c r="F396">
        <f>SUM(Table1_1[[#This Row],[Price (INR)]]*Table1_1[[#This Row],[Quantity Sold]])</f>
        <v>66142.179999999993</v>
      </c>
      <c r="G396">
        <v>66142.179999999993</v>
      </c>
      <c r="H396" s="1">
        <v>45570</v>
      </c>
      <c r="I396" t="s">
        <v>42</v>
      </c>
      <c r="J396">
        <v>3.5</v>
      </c>
      <c r="K396" t="str">
        <f>IF(Table1_1[[#This Row],[Quantity Sold]]&gt;=3,"BULK ORDER","REGULAR ORDER")</f>
        <v>REGULAR ORDER</v>
      </c>
      <c r="L396" t="str">
        <f>IF(Table1_1[[#This Row],[Customer Rating]]&gt;=4.5,"EXCELLENT",IF(Table1_1[[#This Row],[Customer Rating]]&lt;=4,"GOOD","AVERAGE"))</f>
        <v>GOOD</v>
      </c>
    </row>
    <row r="397" spans="1:12" x14ac:dyDescent="0.3">
      <c r="A397" t="s">
        <v>544</v>
      </c>
      <c r="B397" t="s">
        <v>1066</v>
      </c>
      <c r="C397" t="s">
        <v>1055</v>
      </c>
      <c r="D397">
        <v>10422.280000000001</v>
      </c>
      <c r="E397">
        <v>5</v>
      </c>
      <c r="F397">
        <f>SUM(Table1_1[[#This Row],[Price (INR)]]*Table1_1[[#This Row],[Quantity Sold]])</f>
        <v>52111.4</v>
      </c>
      <c r="G397">
        <v>52111.4</v>
      </c>
      <c r="H397" s="1">
        <v>45469</v>
      </c>
      <c r="I397" t="s">
        <v>1071</v>
      </c>
      <c r="J397">
        <v>3.5</v>
      </c>
      <c r="K397" t="str">
        <f>IF(Table1_1[[#This Row],[Quantity Sold]]&gt;=3,"BULK ORDER","REGULAR ORDER")</f>
        <v>BULK ORDER</v>
      </c>
      <c r="L397" t="str">
        <f>IF(Table1_1[[#This Row],[Customer Rating]]&gt;=4.5,"EXCELLENT",IF(Table1_1[[#This Row],[Customer Rating]]&lt;=4,"GOOD","AVERAGE"))</f>
        <v>GOOD</v>
      </c>
    </row>
    <row r="398" spans="1:12" x14ac:dyDescent="0.3">
      <c r="A398" t="s">
        <v>613</v>
      </c>
      <c r="B398" t="s">
        <v>1066</v>
      </c>
      <c r="C398" t="s">
        <v>1055</v>
      </c>
      <c r="D398">
        <v>12197.36</v>
      </c>
      <c r="E398">
        <v>5</v>
      </c>
      <c r="F398">
        <f>SUM(Table1_1[[#This Row],[Price (INR)]]*Table1_1[[#This Row],[Quantity Sold]])</f>
        <v>60986.8</v>
      </c>
      <c r="G398">
        <v>60986.8</v>
      </c>
      <c r="H398" s="1">
        <v>45667</v>
      </c>
      <c r="I398" t="s">
        <v>1049</v>
      </c>
      <c r="J398">
        <v>3.5</v>
      </c>
      <c r="K398" t="str">
        <f>IF(Table1_1[[#This Row],[Quantity Sold]]&gt;=3,"BULK ORDER","REGULAR ORDER")</f>
        <v>BULK ORDER</v>
      </c>
      <c r="L398" t="str">
        <f>IF(Table1_1[[#This Row],[Customer Rating]]&gt;=4.5,"EXCELLENT",IF(Table1_1[[#This Row],[Customer Rating]]&lt;=4,"GOOD","AVERAGE"))</f>
        <v>GOOD</v>
      </c>
    </row>
    <row r="399" spans="1:12" x14ac:dyDescent="0.3">
      <c r="A399" t="s">
        <v>640</v>
      </c>
      <c r="B399" t="s">
        <v>1073</v>
      </c>
      <c r="C399" t="s">
        <v>1053</v>
      </c>
      <c r="D399">
        <v>16017.54</v>
      </c>
      <c r="E399">
        <v>1</v>
      </c>
      <c r="F399">
        <f>SUM(Table1_1[[#This Row],[Price (INR)]]*Table1_1[[#This Row],[Quantity Sold]])</f>
        <v>16017.54</v>
      </c>
      <c r="G399">
        <v>16017.54</v>
      </c>
      <c r="H399" s="1">
        <v>45458</v>
      </c>
      <c r="I399" t="s">
        <v>16</v>
      </c>
      <c r="J399">
        <v>3.5</v>
      </c>
      <c r="K399" t="str">
        <f>IF(Table1_1[[#This Row],[Quantity Sold]]&gt;=3,"BULK ORDER","REGULAR ORDER")</f>
        <v>REGULAR ORDER</v>
      </c>
      <c r="L399" t="str">
        <f>IF(Table1_1[[#This Row],[Customer Rating]]&gt;=4.5,"EXCELLENT",IF(Table1_1[[#This Row],[Customer Rating]]&lt;=4,"GOOD","AVERAGE"))</f>
        <v>GOOD</v>
      </c>
    </row>
    <row r="400" spans="1:12" x14ac:dyDescent="0.3">
      <c r="A400" t="s">
        <v>693</v>
      </c>
      <c r="B400" t="s">
        <v>1063</v>
      </c>
      <c r="C400" t="s">
        <v>1055</v>
      </c>
      <c r="D400">
        <v>21881.01</v>
      </c>
      <c r="E400">
        <v>1</v>
      </c>
      <c r="F400">
        <f>SUM(Table1_1[[#This Row],[Price (INR)]]*Table1_1[[#This Row],[Quantity Sold]])</f>
        <v>21881.01</v>
      </c>
      <c r="G400">
        <v>21881.01</v>
      </c>
      <c r="H400" s="1">
        <v>45423</v>
      </c>
      <c r="I400" t="s">
        <v>1059</v>
      </c>
      <c r="J400">
        <v>3.5</v>
      </c>
      <c r="K400" t="str">
        <f>IF(Table1_1[[#This Row],[Quantity Sold]]&gt;=3,"BULK ORDER","REGULAR ORDER")</f>
        <v>REGULAR ORDER</v>
      </c>
      <c r="L400" t="str">
        <f>IF(Table1_1[[#This Row],[Customer Rating]]&gt;=4.5,"EXCELLENT",IF(Table1_1[[#This Row],[Customer Rating]]&lt;=4,"GOOD","AVERAGE"))</f>
        <v>GOOD</v>
      </c>
    </row>
    <row r="401" spans="1:12" x14ac:dyDescent="0.3">
      <c r="A401" t="s">
        <v>724</v>
      </c>
      <c r="B401" t="s">
        <v>1072</v>
      </c>
      <c r="C401" t="s">
        <v>1057</v>
      </c>
      <c r="D401">
        <v>6002.25</v>
      </c>
      <c r="E401">
        <v>3</v>
      </c>
      <c r="F401">
        <f>SUM(Table1_1[[#This Row],[Price (INR)]]*Table1_1[[#This Row],[Quantity Sold]])</f>
        <v>18006.75</v>
      </c>
      <c r="G401">
        <v>18006.75</v>
      </c>
      <c r="H401" s="1">
        <v>45569</v>
      </c>
      <c r="I401" t="s">
        <v>42</v>
      </c>
      <c r="J401">
        <v>3.5</v>
      </c>
      <c r="K401" t="str">
        <f>IF(Table1_1[[#This Row],[Quantity Sold]]&gt;=3,"BULK ORDER","REGULAR ORDER")</f>
        <v>BULK ORDER</v>
      </c>
      <c r="L401" t="str">
        <f>IF(Table1_1[[#This Row],[Customer Rating]]&gt;=4.5,"EXCELLENT",IF(Table1_1[[#This Row],[Customer Rating]]&lt;=4,"GOOD","AVERAGE"))</f>
        <v>GOOD</v>
      </c>
    </row>
    <row r="402" spans="1:12" x14ac:dyDescent="0.3">
      <c r="A402" t="s">
        <v>742</v>
      </c>
      <c r="B402" t="s">
        <v>1070</v>
      </c>
      <c r="C402" t="s">
        <v>1051</v>
      </c>
      <c r="D402">
        <v>6022.31</v>
      </c>
      <c r="E402">
        <v>5</v>
      </c>
      <c r="F402">
        <f>SUM(Table1_1[[#This Row],[Price (INR)]]*Table1_1[[#This Row],[Quantity Sold]])</f>
        <v>30111.550000000003</v>
      </c>
      <c r="G402">
        <v>30111.55</v>
      </c>
      <c r="H402" s="1">
        <v>45513</v>
      </c>
      <c r="I402" t="s">
        <v>1068</v>
      </c>
      <c r="J402">
        <v>3.5</v>
      </c>
      <c r="K402" t="str">
        <f>IF(Table1_1[[#This Row],[Quantity Sold]]&gt;=3,"BULK ORDER","REGULAR ORDER")</f>
        <v>BULK ORDER</v>
      </c>
      <c r="L402" t="str">
        <f>IF(Table1_1[[#This Row],[Customer Rating]]&gt;=4.5,"EXCELLENT",IF(Table1_1[[#This Row],[Customer Rating]]&lt;=4,"GOOD","AVERAGE"))</f>
        <v>GOOD</v>
      </c>
    </row>
    <row r="403" spans="1:12" x14ac:dyDescent="0.3">
      <c r="A403" t="s">
        <v>763</v>
      </c>
      <c r="B403" t="s">
        <v>1080</v>
      </c>
      <c r="C403" t="s">
        <v>1051</v>
      </c>
      <c r="D403">
        <v>13885.05</v>
      </c>
      <c r="E403">
        <v>5</v>
      </c>
      <c r="F403">
        <f>SUM(Table1_1[[#This Row],[Price (INR)]]*Table1_1[[#This Row],[Quantity Sold]])</f>
        <v>69425.25</v>
      </c>
      <c r="G403">
        <v>69425.25</v>
      </c>
      <c r="H403" s="1">
        <v>45577</v>
      </c>
      <c r="I403" t="s">
        <v>1068</v>
      </c>
      <c r="J403">
        <v>3.5</v>
      </c>
      <c r="K403" t="str">
        <f>IF(Table1_1[[#This Row],[Quantity Sold]]&gt;=3,"BULK ORDER","REGULAR ORDER")</f>
        <v>BULK ORDER</v>
      </c>
      <c r="L403" t="str">
        <f>IF(Table1_1[[#This Row],[Customer Rating]]&gt;=4.5,"EXCELLENT",IF(Table1_1[[#This Row],[Customer Rating]]&lt;=4,"GOOD","AVERAGE"))</f>
        <v>GOOD</v>
      </c>
    </row>
    <row r="404" spans="1:12" x14ac:dyDescent="0.3">
      <c r="A404" t="s">
        <v>792</v>
      </c>
      <c r="B404" t="s">
        <v>1065</v>
      </c>
      <c r="C404" t="s">
        <v>1053</v>
      </c>
      <c r="D404">
        <v>3394.38</v>
      </c>
      <c r="E404">
        <v>3</v>
      </c>
      <c r="F404">
        <f>SUM(Table1_1[[#This Row],[Price (INR)]]*Table1_1[[#This Row],[Quantity Sold]])</f>
        <v>10183.14</v>
      </c>
      <c r="G404">
        <v>10183.14</v>
      </c>
      <c r="H404" s="1">
        <v>45469</v>
      </c>
      <c r="I404" t="s">
        <v>16</v>
      </c>
      <c r="J404">
        <v>3.5</v>
      </c>
      <c r="K404" t="str">
        <f>IF(Table1_1[[#This Row],[Quantity Sold]]&gt;=3,"BULK ORDER","REGULAR ORDER")</f>
        <v>BULK ORDER</v>
      </c>
      <c r="L404" t="str">
        <f>IF(Table1_1[[#This Row],[Customer Rating]]&gt;=4.5,"EXCELLENT",IF(Table1_1[[#This Row],[Customer Rating]]&lt;=4,"GOOD","AVERAGE"))</f>
        <v>GOOD</v>
      </c>
    </row>
    <row r="405" spans="1:12" x14ac:dyDescent="0.3">
      <c r="A405" t="s">
        <v>820</v>
      </c>
      <c r="B405" t="s">
        <v>1069</v>
      </c>
      <c r="C405" t="s">
        <v>1048</v>
      </c>
      <c r="D405">
        <v>24680.19</v>
      </c>
      <c r="E405">
        <v>3</v>
      </c>
      <c r="F405">
        <f>SUM(Table1_1[[#This Row],[Price (INR)]]*Table1_1[[#This Row],[Quantity Sold]])</f>
        <v>74040.569999999992</v>
      </c>
      <c r="G405">
        <v>74040.570000000007</v>
      </c>
      <c r="H405" s="1">
        <v>45433</v>
      </c>
      <c r="I405" t="s">
        <v>42</v>
      </c>
      <c r="J405">
        <v>3.5</v>
      </c>
      <c r="K405" t="str">
        <f>IF(Table1_1[[#This Row],[Quantity Sold]]&gt;=3,"BULK ORDER","REGULAR ORDER")</f>
        <v>BULK ORDER</v>
      </c>
      <c r="L405" t="str">
        <f>IF(Table1_1[[#This Row],[Customer Rating]]&gt;=4.5,"EXCELLENT",IF(Table1_1[[#This Row],[Customer Rating]]&lt;=4,"GOOD","AVERAGE"))</f>
        <v>GOOD</v>
      </c>
    </row>
    <row r="406" spans="1:12" x14ac:dyDescent="0.3">
      <c r="A406" t="s">
        <v>834</v>
      </c>
      <c r="B406" t="s">
        <v>1064</v>
      </c>
      <c r="C406" t="s">
        <v>1053</v>
      </c>
      <c r="D406">
        <v>17212.34</v>
      </c>
      <c r="E406">
        <v>1</v>
      </c>
      <c r="F406">
        <f>SUM(Table1_1[[#This Row],[Price (INR)]]*Table1_1[[#This Row],[Quantity Sold]])</f>
        <v>17212.34</v>
      </c>
      <c r="G406">
        <v>17212.34</v>
      </c>
      <c r="H406" s="1">
        <v>45694</v>
      </c>
      <c r="I406" t="s">
        <v>42</v>
      </c>
      <c r="J406">
        <v>3.5</v>
      </c>
      <c r="K406" t="str">
        <f>IF(Table1_1[[#This Row],[Quantity Sold]]&gt;=3,"BULK ORDER","REGULAR ORDER")</f>
        <v>REGULAR ORDER</v>
      </c>
      <c r="L406" t="str">
        <f>IF(Table1_1[[#This Row],[Customer Rating]]&gt;=4.5,"EXCELLENT",IF(Table1_1[[#This Row],[Customer Rating]]&lt;=4,"GOOD","AVERAGE"))</f>
        <v>GOOD</v>
      </c>
    </row>
    <row r="407" spans="1:12" x14ac:dyDescent="0.3">
      <c r="A407" t="s">
        <v>912</v>
      </c>
      <c r="B407" t="s">
        <v>1076</v>
      </c>
      <c r="C407" t="s">
        <v>1055</v>
      </c>
      <c r="D407">
        <v>40986.82</v>
      </c>
      <c r="E407">
        <v>3</v>
      </c>
      <c r="F407">
        <f>SUM(Table1_1[[#This Row],[Price (INR)]]*Table1_1[[#This Row],[Quantity Sold]])</f>
        <v>122960.45999999999</v>
      </c>
      <c r="G407">
        <v>122960.46</v>
      </c>
      <c r="H407" s="1">
        <v>45679</v>
      </c>
      <c r="I407" t="s">
        <v>42</v>
      </c>
      <c r="J407">
        <v>3.5</v>
      </c>
      <c r="K407" t="str">
        <f>IF(Table1_1[[#This Row],[Quantity Sold]]&gt;=3,"BULK ORDER","REGULAR ORDER")</f>
        <v>BULK ORDER</v>
      </c>
      <c r="L407" t="str">
        <f>IF(Table1_1[[#This Row],[Customer Rating]]&gt;=4.5,"EXCELLENT",IF(Table1_1[[#This Row],[Customer Rating]]&lt;=4,"GOOD","AVERAGE"))</f>
        <v>GOOD</v>
      </c>
    </row>
    <row r="408" spans="1:12" x14ac:dyDescent="0.3">
      <c r="A408" t="s">
        <v>982</v>
      </c>
      <c r="B408" t="s">
        <v>1077</v>
      </c>
      <c r="C408" t="s">
        <v>1048</v>
      </c>
      <c r="D408">
        <v>540.63</v>
      </c>
      <c r="E408">
        <v>3</v>
      </c>
      <c r="F408">
        <f>SUM(Table1_1[[#This Row],[Price (INR)]]*Table1_1[[#This Row],[Quantity Sold]])</f>
        <v>1621.8899999999999</v>
      </c>
      <c r="G408">
        <v>1621.89</v>
      </c>
      <c r="H408" s="1">
        <v>45394</v>
      </c>
      <c r="I408" t="s">
        <v>42</v>
      </c>
      <c r="J408">
        <v>3.5</v>
      </c>
      <c r="K408" t="str">
        <f>IF(Table1_1[[#This Row],[Quantity Sold]]&gt;=3,"BULK ORDER","REGULAR ORDER")</f>
        <v>BULK ORDER</v>
      </c>
      <c r="L408" t="str">
        <f>IF(Table1_1[[#This Row],[Customer Rating]]&gt;=4.5,"EXCELLENT",IF(Table1_1[[#This Row],[Customer Rating]]&lt;=4,"GOOD","AVERAGE"))</f>
        <v>GOOD</v>
      </c>
    </row>
    <row r="409" spans="1:12" x14ac:dyDescent="0.3">
      <c r="A409" t="s">
        <v>992</v>
      </c>
      <c r="B409" t="s">
        <v>1079</v>
      </c>
      <c r="C409" t="s">
        <v>1057</v>
      </c>
      <c r="D409">
        <v>29715.31</v>
      </c>
      <c r="E409">
        <v>2</v>
      </c>
      <c r="F409">
        <f>SUM(Table1_1[[#This Row],[Price (INR)]]*Table1_1[[#This Row],[Quantity Sold]])</f>
        <v>59430.62</v>
      </c>
      <c r="G409">
        <v>59430.62</v>
      </c>
      <c r="H409" s="1">
        <v>45394</v>
      </c>
      <c r="I409" t="s">
        <v>42</v>
      </c>
      <c r="J409">
        <v>3.5</v>
      </c>
      <c r="K409" t="str">
        <f>IF(Table1_1[[#This Row],[Quantity Sold]]&gt;=3,"BULK ORDER","REGULAR ORDER")</f>
        <v>REGULAR ORDER</v>
      </c>
      <c r="L409" t="str">
        <f>IF(Table1_1[[#This Row],[Customer Rating]]&gt;=4.5,"EXCELLENT",IF(Table1_1[[#This Row],[Customer Rating]]&lt;=4,"GOOD","AVERAGE"))</f>
        <v>GOOD</v>
      </c>
    </row>
    <row r="410" spans="1:12" x14ac:dyDescent="0.3">
      <c r="A410" t="s">
        <v>1006</v>
      </c>
      <c r="B410" t="s">
        <v>1080</v>
      </c>
      <c r="C410" t="s">
        <v>1051</v>
      </c>
      <c r="D410">
        <v>27369.17</v>
      </c>
      <c r="E410">
        <v>4</v>
      </c>
      <c r="F410">
        <f>SUM(Table1_1[[#This Row],[Price (INR)]]*Table1_1[[#This Row],[Quantity Sold]])</f>
        <v>109476.68</v>
      </c>
      <c r="G410">
        <v>109476.68</v>
      </c>
      <c r="H410" s="1">
        <v>45546</v>
      </c>
      <c r="I410" t="s">
        <v>16</v>
      </c>
      <c r="J410">
        <v>3.5</v>
      </c>
      <c r="K410" t="str">
        <f>IF(Table1_1[[#This Row],[Quantity Sold]]&gt;=3,"BULK ORDER","REGULAR ORDER")</f>
        <v>BULK ORDER</v>
      </c>
      <c r="L410" t="str">
        <f>IF(Table1_1[[#This Row],[Customer Rating]]&gt;=4.5,"EXCELLENT",IF(Table1_1[[#This Row],[Customer Rating]]&lt;=4,"GOOD","AVERAGE"))</f>
        <v>GOOD</v>
      </c>
    </row>
    <row r="411" spans="1:12" x14ac:dyDescent="0.3">
      <c r="A411" t="s">
        <v>1009</v>
      </c>
      <c r="B411" t="s">
        <v>1073</v>
      </c>
      <c r="C411" t="s">
        <v>1053</v>
      </c>
      <c r="D411">
        <v>659.73</v>
      </c>
      <c r="E411">
        <v>4</v>
      </c>
      <c r="F411">
        <f>SUM(Table1_1[[#This Row],[Price (INR)]]*Table1_1[[#This Row],[Quantity Sold]])</f>
        <v>2638.92</v>
      </c>
      <c r="G411">
        <v>2638.92</v>
      </c>
      <c r="H411" s="1">
        <v>45634</v>
      </c>
      <c r="I411" t="s">
        <v>16</v>
      </c>
      <c r="J411">
        <v>3.5</v>
      </c>
      <c r="K411" t="str">
        <f>IF(Table1_1[[#This Row],[Quantity Sold]]&gt;=3,"BULK ORDER","REGULAR ORDER")</f>
        <v>BULK ORDER</v>
      </c>
      <c r="L411" t="str">
        <f>IF(Table1_1[[#This Row],[Customer Rating]]&gt;=4.5,"EXCELLENT",IF(Table1_1[[#This Row],[Customer Rating]]&lt;=4,"GOOD","AVERAGE"))</f>
        <v>GOOD</v>
      </c>
    </row>
    <row r="412" spans="1:12" x14ac:dyDescent="0.3">
      <c r="A412" t="s">
        <v>1018</v>
      </c>
      <c r="B412" t="s">
        <v>1070</v>
      </c>
      <c r="C412" t="s">
        <v>1051</v>
      </c>
      <c r="D412">
        <v>1434.23</v>
      </c>
      <c r="E412">
        <v>2</v>
      </c>
      <c r="F412">
        <f>SUM(Table1_1[[#This Row],[Price (INR)]]*Table1_1[[#This Row],[Quantity Sold]])</f>
        <v>2868.46</v>
      </c>
      <c r="G412">
        <v>2868.46</v>
      </c>
      <c r="H412" s="1">
        <v>45375</v>
      </c>
      <c r="I412" t="s">
        <v>16</v>
      </c>
      <c r="J412">
        <v>3.5</v>
      </c>
      <c r="K412" t="str">
        <f>IF(Table1_1[[#This Row],[Quantity Sold]]&gt;=3,"BULK ORDER","REGULAR ORDER")</f>
        <v>REGULAR ORDER</v>
      </c>
      <c r="L412" t="str">
        <f>IF(Table1_1[[#This Row],[Customer Rating]]&gt;=4.5,"EXCELLENT",IF(Table1_1[[#This Row],[Customer Rating]]&lt;=4,"GOOD","AVERAGE"))</f>
        <v>GOOD</v>
      </c>
    </row>
    <row r="413" spans="1:12" x14ac:dyDescent="0.3">
      <c r="A413" t="s">
        <v>62</v>
      </c>
      <c r="B413" t="s">
        <v>1070</v>
      </c>
      <c r="C413" t="s">
        <v>1051</v>
      </c>
      <c r="D413">
        <v>2053.11</v>
      </c>
      <c r="E413">
        <v>4</v>
      </c>
      <c r="F413">
        <f>SUM(Table1_1[[#This Row],[Price (INR)]]*Table1_1[[#This Row],[Quantity Sold]])</f>
        <v>8212.44</v>
      </c>
      <c r="G413">
        <v>8212.44</v>
      </c>
      <c r="H413" s="1">
        <v>45496</v>
      </c>
      <c r="I413" t="s">
        <v>42</v>
      </c>
      <c r="J413">
        <v>3.4</v>
      </c>
      <c r="K413" t="str">
        <f>IF(Table1_1[[#This Row],[Quantity Sold]]&gt;=3,"BULK ORDER","REGULAR ORDER")</f>
        <v>BULK ORDER</v>
      </c>
      <c r="L413" t="str">
        <f>IF(Table1_1[[#This Row],[Customer Rating]]&gt;=4.5,"EXCELLENT",IF(Table1_1[[#This Row],[Customer Rating]]&lt;=4,"GOOD","AVERAGE"))</f>
        <v>GOOD</v>
      </c>
    </row>
    <row r="414" spans="1:12" x14ac:dyDescent="0.3">
      <c r="A414" t="s">
        <v>106</v>
      </c>
      <c r="B414" t="s">
        <v>1061</v>
      </c>
      <c r="C414" t="s">
        <v>1057</v>
      </c>
      <c r="D414">
        <v>2158.12</v>
      </c>
      <c r="E414">
        <v>3</v>
      </c>
      <c r="F414">
        <f>SUM(Table1_1[[#This Row],[Price (INR)]]*Table1_1[[#This Row],[Quantity Sold]])</f>
        <v>6474.36</v>
      </c>
      <c r="G414">
        <v>6474.36</v>
      </c>
      <c r="H414" s="1">
        <v>45659</v>
      </c>
      <c r="I414" t="s">
        <v>42</v>
      </c>
      <c r="J414">
        <v>3.4</v>
      </c>
      <c r="K414" t="str">
        <f>IF(Table1_1[[#This Row],[Quantity Sold]]&gt;=3,"BULK ORDER","REGULAR ORDER")</f>
        <v>BULK ORDER</v>
      </c>
      <c r="L414" t="str">
        <f>IF(Table1_1[[#This Row],[Customer Rating]]&gt;=4.5,"EXCELLENT",IF(Table1_1[[#This Row],[Customer Rating]]&lt;=4,"GOOD","AVERAGE"))</f>
        <v>GOOD</v>
      </c>
    </row>
    <row r="415" spans="1:12" x14ac:dyDescent="0.3">
      <c r="A415" t="s">
        <v>111</v>
      </c>
      <c r="B415" t="s">
        <v>1047</v>
      </c>
      <c r="C415" t="s">
        <v>1048</v>
      </c>
      <c r="D415">
        <v>38937.919999999998</v>
      </c>
      <c r="E415">
        <v>3</v>
      </c>
      <c r="F415">
        <f>SUM(Table1_1[[#This Row],[Price (INR)]]*Table1_1[[#This Row],[Quantity Sold]])</f>
        <v>116813.75999999999</v>
      </c>
      <c r="G415">
        <v>116813.75999999999</v>
      </c>
      <c r="H415" s="1">
        <v>45390</v>
      </c>
      <c r="I415" t="s">
        <v>1068</v>
      </c>
      <c r="J415">
        <v>3.4</v>
      </c>
      <c r="K415" t="str">
        <f>IF(Table1_1[[#This Row],[Quantity Sold]]&gt;=3,"BULK ORDER","REGULAR ORDER")</f>
        <v>BULK ORDER</v>
      </c>
      <c r="L415" t="str">
        <f>IF(Table1_1[[#This Row],[Customer Rating]]&gt;=4.5,"EXCELLENT",IF(Table1_1[[#This Row],[Customer Rating]]&lt;=4,"GOOD","AVERAGE"))</f>
        <v>GOOD</v>
      </c>
    </row>
    <row r="416" spans="1:12" x14ac:dyDescent="0.3">
      <c r="A416" t="s">
        <v>119</v>
      </c>
      <c r="B416" t="s">
        <v>1079</v>
      </c>
      <c r="C416" t="s">
        <v>1057</v>
      </c>
      <c r="D416">
        <v>46338.29</v>
      </c>
      <c r="E416">
        <v>5</v>
      </c>
      <c r="F416">
        <f>SUM(Table1_1[[#This Row],[Price (INR)]]*Table1_1[[#This Row],[Quantity Sold]])</f>
        <v>231691.45</v>
      </c>
      <c r="G416">
        <v>231691.45</v>
      </c>
      <c r="H416" s="1">
        <v>45373</v>
      </c>
      <c r="I416" t="s">
        <v>42</v>
      </c>
      <c r="J416">
        <v>3.4</v>
      </c>
      <c r="K416" t="str">
        <f>IF(Table1_1[[#This Row],[Quantity Sold]]&gt;=3,"BULK ORDER","REGULAR ORDER")</f>
        <v>BULK ORDER</v>
      </c>
      <c r="L416" t="str">
        <f>IF(Table1_1[[#This Row],[Customer Rating]]&gt;=4.5,"EXCELLENT",IF(Table1_1[[#This Row],[Customer Rating]]&lt;=4,"GOOD","AVERAGE"))</f>
        <v>GOOD</v>
      </c>
    </row>
    <row r="417" spans="1:12" x14ac:dyDescent="0.3">
      <c r="A417" t="s">
        <v>130</v>
      </c>
      <c r="B417" t="s">
        <v>1067</v>
      </c>
      <c r="C417" t="s">
        <v>1048</v>
      </c>
      <c r="D417">
        <v>20613.14</v>
      </c>
      <c r="E417">
        <v>4</v>
      </c>
      <c r="F417">
        <f>SUM(Table1_1[[#This Row],[Price (INR)]]*Table1_1[[#This Row],[Quantity Sold]])</f>
        <v>82452.56</v>
      </c>
      <c r="G417">
        <v>82452.56</v>
      </c>
      <c r="H417" s="1">
        <v>45442</v>
      </c>
      <c r="I417" t="s">
        <v>16</v>
      </c>
      <c r="J417">
        <v>3.4</v>
      </c>
      <c r="K417" t="str">
        <f>IF(Table1_1[[#This Row],[Quantity Sold]]&gt;=3,"BULK ORDER","REGULAR ORDER")</f>
        <v>BULK ORDER</v>
      </c>
      <c r="L417" t="str">
        <f>IF(Table1_1[[#This Row],[Customer Rating]]&gt;=4.5,"EXCELLENT",IF(Table1_1[[#This Row],[Customer Rating]]&lt;=4,"GOOD","AVERAGE"))</f>
        <v>GOOD</v>
      </c>
    </row>
    <row r="418" spans="1:12" x14ac:dyDescent="0.3">
      <c r="A418" t="s">
        <v>131</v>
      </c>
      <c r="B418" t="s">
        <v>1056</v>
      </c>
      <c r="C418" t="s">
        <v>1057</v>
      </c>
      <c r="D418">
        <v>3432</v>
      </c>
      <c r="E418">
        <v>5</v>
      </c>
      <c r="F418">
        <f>SUM(Table1_1[[#This Row],[Price (INR)]]*Table1_1[[#This Row],[Quantity Sold]])</f>
        <v>17160</v>
      </c>
      <c r="G418">
        <v>17160</v>
      </c>
      <c r="H418" s="1">
        <v>45394</v>
      </c>
      <c r="I418" t="s">
        <v>1068</v>
      </c>
      <c r="J418">
        <v>3.4</v>
      </c>
      <c r="K418" t="str">
        <f>IF(Table1_1[[#This Row],[Quantity Sold]]&gt;=3,"BULK ORDER","REGULAR ORDER")</f>
        <v>BULK ORDER</v>
      </c>
      <c r="L418" t="str">
        <f>IF(Table1_1[[#This Row],[Customer Rating]]&gt;=4.5,"EXCELLENT",IF(Table1_1[[#This Row],[Customer Rating]]&lt;=4,"GOOD","AVERAGE"))</f>
        <v>GOOD</v>
      </c>
    </row>
    <row r="419" spans="1:12" x14ac:dyDescent="0.3">
      <c r="A419" t="s">
        <v>253</v>
      </c>
      <c r="B419" t="s">
        <v>1078</v>
      </c>
      <c r="C419" t="s">
        <v>1048</v>
      </c>
      <c r="D419">
        <v>32537.46</v>
      </c>
      <c r="E419">
        <v>5</v>
      </c>
      <c r="F419">
        <f>SUM(Table1_1[[#This Row],[Price (INR)]]*Table1_1[[#This Row],[Quantity Sold]])</f>
        <v>162687.29999999999</v>
      </c>
      <c r="G419">
        <v>162687.29999999999</v>
      </c>
      <c r="H419" s="1">
        <v>45593</v>
      </c>
      <c r="I419" t="s">
        <v>16</v>
      </c>
      <c r="J419">
        <v>3.4</v>
      </c>
      <c r="K419" t="str">
        <f>IF(Table1_1[[#This Row],[Quantity Sold]]&gt;=3,"BULK ORDER","REGULAR ORDER")</f>
        <v>BULK ORDER</v>
      </c>
      <c r="L419" t="str">
        <f>IF(Table1_1[[#This Row],[Customer Rating]]&gt;=4.5,"EXCELLENT",IF(Table1_1[[#This Row],[Customer Rating]]&lt;=4,"GOOD","AVERAGE"))</f>
        <v>GOOD</v>
      </c>
    </row>
    <row r="420" spans="1:12" x14ac:dyDescent="0.3">
      <c r="A420" t="s">
        <v>276</v>
      </c>
      <c r="B420" t="s">
        <v>1054</v>
      </c>
      <c r="C420" t="s">
        <v>1055</v>
      </c>
      <c r="D420">
        <v>5413.09</v>
      </c>
      <c r="E420">
        <v>1</v>
      </c>
      <c r="F420">
        <f>SUM(Table1_1[[#This Row],[Price (INR)]]*Table1_1[[#This Row],[Quantity Sold]])</f>
        <v>5413.09</v>
      </c>
      <c r="G420">
        <v>5413.09</v>
      </c>
      <c r="H420" s="1">
        <v>45432</v>
      </c>
      <c r="I420" t="s">
        <v>16</v>
      </c>
      <c r="J420">
        <v>3.4</v>
      </c>
      <c r="K420" t="str">
        <f>IF(Table1_1[[#This Row],[Quantity Sold]]&gt;=3,"BULK ORDER","REGULAR ORDER")</f>
        <v>REGULAR ORDER</v>
      </c>
      <c r="L420" t="str">
        <f>IF(Table1_1[[#This Row],[Customer Rating]]&gt;=4.5,"EXCELLENT",IF(Table1_1[[#This Row],[Customer Rating]]&lt;=4,"GOOD","AVERAGE"))</f>
        <v>GOOD</v>
      </c>
    </row>
    <row r="421" spans="1:12" x14ac:dyDescent="0.3">
      <c r="A421" t="s">
        <v>450</v>
      </c>
      <c r="B421" t="s">
        <v>1062</v>
      </c>
      <c r="C421" t="s">
        <v>1051</v>
      </c>
      <c r="D421">
        <v>42189.9</v>
      </c>
      <c r="E421">
        <v>1</v>
      </c>
      <c r="F421">
        <f>SUM(Table1_1[[#This Row],[Price (INR)]]*Table1_1[[#This Row],[Quantity Sold]])</f>
        <v>42189.9</v>
      </c>
      <c r="G421">
        <v>42189.9</v>
      </c>
      <c r="H421" s="1">
        <v>45669</v>
      </c>
      <c r="I421" t="s">
        <v>1068</v>
      </c>
      <c r="J421">
        <v>3.4</v>
      </c>
      <c r="K421" t="str">
        <f>IF(Table1_1[[#This Row],[Quantity Sold]]&gt;=3,"BULK ORDER","REGULAR ORDER")</f>
        <v>REGULAR ORDER</v>
      </c>
      <c r="L421" t="str">
        <f>IF(Table1_1[[#This Row],[Customer Rating]]&gt;=4.5,"EXCELLENT",IF(Table1_1[[#This Row],[Customer Rating]]&lt;=4,"GOOD","AVERAGE"))</f>
        <v>GOOD</v>
      </c>
    </row>
    <row r="422" spans="1:12" x14ac:dyDescent="0.3">
      <c r="A422" t="s">
        <v>478</v>
      </c>
      <c r="B422" t="s">
        <v>1076</v>
      </c>
      <c r="C422" t="s">
        <v>1055</v>
      </c>
      <c r="D422">
        <v>14797.27</v>
      </c>
      <c r="E422">
        <v>2</v>
      </c>
      <c r="F422">
        <f>SUM(Table1_1[[#This Row],[Price (INR)]]*Table1_1[[#This Row],[Quantity Sold]])</f>
        <v>29594.54</v>
      </c>
      <c r="G422">
        <v>29594.54</v>
      </c>
      <c r="H422" s="1">
        <v>45682</v>
      </c>
      <c r="I422" t="s">
        <v>16</v>
      </c>
      <c r="J422">
        <v>3.4</v>
      </c>
      <c r="K422" t="str">
        <f>IF(Table1_1[[#This Row],[Quantity Sold]]&gt;=3,"BULK ORDER","REGULAR ORDER")</f>
        <v>REGULAR ORDER</v>
      </c>
      <c r="L422" t="str">
        <f>IF(Table1_1[[#This Row],[Customer Rating]]&gt;=4.5,"EXCELLENT",IF(Table1_1[[#This Row],[Customer Rating]]&lt;=4,"GOOD","AVERAGE"))</f>
        <v>GOOD</v>
      </c>
    </row>
    <row r="423" spans="1:12" x14ac:dyDescent="0.3">
      <c r="A423" t="s">
        <v>499</v>
      </c>
      <c r="B423" t="s">
        <v>1067</v>
      </c>
      <c r="C423" t="s">
        <v>1048</v>
      </c>
      <c r="D423">
        <v>4581.7299999999996</v>
      </c>
      <c r="E423">
        <v>4</v>
      </c>
      <c r="F423">
        <f>SUM(Table1_1[[#This Row],[Price (INR)]]*Table1_1[[#This Row],[Quantity Sold]])</f>
        <v>18326.919999999998</v>
      </c>
      <c r="G423">
        <v>18326.919999999998</v>
      </c>
      <c r="H423" s="1">
        <v>45436</v>
      </c>
      <c r="I423" t="s">
        <v>1068</v>
      </c>
      <c r="J423">
        <v>3.4</v>
      </c>
      <c r="K423" t="str">
        <f>IF(Table1_1[[#This Row],[Quantity Sold]]&gt;=3,"BULK ORDER","REGULAR ORDER")</f>
        <v>BULK ORDER</v>
      </c>
      <c r="L423" t="str">
        <f>IF(Table1_1[[#This Row],[Customer Rating]]&gt;=4.5,"EXCELLENT",IF(Table1_1[[#This Row],[Customer Rating]]&lt;=4,"GOOD","AVERAGE"))</f>
        <v>GOOD</v>
      </c>
    </row>
    <row r="424" spans="1:12" x14ac:dyDescent="0.3">
      <c r="A424" t="s">
        <v>582</v>
      </c>
      <c r="B424" t="s">
        <v>1079</v>
      </c>
      <c r="C424" t="s">
        <v>1057</v>
      </c>
      <c r="D424">
        <v>30721.51</v>
      </c>
      <c r="E424">
        <v>4</v>
      </c>
      <c r="F424">
        <f>SUM(Table1_1[[#This Row],[Price (INR)]]*Table1_1[[#This Row],[Quantity Sold]])</f>
        <v>122886.04</v>
      </c>
      <c r="G424">
        <v>122886.04</v>
      </c>
      <c r="H424" s="1">
        <v>45501</v>
      </c>
      <c r="I424" t="s">
        <v>1059</v>
      </c>
      <c r="J424">
        <v>3.4</v>
      </c>
      <c r="K424" t="str">
        <f>IF(Table1_1[[#This Row],[Quantity Sold]]&gt;=3,"BULK ORDER","REGULAR ORDER")</f>
        <v>BULK ORDER</v>
      </c>
      <c r="L424" t="str">
        <f>IF(Table1_1[[#This Row],[Customer Rating]]&gt;=4.5,"EXCELLENT",IF(Table1_1[[#This Row],[Customer Rating]]&lt;=4,"GOOD","AVERAGE"))</f>
        <v>GOOD</v>
      </c>
    </row>
    <row r="425" spans="1:12" x14ac:dyDescent="0.3">
      <c r="A425" t="s">
        <v>636</v>
      </c>
      <c r="B425" t="s">
        <v>1064</v>
      </c>
      <c r="C425" t="s">
        <v>1053</v>
      </c>
      <c r="D425">
        <v>462</v>
      </c>
      <c r="E425">
        <v>4</v>
      </c>
      <c r="F425">
        <f>SUM(Table1_1[[#This Row],[Price (INR)]]*Table1_1[[#This Row],[Quantity Sold]])</f>
        <v>1848</v>
      </c>
      <c r="G425">
        <v>1848</v>
      </c>
      <c r="H425" s="1">
        <v>45461</v>
      </c>
      <c r="I425" t="s">
        <v>42</v>
      </c>
      <c r="J425">
        <v>3.4</v>
      </c>
      <c r="K425" t="str">
        <f>IF(Table1_1[[#This Row],[Quantity Sold]]&gt;=3,"BULK ORDER","REGULAR ORDER")</f>
        <v>BULK ORDER</v>
      </c>
      <c r="L425" t="str">
        <f>IF(Table1_1[[#This Row],[Customer Rating]]&gt;=4.5,"EXCELLENT",IF(Table1_1[[#This Row],[Customer Rating]]&lt;=4,"GOOD","AVERAGE"))</f>
        <v>GOOD</v>
      </c>
    </row>
    <row r="426" spans="1:12" x14ac:dyDescent="0.3">
      <c r="A426" t="s">
        <v>639</v>
      </c>
      <c r="B426" t="s">
        <v>1054</v>
      </c>
      <c r="C426" t="s">
        <v>1055</v>
      </c>
      <c r="D426">
        <v>31162.39</v>
      </c>
      <c r="E426">
        <v>5</v>
      </c>
      <c r="F426">
        <f>SUM(Table1_1[[#This Row],[Price (INR)]]*Table1_1[[#This Row],[Quantity Sold]])</f>
        <v>155811.95000000001</v>
      </c>
      <c r="G426">
        <v>155811.95000000001</v>
      </c>
      <c r="H426" s="1">
        <v>45398</v>
      </c>
      <c r="I426" t="s">
        <v>1068</v>
      </c>
      <c r="J426">
        <v>3.4</v>
      </c>
      <c r="K426" t="str">
        <f>IF(Table1_1[[#This Row],[Quantity Sold]]&gt;=3,"BULK ORDER","REGULAR ORDER")</f>
        <v>BULK ORDER</v>
      </c>
      <c r="L426" t="str">
        <f>IF(Table1_1[[#This Row],[Customer Rating]]&gt;=4.5,"EXCELLENT",IF(Table1_1[[#This Row],[Customer Rating]]&lt;=4,"GOOD","AVERAGE"))</f>
        <v>GOOD</v>
      </c>
    </row>
    <row r="427" spans="1:12" x14ac:dyDescent="0.3">
      <c r="A427" t="s">
        <v>687</v>
      </c>
      <c r="B427" t="s">
        <v>1080</v>
      </c>
      <c r="C427" t="s">
        <v>1051</v>
      </c>
      <c r="D427">
        <v>12422.09</v>
      </c>
      <c r="E427">
        <v>2</v>
      </c>
      <c r="F427">
        <f>SUM(Table1_1[[#This Row],[Price (INR)]]*Table1_1[[#This Row],[Quantity Sold]])</f>
        <v>24844.18</v>
      </c>
      <c r="G427">
        <v>24844.18</v>
      </c>
      <c r="H427" s="1">
        <v>45387</v>
      </c>
      <c r="I427" t="s">
        <v>42</v>
      </c>
      <c r="J427">
        <v>3.4</v>
      </c>
      <c r="K427" t="str">
        <f>IF(Table1_1[[#This Row],[Quantity Sold]]&gt;=3,"BULK ORDER","REGULAR ORDER")</f>
        <v>REGULAR ORDER</v>
      </c>
      <c r="L427" t="str">
        <f>IF(Table1_1[[#This Row],[Customer Rating]]&gt;=4.5,"EXCELLENT",IF(Table1_1[[#This Row],[Customer Rating]]&lt;=4,"GOOD","AVERAGE"))</f>
        <v>GOOD</v>
      </c>
    </row>
    <row r="428" spans="1:12" x14ac:dyDescent="0.3">
      <c r="A428" t="s">
        <v>721</v>
      </c>
      <c r="B428" t="s">
        <v>1066</v>
      </c>
      <c r="C428" t="s">
        <v>1055</v>
      </c>
      <c r="D428">
        <v>25161.91</v>
      </c>
      <c r="E428">
        <v>5</v>
      </c>
      <c r="F428">
        <f>SUM(Table1_1[[#This Row],[Price (INR)]]*Table1_1[[#This Row],[Quantity Sold]])</f>
        <v>125809.55</v>
      </c>
      <c r="G428">
        <v>125809.55</v>
      </c>
      <c r="H428" s="1">
        <v>45416</v>
      </c>
      <c r="I428" t="s">
        <v>1059</v>
      </c>
      <c r="J428">
        <v>3.4</v>
      </c>
      <c r="K428" t="str">
        <f>IF(Table1_1[[#This Row],[Quantity Sold]]&gt;=3,"BULK ORDER","REGULAR ORDER")</f>
        <v>BULK ORDER</v>
      </c>
      <c r="L428" t="str">
        <f>IF(Table1_1[[#This Row],[Customer Rating]]&gt;=4.5,"EXCELLENT",IF(Table1_1[[#This Row],[Customer Rating]]&lt;=4,"GOOD","AVERAGE"))</f>
        <v>GOOD</v>
      </c>
    </row>
    <row r="429" spans="1:12" x14ac:dyDescent="0.3">
      <c r="A429" t="s">
        <v>736</v>
      </c>
      <c r="B429" t="s">
        <v>1060</v>
      </c>
      <c r="C429" t="s">
        <v>1051</v>
      </c>
      <c r="D429">
        <v>43719.71</v>
      </c>
      <c r="E429">
        <v>5</v>
      </c>
      <c r="F429">
        <f>SUM(Table1_1[[#This Row],[Price (INR)]]*Table1_1[[#This Row],[Quantity Sold]])</f>
        <v>218598.55</v>
      </c>
      <c r="G429">
        <v>218598.55</v>
      </c>
      <c r="H429" s="1">
        <v>45608</v>
      </c>
      <c r="I429" t="s">
        <v>16</v>
      </c>
      <c r="J429">
        <v>3.4</v>
      </c>
      <c r="K429" t="str">
        <f>IF(Table1_1[[#This Row],[Quantity Sold]]&gt;=3,"BULK ORDER","REGULAR ORDER")</f>
        <v>BULK ORDER</v>
      </c>
      <c r="L429" t="str">
        <f>IF(Table1_1[[#This Row],[Customer Rating]]&gt;=4.5,"EXCELLENT",IF(Table1_1[[#This Row],[Customer Rating]]&lt;=4,"GOOD","AVERAGE"))</f>
        <v>GOOD</v>
      </c>
    </row>
    <row r="430" spans="1:12" x14ac:dyDescent="0.3">
      <c r="A430" t="s">
        <v>966</v>
      </c>
      <c r="B430" t="s">
        <v>1074</v>
      </c>
      <c r="C430" t="s">
        <v>1055</v>
      </c>
      <c r="D430">
        <v>21472.14</v>
      </c>
      <c r="E430">
        <v>2</v>
      </c>
      <c r="F430">
        <f>SUM(Table1_1[[#This Row],[Price (INR)]]*Table1_1[[#This Row],[Quantity Sold]])</f>
        <v>42944.28</v>
      </c>
      <c r="G430">
        <v>42944.28</v>
      </c>
      <c r="H430" s="1">
        <v>45543</v>
      </c>
      <c r="I430" t="s">
        <v>1049</v>
      </c>
      <c r="J430">
        <v>3.4</v>
      </c>
      <c r="K430" t="str">
        <f>IF(Table1_1[[#This Row],[Quantity Sold]]&gt;=3,"BULK ORDER","REGULAR ORDER")</f>
        <v>REGULAR ORDER</v>
      </c>
      <c r="L430" t="str">
        <f>IF(Table1_1[[#This Row],[Customer Rating]]&gt;=4.5,"EXCELLENT",IF(Table1_1[[#This Row],[Customer Rating]]&lt;=4,"GOOD","AVERAGE"))</f>
        <v>GOOD</v>
      </c>
    </row>
    <row r="431" spans="1:12" x14ac:dyDescent="0.3">
      <c r="A431" t="s">
        <v>998</v>
      </c>
      <c r="B431" t="s">
        <v>1052</v>
      </c>
      <c r="C431" t="s">
        <v>1053</v>
      </c>
      <c r="D431">
        <v>33472.93</v>
      </c>
      <c r="E431">
        <v>1</v>
      </c>
      <c r="F431">
        <f>SUM(Table1_1[[#This Row],[Price (INR)]]*Table1_1[[#This Row],[Quantity Sold]])</f>
        <v>33472.93</v>
      </c>
      <c r="G431">
        <v>33472.93</v>
      </c>
      <c r="H431" s="1">
        <v>45441</v>
      </c>
      <c r="I431" t="s">
        <v>1068</v>
      </c>
      <c r="J431">
        <v>3.4</v>
      </c>
      <c r="K431" t="str">
        <f>IF(Table1_1[[#This Row],[Quantity Sold]]&gt;=3,"BULK ORDER","REGULAR ORDER")</f>
        <v>REGULAR ORDER</v>
      </c>
      <c r="L431" t="str">
        <f>IF(Table1_1[[#This Row],[Customer Rating]]&gt;=4.5,"EXCELLENT",IF(Table1_1[[#This Row],[Customer Rating]]&lt;=4,"GOOD","AVERAGE"))</f>
        <v>GOOD</v>
      </c>
    </row>
    <row r="432" spans="1:12" x14ac:dyDescent="0.3">
      <c r="A432" t="s">
        <v>89</v>
      </c>
      <c r="B432" t="s">
        <v>1072</v>
      </c>
      <c r="C432" t="s">
        <v>1057</v>
      </c>
      <c r="D432">
        <v>23898.58</v>
      </c>
      <c r="E432">
        <v>5</v>
      </c>
      <c r="F432">
        <f>SUM(Table1_1[[#This Row],[Price (INR)]]*Table1_1[[#This Row],[Quantity Sold]])</f>
        <v>119492.90000000001</v>
      </c>
      <c r="G432">
        <v>119492.9</v>
      </c>
      <c r="H432" s="1">
        <v>45624</v>
      </c>
      <c r="I432" t="s">
        <v>1068</v>
      </c>
      <c r="J432">
        <v>3.3</v>
      </c>
      <c r="K432" t="str">
        <f>IF(Table1_1[[#This Row],[Quantity Sold]]&gt;=3,"BULK ORDER","REGULAR ORDER")</f>
        <v>BULK ORDER</v>
      </c>
      <c r="L432" t="str">
        <f>IF(Table1_1[[#This Row],[Customer Rating]]&gt;=4.5,"EXCELLENT",IF(Table1_1[[#This Row],[Customer Rating]]&lt;=4,"GOOD","AVERAGE"))</f>
        <v>GOOD</v>
      </c>
    </row>
    <row r="433" spans="1:12" x14ac:dyDescent="0.3">
      <c r="A433" t="s">
        <v>123</v>
      </c>
      <c r="B433" t="s">
        <v>1052</v>
      </c>
      <c r="C433" t="s">
        <v>1053</v>
      </c>
      <c r="D433">
        <v>46011.839999999997</v>
      </c>
      <c r="E433">
        <v>4</v>
      </c>
      <c r="F433">
        <f>SUM(Table1_1[[#This Row],[Price (INR)]]*Table1_1[[#This Row],[Quantity Sold]])</f>
        <v>184047.35999999999</v>
      </c>
      <c r="G433">
        <v>184047.35999999999</v>
      </c>
      <c r="H433" s="1">
        <v>45413</v>
      </c>
      <c r="I433" t="s">
        <v>42</v>
      </c>
      <c r="J433">
        <v>3.3</v>
      </c>
      <c r="K433" t="str">
        <f>IF(Table1_1[[#This Row],[Quantity Sold]]&gt;=3,"BULK ORDER","REGULAR ORDER")</f>
        <v>BULK ORDER</v>
      </c>
      <c r="L433" t="str">
        <f>IF(Table1_1[[#This Row],[Customer Rating]]&gt;=4.5,"EXCELLENT",IF(Table1_1[[#This Row],[Customer Rating]]&lt;=4,"GOOD","AVERAGE"))</f>
        <v>GOOD</v>
      </c>
    </row>
    <row r="434" spans="1:12" x14ac:dyDescent="0.3">
      <c r="A434" t="s">
        <v>144</v>
      </c>
      <c r="B434" t="s">
        <v>1074</v>
      </c>
      <c r="C434" t="s">
        <v>1055</v>
      </c>
      <c r="D434">
        <v>4360.05</v>
      </c>
      <c r="E434">
        <v>4</v>
      </c>
      <c r="F434">
        <f>SUM(Table1_1[[#This Row],[Price (INR)]]*Table1_1[[#This Row],[Quantity Sold]])</f>
        <v>17440.2</v>
      </c>
      <c r="G434">
        <v>17440.2</v>
      </c>
      <c r="H434" s="1">
        <v>45675</v>
      </c>
      <c r="I434" t="s">
        <v>1059</v>
      </c>
      <c r="J434">
        <v>3.3</v>
      </c>
      <c r="K434" t="str">
        <f>IF(Table1_1[[#This Row],[Quantity Sold]]&gt;=3,"BULK ORDER","REGULAR ORDER")</f>
        <v>BULK ORDER</v>
      </c>
      <c r="L434" t="str">
        <f>IF(Table1_1[[#This Row],[Customer Rating]]&gt;=4.5,"EXCELLENT",IF(Table1_1[[#This Row],[Customer Rating]]&lt;=4,"GOOD","AVERAGE"))</f>
        <v>GOOD</v>
      </c>
    </row>
    <row r="435" spans="1:12" x14ac:dyDescent="0.3">
      <c r="A435" t="s">
        <v>212</v>
      </c>
      <c r="B435" t="s">
        <v>1073</v>
      </c>
      <c r="C435" t="s">
        <v>1053</v>
      </c>
      <c r="D435">
        <v>35286.97</v>
      </c>
      <c r="E435">
        <v>2</v>
      </c>
      <c r="F435">
        <f>SUM(Table1_1[[#This Row],[Price (INR)]]*Table1_1[[#This Row],[Quantity Sold]])</f>
        <v>70573.94</v>
      </c>
      <c r="G435">
        <v>70573.94</v>
      </c>
      <c r="H435" s="1">
        <v>45574</v>
      </c>
      <c r="I435" t="s">
        <v>1071</v>
      </c>
      <c r="J435">
        <v>3.3</v>
      </c>
      <c r="K435" t="str">
        <f>IF(Table1_1[[#This Row],[Quantity Sold]]&gt;=3,"BULK ORDER","REGULAR ORDER")</f>
        <v>REGULAR ORDER</v>
      </c>
      <c r="L435" t="str">
        <f>IF(Table1_1[[#This Row],[Customer Rating]]&gt;=4.5,"EXCELLENT",IF(Table1_1[[#This Row],[Customer Rating]]&lt;=4,"GOOD","AVERAGE"))</f>
        <v>GOOD</v>
      </c>
    </row>
    <row r="436" spans="1:12" x14ac:dyDescent="0.3">
      <c r="A436" t="s">
        <v>228</v>
      </c>
      <c r="B436" t="s">
        <v>1065</v>
      </c>
      <c r="C436" t="s">
        <v>1053</v>
      </c>
      <c r="D436">
        <v>33659.67</v>
      </c>
      <c r="E436">
        <v>4</v>
      </c>
      <c r="F436">
        <f>SUM(Table1_1[[#This Row],[Price (INR)]]*Table1_1[[#This Row],[Quantity Sold]])</f>
        <v>134638.68</v>
      </c>
      <c r="G436">
        <v>134638.68</v>
      </c>
      <c r="H436" s="1">
        <v>45478</v>
      </c>
      <c r="I436" t="s">
        <v>1059</v>
      </c>
      <c r="J436">
        <v>3.3</v>
      </c>
      <c r="K436" t="str">
        <f>IF(Table1_1[[#This Row],[Quantity Sold]]&gt;=3,"BULK ORDER","REGULAR ORDER")</f>
        <v>BULK ORDER</v>
      </c>
      <c r="L436" t="str">
        <f>IF(Table1_1[[#This Row],[Customer Rating]]&gt;=4.5,"EXCELLENT",IF(Table1_1[[#This Row],[Customer Rating]]&lt;=4,"GOOD","AVERAGE"))</f>
        <v>GOOD</v>
      </c>
    </row>
    <row r="437" spans="1:12" x14ac:dyDescent="0.3">
      <c r="A437" t="s">
        <v>295</v>
      </c>
      <c r="B437" t="s">
        <v>1062</v>
      </c>
      <c r="C437" t="s">
        <v>1051</v>
      </c>
      <c r="D437">
        <v>1987.98</v>
      </c>
      <c r="E437">
        <v>4</v>
      </c>
      <c r="F437">
        <f>SUM(Table1_1[[#This Row],[Price (INR)]]*Table1_1[[#This Row],[Quantity Sold]])</f>
        <v>7951.92</v>
      </c>
      <c r="G437">
        <v>7951.92</v>
      </c>
      <c r="H437" s="1">
        <v>45345</v>
      </c>
      <c r="I437" t="s">
        <v>16</v>
      </c>
      <c r="J437">
        <v>3.3</v>
      </c>
      <c r="K437" t="str">
        <f>IF(Table1_1[[#This Row],[Quantity Sold]]&gt;=3,"BULK ORDER","REGULAR ORDER")</f>
        <v>BULK ORDER</v>
      </c>
      <c r="L437" t="str">
        <f>IF(Table1_1[[#This Row],[Customer Rating]]&gt;=4.5,"EXCELLENT",IF(Table1_1[[#This Row],[Customer Rating]]&lt;=4,"GOOD","AVERAGE"))</f>
        <v>GOOD</v>
      </c>
    </row>
    <row r="438" spans="1:12" x14ac:dyDescent="0.3">
      <c r="A438" t="s">
        <v>383</v>
      </c>
      <c r="B438" t="s">
        <v>1073</v>
      </c>
      <c r="C438" t="s">
        <v>1053</v>
      </c>
      <c r="D438">
        <v>30977.18</v>
      </c>
      <c r="E438">
        <v>3</v>
      </c>
      <c r="F438">
        <f>SUM(Table1_1[[#This Row],[Price (INR)]]*Table1_1[[#This Row],[Quantity Sold]])</f>
        <v>92931.540000000008</v>
      </c>
      <c r="G438">
        <v>92931.54</v>
      </c>
      <c r="H438" s="1">
        <v>45604</v>
      </c>
      <c r="I438" t="s">
        <v>16</v>
      </c>
      <c r="J438">
        <v>3.3</v>
      </c>
      <c r="K438" t="str">
        <f>IF(Table1_1[[#This Row],[Quantity Sold]]&gt;=3,"BULK ORDER","REGULAR ORDER")</f>
        <v>BULK ORDER</v>
      </c>
      <c r="L438" t="str">
        <f>IF(Table1_1[[#This Row],[Customer Rating]]&gt;=4.5,"EXCELLENT",IF(Table1_1[[#This Row],[Customer Rating]]&lt;=4,"GOOD","AVERAGE"))</f>
        <v>GOOD</v>
      </c>
    </row>
    <row r="439" spans="1:12" x14ac:dyDescent="0.3">
      <c r="A439" t="s">
        <v>390</v>
      </c>
      <c r="B439" t="s">
        <v>1060</v>
      </c>
      <c r="C439" t="s">
        <v>1051</v>
      </c>
      <c r="D439">
        <v>46090.65</v>
      </c>
      <c r="E439">
        <v>4</v>
      </c>
      <c r="F439">
        <f>SUM(Table1_1[[#This Row],[Price (INR)]]*Table1_1[[#This Row],[Quantity Sold]])</f>
        <v>184362.6</v>
      </c>
      <c r="G439">
        <v>184362.6</v>
      </c>
      <c r="H439" s="1">
        <v>45682</v>
      </c>
      <c r="I439" t="s">
        <v>16</v>
      </c>
      <c r="J439">
        <v>3.3</v>
      </c>
      <c r="K439" t="str">
        <f>IF(Table1_1[[#This Row],[Quantity Sold]]&gt;=3,"BULK ORDER","REGULAR ORDER")</f>
        <v>BULK ORDER</v>
      </c>
      <c r="L439" t="str">
        <f>IF(Table1_1[[#This Row],[Customer Rating]]&gt;=4.5,"EXCELLENT",IF(Table1_1[[#This Row],[Customer Rating]]&lt;=4,"GOOD","AVERAGE"))</f>
        <v>GOOD</v>
      </c>
    </row>
    <row r="440" spans="1:12" x14ac:dyDescent="0.3">
      <c r="A440" t="s">
        <v>458</v>
      </c>
      <c r="B440" t="s">
        <v>1080</v>
      </c>
      <c r="C440" t="s">
        <v>1051</v>
      </c>
      <c r="D440">
        <v>42975.360000000001</v>
      </c>
      <c r="E440">
        <v>4</v>
      </c>
      <c r="F440">
        <f>SUM(Table1_1[[#This Row],[Price (INR)]]*Table1_1[[#This Row],[Quantity Sold]])</f>
        <v>171901.44</v>
      </c>
      <c r="G440">
        <v>171901.44</v>
      </c>
      <c r="H440" s="1">
        <v>45522</v>
      </c>
      <c r="I440" t="s">
        <v>42</v>
      </c>
      <c r="J440">
        <v>3.3</v>
      </c>
      <c r="K440" t="str">
        <f>IF(Table1_1[[#This Row],[Quantity Sold]]&gt;=3,"BULK ORDER","REGULAR ORDER")</f>
        <v>BULK ORDER</v>
      </c>
      <c r="L440" t="str">
        <f>IF(Table1_1[[#This Row],[Customer Rating]]&gt;=4.5,"EXCELLENT",IF(Table1_1[[#This Row],[Customer Rating]]&lt;=4,"GOOD","AVERAGE"))</f>
        <v>GOOD</v>
      </c>
    </row>
    <row r="441" spans="1:12" x14ac:dyDescent="0.3">
      <c r="A441" t="s">
        <v>534</v>
      </c>
      <c r="B441" t="s">
        <v>1073</v>
      </c>
      <c r="C441" t="s">
        <v>1053</v>
      </c>
      <c r="D441">
        <v>12757.67</v>
      </c>
      <c r="E441">
        <v>5</v>
      </c>
      <c r="F441">
        <f>SUM(Table1_1[[#This Row],[Price (INR)]]*Table1_1[[#This Row],[Quantity Sold]])</f>
        <v>63788.35</v>
      </c>
      <c r="G441">
        <v>63788.35</v>
      </c>
      <c r="H441" s="1">
        <v>45615</v>
      </c>
      <c r="I441" t="s">
        <v>16</v>
      </c>
      <c r="J441">
        <v>3.3</v>
      </c>
      <c r="K441" t="str">
        <f>IF(Table1_1[[#This Row],[Quantity Sold]]&gt;=3,"BULK ORDER","REGULAR ORDER")</f>
        <v>BULK ORDER</v>
      </c>
      <c r="L441" t="str">
        <f>IF(Table1_1[[#This Row],[Customer Rating]]&gt;=4.5,"EXCELLENT",IF(Table1_1[[#This Row],[Customer Rating]]&lt;=4,"GOOD","AVERAGE"))</f>
        <v>GOOD</v>
      </c>
    </row>
    <row r="442" spans="1:12" x14ac:dyDescent="0.3">
      <c r="A442" t="s">
        <v>551</v>
      </c>
      <c r="B442" t="s">
        <v>1056</v>
      </c>
      <c r="C442" t="s">
        <v>1057</v>
      </c>
      <c r="D442">
        <v>19380.5</v>
      </c>
      <c r="E442">
        <v>4</v>
      </c>
      <c r="F442">
        <f>SUM(Table1_1[[#This Row],[Price (INR)]]*Table1_1[[#This Row],[Quantity Sold]])</f>
        <v>77522</v>
      </c>
      <c r="G442">
        <v>77522</v>
      </c>
      <c r="H442" s="1">
        <v>45466</v>
      </c>
      <c r="I442" t="s">
        <v>16</v>
      </c>
      <c r="J442">
        <v>3.3</v>
      </c>
      <c r="K442" t="str">
        <f>IF(Table1_1[[#This Row],[Quantity Sold]]&gt;=3,"BULK ORDER","REGULAR ORDER")</f>
        <v>BULK ORDER</v>
      </c>
      <c r="L442" t="str">
        <f>IF(Table1_1[[#This Row],[Customer Rating]]&gt;=4.5,"EXCELLENT",IF(Table1_1[[#This Row],[Customer Rating]]&lt;=4,"GOOD","AVERAGE"))</f>
        <v>GOOD</v>
      </c>
    </row>
    <row r="443" spans="1:12" x14ac:dyDescent="0.3">
      <c r="A443" t="s">
        <v>563</v>
      </c>
      <c r="B443" t="s">
        <v>1052</v>
      </c>
      <c r="C443" t="s">
        <v>1053</v>
      </c>
      <c r="D443">
        <v>6963.56</v>
      </c>
      <c r="E443">
        <v>2</v>
      </c>
      <c r="F443">
        <f>SUM(Table1_1[[#This Row],[Price (INR)]]*Table1_1[[#This Row],[Quantity Sold]])</f>
        <v>13927.12</v>
      </c>
      <c r="G443">
        <v>13927.12</v>
      </c>
      <c r="H443" s="1">
        <v>45632</v>
      </c>
      <c r="I443" t="s">
        <v>1049</v>
      </c>
      <c r="J443">
        <v>3.3</v>
      </c>
      <c r="K443" t="str">
        <f>IF(Table1_1[[#This Row],[Quantity Sold]]&gt;=3,"BULK ORDER","REGULAR ORDER")</f>
        <v>REGULAR ORDER</v>
      </c>
      <c r="L443" t="str">
        <f>IF(Table1_1[[#This Row],[Customer Rating]]&gt;=4.5,"EXCELLENT",IF(Table1_1[[#This Row],[Customer Rating]]&lt;=4,"GOOD","AVERAGE"))</f>
        <v>GOOD</v>
      </c>
    </row>
    <row r="444" spans="1:12" x14ac:dyDescent="0.3">
      <c r="A444" t="s">
        <v>611</v>
      </c>
      <c r="B444" t="s">
        <v>1078</v>
      </c>
      <c r="C444" t="s">
        <v>1048</v>
      </c>
      <c r="D444">
        <v>26220.67</v>
      </c>
      <c r="E444">
        <v>4</v>
      </c>
      <c r="F444">
        <f>SUM(Table1_1[[#This Row],[Price (INR)]]*Table1_1[[#This Row],[Quantity Sold]])</f>
        <v>104882.68</v>
      </c>
      <c r="G444">
        <v>104882.68</v>
      </c>
      <c r="H444" s="1">
        <v>45412</v>
      </c>
      <c r="I444" t="s">
        <v>1071</v>
      </c>
      <c r="J444">
        <v>3.3</v>
      </c>
      <c r="K444" t="str">
        <f>IF(Table1_1[[#This Row],[Quantity Sold]]&gt;=3,"BULK ORDER","REGULAR ORDER")</f>
        <v>BULK ORDER</v>
      </c>
      <c r="L444" t="str">
        <f>IF(Table1_1[[#This Row],[Customer Rating]]&gt;=4.5,"EXCELLENT",IF(Table1_1[[#This Row],[Customer Rating]]&lt;=4,"GOOD","AVERAGE"))</f>
        <v>GOOD</v>
      </c>
    </row>
    <row r="445" spans="1:12" x14ac:dyDescent="0.3">
      <c r="A445" t="s">
        <v>753</v>
      </c>
      <c r="B445" t="s">
        <v>1076</v>
      </c>
      <c r="C445" t="s">
        <v>1055</v>
      </c>
      <c r="D445">
        <v>29418.33</v>
      </c>
      <c r="E445">
        <v>2</v>
      </c>
      <c r="F445">
        <f>SUM(Table1_1[[#This Row],[Price (INR)]]*Table1_1[[#This Row],[Quantity Sold]])</f>
        <v>58836.66</v>
      </c>
      <c r="G445">
        <v>58836.66</v>
      </c>
      <c r="H445" s="1">
        <v>45503</v>
      </c>
      <c r="I445" t="s">
        <v>42</v>
      </c>
      <c r="J445">
        <v>3.3</v>
      </c>
      <c r="K445" t="str">
        <f>IF(Table1_1[[#This Row],[Quantity Sold]]&gt;=3,"BULK ORDER","REGULAR ORDER")</f>
        <v>REGULAR ORDER</v>
      </c>
      <c r="L445" t="str">
        <f>IF(Table1_1[[#This Row],[Customer Rating]]&gt;=4.5,"EXCELLENT",IF(Table1_1[[#This Row],[Customer Rating]]&lt;=4,"GOOD","AVERAGE"))</f>
        <v>GOOD</v>
      </c>
    </row>
    <row r="446" spans="1:12" x14ac:dyDescent="0.3">
      <c r="A446" t="s">
        <v>760</v>
      </c>
      <c r="B446" t="s">
        <v>1062</v>
      </c>
      <c r="C446" t="s">
        <v>1051</v>
      </c>
      <c r="D446">
        <v>19846.64</v>
      </c>
      <c r="E446">
        <v>1</v>
      </c>
      <c r="F446">
        <f>SUM(Table1_1[[#This Row],[Price (INR)]]*Table1_1[[#This Row],[Quantity Sold]])</f>
        <v>19846.64</v>
      </c>
      <c r="G446">
        <v>19846.64</v>
      </c>
      <c r="H446" s="1">
        <v>45513</v>
      </c>
      <c r="I446" t="s">
        <v>1071</v>
      </c>
      <c r="J446">
        <v>3.3</v>
      </c>
      <c r="K446" t="str">
        <f>IF(Table1_1[[#This Row],[Quantity Sold]]&gt;=3,"BULK ORDER","REGULAR ORDER")</f>
        <v>REGULAR ORDER</v>
      </c>
      <c r="L446" t="str">
        <f>IF(Table1_1[[#This Row],[Customer Rating]]&gt;=4.5,"EXCELLENT",IF(Table1_1[[#This Row],[Customer Rating]]&lt;=4,"GOOD","AVERAGE"))</f>
        <v>GOOD</v>
      </c>
    </row>
    <row r="447" spans="1:12" x14ac:dyDescent="0.3">
      <c r="A447" t="s">
        <v>768</v>
      </c>
      <c r="B447" t="s">
        <v>1047</v>
      </c>
      <c r="C447" t="s">
        <v>1048</v>
      </c>
      <c r="D447">
        <v>18574.12</v>
      </c>
      <c r="E447">
        <v>1</v>
      </c>
      <c r="F447">
        <f>SUM(Table1_1[[#This Row],[Price (INR)]]*Table1_1[[#This Row],[Quantity Sold]])</f>
        <v>18574.12</v>
      </c>
      <c r="G447">
        <v>18574.12</v>
      </c>
      <c r="H447" s="1">
        <v>45579</v>
      </c>
      <c r="I447" t="s">
        <v>1059</v>
      </c>
      <c r="J447">
        <v>3.3</v>
      </c>
      <c r="K447" t="str">
        <f>IF(Table1_1[[#This Row],[Quantity Sold]]&gt;=3,"BULK ORDER","REGULAR ORDER")</f>
        <v>REGULAR ORDER</v>
      </c>
      <c r="L447" t="str">
        <f>IF(Table1_1[[#This Row],[Customer Rating]]&gt;=4.5,"EXCELLENT",IF(Table1_1[[#This Row],[Customer Rating]]&lt;=4,"GOOD","AVERAGE"))</f>
        <v>GOOD</v>
      </c>
    </row>
    <row r="448" spans="1:12" x14ac:dyDescent="0.3">
      <c r="A448" t="s">
        <v>793</v>
      </c>
      <c r="B448" t="s">
        <v>1066</v>
      </c>
      <c r="C448" t="s">
        <v>1055</v>
      </c>
      <c r="D448">
        <v>11142.38</v>
      </c>
      <c r="E448">
        <v>5</v>
      </c>
      <c r="F448">
        <f>SUM(Table1_1[[#This Row],[Price (INR)]]*Table1_1[[#This Row],[Quantity Sold]])</f>
        <v>55711.899999999994</v>
      </c>
      <c r="G448">
        <v>55711.9</v>
      </c>
      <c r="H448" s="1">
        <v>45511</v>
      </c>
      <c r="I448" t="s">
        <v>1068</v>
      </c>
      <c r="J448">
        <v>3.3</v>
      </c>
      <c r="K448" t="str">
        <f>IF(Table1_1[[#This Row],[Quantity Sold]]&gt;=3,"BULK ORDER","REGULAR ORDER")</f>
        <v>BULK ORDER</v>
      </c>
      <c r="L448" t="str">
        <f>IF(Table1_1[[#This Row],[Customer Rating]]&gt;=4.5,"EXCELLENT",IF(Table1_1[[#This Row],[Customer Rating]]&lt;=4,"GOOD","AVERAGE"))</f>
        <v>GOOD</v>
      </c>
    </row>
    <row r="449" spans="1:12" x14ac:dyDescent="0.3">
      <c r="A449" t="s">
        <v>874</v>
      </c>
      <c r="B449" t="s">
        <v>1067</v>
      </c>
      <c r="C449" t="s">
        <v>1048</v>
      </c>
      <c r="D449">
        <v>26403.73</v>
      </c>
      <c r="E449">
        <v>1</v>
      </c>
      <c r="F449">
        <f>SUM(Table1_1[[#This Row],[Price (INR)]]*Table1_1[[#This Row],[Quantity Sold]])</f>
        <v>26403.73</v>
      </c>
      <c r="G449">
        <v>26403.73</v>
      </c>
      <c r="H449" s="1">
        <v>45604</v>
      </c>
      <c r="I449" t="s">
        <v>1049</v>
      </c>
      <c r="J449">
        <v>3.3</v>
      </c>
      <c r="K449" t="str">
        <f>IF(Table1_1[[#This Row],[Quantity Sold]]&gt;=3,"BULK ORDER","REGULAR ORDER")</f>
        <v>REGULAR ORDER</v>
      </c>
      <c r="L449" t="str">
        <f>IF(Table1_1[[#This Row],[Customer Rating]]&gt;=4.5,"EXCELLENT",IF(Table1_1[[#This Row],[Customer Rating]]&lt;=4,"GOOD","AVERAGE"))</f>
        <v>GOOD</v>
      </c>
    </row>
    <row r="450" spans="1:12" x14ac:dyDescent="0.3">
      <c r="A450" t="s">
        <v>898</v>
      </c>
      <c r="B450" t="s">
        <v>1074</v>
      </c>
      <c r="C450" t="s">
        <v>1055</v>
      </c>
      <c r="D450">
        <v>47363.199999999997</v>
      </c>
      <c r="E450">
        <v>3</v>
      </c>
      <c r="F450">
        <f>SUM(Table1_1[[#This Row],[Price (INR)]]*Table1_1[[#This Row],[Quantity Sold]])</f>
        <v>142089.59999999998</v>
      </c>
      <c r="G450">
        <v>142089.60000000001</v>
      </c>
      <c r="H450" s="1">
        <v>45608</v>
      </c>
      <c r="I450" t="s">
        <v>1068</v>
      </c>
      <c r="J450">
        <v>3.3</v>
      </c>
      <c r="K450" t="str">
        <f>IF(Table1_1[[#This Row],[Quantity Sold]]&gt;=3,"BULK ORDER","REGULAR ORDER")</f>
        <v>BULK ORDER</v>
      </c>
      <c r="L450" t="str">
        <f>IF(Table1_1[[#This Row],[Customer Rating]]&gt;=4.5,"EXCELLENT",IF(Table1_1[[#This Row],[Customer Rating]]&lt;=4,"GOOD","AVERAGE"))</f>
        <v>GOOD</v>
      </c>
    </row>
    <row r="451" spans="1:12" x14ac:dyDescent="0.3">
      <c r="A451" t="s">
        <v>929</v>
      </c>
      <c r="B451" t="s">
        <v>1060</v>
      </c>
      <c r="C451" t="s">
        <v>1051</v>
      </c>
      <c r="D451">
        <v>26550.66</v>
      </c>
      <c r="E451">
        <v>4</v>
      </c>
      <c r="F451">
        <f>SUM(Table1_1[[#This Row],[Price (INR)]]*Table1_1[[#This Row],[Quantity Sold]])</f>
        <v>106202.64</v>
      </c>
      <c r="G451">
        <v>106202.64</v>
      </c>
      <c r="H451" s="1">
        <v>45360</v>
      </c>
      <c r="I451" t="s">
        <v>42</v>
      </c>
      <c r="J451">
        <v>3.3</v>
      </c>
      <c r="K451" t="str">
        <f>IF(Table1_1[[#This Row],[Quantity Sold]]&gt;=3,"BULK ORDER","REGULAR ORDER")</f>
        <v>BULK ORDER</v>
      </c>
      <c r="L451" t="str">
        <f>IF(Table1_1[[#This Row],[Customer Rating]]&gt;=4.5,"EXCELLENT",IF(Table1_1[[#This Row],[Customer Rating]]&lt;=4,"GOOD","AVERAGE"))</f>
        <v>GOOD</v>
      </c>
    </row>
    <row r="452" spans="1:12" x14ac:dyDescent="0.3">
      <c r="A452" t="s">
        <v>962</v>
      </c>
      <c r="B452" t="s">
        <v>1077</v>
      </c>
      <c r="C452" t="s">
        <v>1048</v>
      </c>
      <c r="D452">
        <v>13640.1</v>
      </c>
      <c r="E452">
        <v>4</v>
      </c>
      <c r="F452">
        <f>SUM(Table1_1[[#This Row],[Price (INR)]]*Table1_1[[#This Row],[Quantity Sold]])</f>
        <v>54560.4</v>
      </c>
      <c r="G452">
        <v>54560.4</v>
      </c>
      <c r="H452" s="1">
        <v>45392</v>
      </c>
      <c r="I452" t="s">
        <v>1059</v>
      </c>
      <c r="J452">
        <v>3.3</v>
      </c>
      <c r="K452" t="str">
        <f>IF(Table1_1[[#This Row],[Quantity Sold]]&gt;=3,"BULK ORDER","REGULAR ORDER")</f>
        <v>BULK ORDER</v>
      </c>
      <c r="L452" t="str">
        <f>IF(Table1_1[[#This Row],[Customer Rating]]&gt;=4.5,"EXCELLENT",IF(Table1_1[[#This Row],[Customer Rating]]&lt;=4,"GOOD","AVERAGE"))</f>
        <v>GOOD</v>
      </c>
    </row>
    <row r="453" spans="1:12" x14ac:dyDescent="0.3">
      <c r="A453" t="s">
        <v>20</v>
      </c>
      <c r="B453" t="s">
        <v>1054</v>
      </c>
      <c r="C453" t="s">
        <v>1055</v>
      </c>
      <c r="D453">
        <v>32657.81</v>
      </c>
      <c r="E453">
        <v>1</v>
      </c>
      <c r="F453">
        <f>SUM(Table1_1[[#This Row],[Price (INR)]]*Table1_1[[#This Row],[Quantity Sold]])</f>
        <v>32657.81</v>
      </c>
      <c r="G453">
        <v>32657.81</v>
      </c>
      <c r="H453" s="1">
        <v>45604</v>
      </c>
      <c r="I453" t="s">
        <v>1049</v>
      </c>
      <c r="J453">
        <v>3.2</v>
      </c>
      <c r="K453" t="str">
        <f>IF(Table1_1[[#This Row],[Quantity Sold]]&gt;=3,"BULK ORDER","REGULAR ORDER")</f>
        <v>REGULAR ORDER</v>
      </c>
      <c r="L453" t="str">
        <f>IF(Table1_1[[#This Row],[Customer Rating]]&gt;=4.5,"EXCELLENT",IF(Table1_1[[#This Row],[Customer Rating]]&lt;=4,"GOOD","AVERAGE"))</f>
        <v>GOOD</v>
      </c>
    </row>
    <row r="454" spans="1:12" x14ac:dyDescent="0.3">
      <c r="A454" t="s">
        <v>70</v>
      </c>
      <c r="B454" t="s">
        <v>1074</v>
      </c>
      <c r="C454" t="s">
        <v>1055</v>
      </c>
      <c r="D454">
        <v>36980.1</v>
      </c>
      <c r="E454">
        <v>3</v>
      </c>
      <c r="F454">
        <f>SUM(Table1_1[[#This Row],[Price (INR)]]*Table1_1[[#This Row],[Quantity Sold]])</f>
        <v>110940.29999999999</v>
      </c>
      <c r="G454">
        <v>110940.3</v>
      </c>
      <c r="H454" s="1">
        <v>45566</v>
      </c>
      <c r="I454" t="s">
        <v>42</v>
      </c>
      <c r="J454">
        <v>3.2</v>
      </c>
      <c r="K454" t="str">
        <f>IF(Table1_1[[#This Row],[Quantity Sold]]&gt;=3,"BULK ORDER","REGULAR ORDER")</f>
        <v>BULK ORDER</v>
      </c>
      <c r="L454" t="str">
        <f>IF(Table1_1[[#This Row],[Customer Rating]]&gt;=4.5,"EXCELLENT",IF(Table1_1[[#This Row],[Customer Rating]]&lt;=4,"GOOD","AVERAGE"))</f>
        <v>GOOD</v>
      </c>
    </row>
    <row r="455" spans="1:12" x14ac:dyDescent="0.3">
      <c r="A455" t="s">
        <v>124</v>
      </c>
      <c r="B455" t="s">
        <v>1064</v>
      </c>
      <c r="C455" t="s">
        <v>1053</v>
      </c>
      <c r="D455">
        <v>2097.9899999999998</v>
      </c>
      <c r="E455">
        <v>1</v>
      </c>
      <c r="F455">
        <f>SUM(Table1_1[[#This Row],[Price (INR)]]*Table1_1[[#This Row],[Quantity Sold]])</f>
        <v>2097.9899999999998</v>
      </c>
      <c r="G455">
        <v>2097.9899999999998</v>
      </c>
      <c r="H455" s="1">
        <v>45697</v>
      </c>
      <c r="I455" t="s">
        <v>1049</v>
      </c>
      <c r="J455">
        <v>3.2</v>
      </c>
      <c r="K455" t="str">
        <f>IF(Table1_1[[#This Row],[Quantity Sold]]&gt;=3,"BULK ORDER","REGULAR ORDER")</f>
        <v>REGULAR ORDER</v>
      </c>
      <c r="L455" t="str">
        <f>IF(Table1_1[[#This Row],[Customer Rating]]&gt;=4.5,"EXCELLENT",IF(Table1_1[[#This Row],[Customer Rating]]&lt;=4,"GOOD","AVERAGE"))</f>
        <v>GOOD</v>
      </c>
    </row>
    <row r="456" spans="1:12" x14ac:dyDescent="0.3">
      <c r="A456" t="s">
        <v>245</v>
      </c>
      <c r="B456" t="s">
        <v>1061</v>
      </c>
      <c r="C456" t="s">
        <v>1057</v>
      </c>
      <c r="D456">
        <v>12771.91</v>
      </c>
      <c r="E456">
        <v>2</v>
      </c>
      <c r="F456">
        <f>SUM(Table1_1[[#This Row],[Price (INR)]]*Table1_1[[#This Row],[Quantity Sold]])</f>
        <v>25543.82</v>
      </c>
      <c r="G456">
        <v>25543.82</v>
      </c>
      <c r="H456" s="1">
        <v>45484</v>
      </c>
      <c r="I456" t="s">
        <v>1059</v>
      </c>
      <c r="J456">
        <v>3.2</v>
      </c>
      <c r="K456" t="str">
        <f>IF(Table1_1[[#This Row],[Quantity Sold]]&gt;=3,"BULK ORDER","REGULAR ORDER")</f>
        <v>REGULAR ORDER</v>
      </c>
      <c r="L456" t="str">
        <f>IF(Table1_1[[#This Row],[Customer Rating]]&gt;=4.5,"EXCELLENT",IF(Table1_1[[#This Row],[Customer Rating]]&lt;=4,"GOOD","AVERAGE"))</f>
        <v>GOOD</v>
      </c>
    </row>
    <row r="457" spans="1:12" x14ac:dyDescent="0.3">
      <c r="A457" t="s">
        <v>323</v>
      </c>
      <c r="B457" t="s">
        <v>1063</v>
      </c>
      <c r="C457" t="s">
        <v>1055</v>
      </c>
      <c r="D457">
        <v>37684.28</v>
      </c>
      <c r="E457">
        <v>4</v>
      </c>
      <c r="F457">
        <f>SUM(Table1_1[[#This Row],[Price (INR)]]*Table1_1[[#This Row],[Quantity Sold]])</f>
        <v>150737.12</v>
      </c>
      <c r="G457">
        <v>150737.12</v>
      </c>
      <c r="H457" s="1">
        <v>45384</v>
      </c>
      <c r="I457" t="s">
        <v>42</v>
      </c>
      <c r="J457">
        <v>3.2</v>
      </c>
      <c r="K457" t="str">
        <f>IF(Table1_1[[#This Row],[Quantity Sold]]&gt;=3,"BULK ORDER","REGULAR ORDER")</f>
        <v>BULK ORDER</v>
      </c>
      <c r="L457" t="str">
        <f>IF(Table1_1[[#This Row],[Customer Rating]]&gt;=4.5,"EXCELLENT",IF(Table1_1[[#This Row],[Customer Rating]]&lt;=4,"GOOD","AVERAGE"))</f>
        <v>GOOD</v>
      </c>
    </row>
    <row r="458" spans="1:12" x14ac:dyDescent="0.3">
      <c r="A458" t="s">
        <v>365</v>
      </c>
      <c r="B458" t="s">
        <v>1060</v>
      </c>
      <c r="C458" t="s">
        <v>1051</v>
      </c>
      <c r="D458">
        <v>38592.49</v>
      </c>
      <c r="E458">
        <v>5</v>
      </c>
      <c r="F458">
        <f>SUM(Table1_1[[#This Row],[Price (INR)]]*Table1_1[[#This Row],[Quantity Sold]])</f>
        <v>192962.44999999998</v>
      </c>
      <c r="G458">
        <v>192962.45</v>
      </c>
      <c r="H458" s="1">
        <v>45578</v>
      </c>
      <c r="I458" t="s">
        <v>1059</v>
      </c>
      <c r="J458">
        <v>3.2</v>
      </c>
      <c r="K458" t="str">
        <f>IF(Table1_1[[#This Row],[Quantity Sold]]&gt;=3,"BULK ORDER","REGULAR ORDER")</f>
        <v>BULK ORDER</v>
      </c>
      <c r="L458" t="str">
        <f>IF(Table1_1[[#This Row],[Customer Rating]]&gt;=4.5,"EXCELLENT",IF(Table1_1[[#This Row],[Customer Rating]]&lt;=4,"GOOD","AVERAGE"))</f>
        <v>GOOD</v>
      </c>
    </row>
    <row r="459" spans="1:12" x14ac:dyDescent="0.3">
      <c r="A459" t="s">
        <v>402</v>
      </c>
      <c r="B459" t="s">
        <v>1074</v>
      </c>
      <c r="C459" t="s">
        <v>1055</v>
      </c>
      <c r="D459">
        <v>19879.400000000001</v>
      </c>
      <c r="E459">
        <v>4</v>
      </c>
      <c r="F459">
        <f>SUM(Table1_1[[#This Row],[Price (INR)]]*Table1_1[[#This Row],[Quantity Sold]])</f>
        <v>79517.600000000006</v>
      </c>
      <c r="G459">
        <v>79517.600000000006</v>
      </c>
      <c r="H459" s="1">
        <v>45366</v>
      </c>
      <c r="I459" t="s">
        <v>1049</v>
      </c>
      <c r="J459">
        <v>3.2</v>
      </c>
      <c r="K459" t="str">
        <f>IF(Table1_1[[#This Row],[Quantity Sold]]&gt;=3,"BULK ORDER","REGULAR ORDER")</f>
        <v>BULK ORDER</v>
      </c>
      <c r="L459" t="str">
        <f>IF(Table1_1[[#This Row],[Customer Rating]]&gt;=4.5,"EXCELLENT",IF(Table1_1[[#This Row],[Customer Rating]]&lt;=4,"GOOD","AVERAGE"))</f>
        <v>GOOD</v>
      </c>
    </row>
    <row r="460" spans="1:12" x14ac:dyDescent="0.3">
      <c r="A460" t="s">
        <v>431</v>
      </c>
      <c r="B460" t="s">
        <v>1076</v>
      </c>
      <c r="C460" t="s">
        <v>1055</v>
      </c>
      <c r="D460">
        <v>27481.15</v>
      </c>
      <c r="E460">
        <v>2</v>
      </c>
      <c r="F460">
        <f>SUM(Table1_1[[#This Row],[Price (INR)]]*Table1_1[[#This Row],[Quantity Sold]])</f>
        <v>54962.3</v>
      </c>
      <c r="G460">
        <v>54962.3</v>
      </c>
      <c r="H460" s="1">
        <v>45592</v>
      </c>
      <c r="I460" t="s">
        <v>42</v>
      </c>
      <c r="J460">
        <v>3.2</v>
      </c>
      <c r="K460" t="str">
        <f>IF(Table1_1[[#This Row],[Quantity Sold]]&gt;=3,"BULK ORDER","REGULAR ORDER")</f>
        <v>REGULAR ORDER</v>
      </c>
      <c r="L460" t="str">
        <f>IF(Table1_1[[#This Row],[Customer Rating]]&gt;=4.5,"EXCELLENT",IF(Table1_1[[#This Row],[Customer Rating]]&lt;=4,"GOOD","AVERAGE"))</f>
        <v>GOOD</v>
      </c>
    </row>
    <row r="461" spans="1:12" x14ac:dyDescent="0.3">
      <c r="A461" t="s">
        <v>437</v>
      </c>
      <c r="B461" t="s">
        <v>1060</v>
      </c>
      <c r="C461" t="s">
        <v>1051</v>
      </c>
      <c r="D461">
        <v>12046.9</v>
      </c>
      <c r="E461">
        <v>3</v>
      </c>
      <c r="F461">
        <f>SUM(Table1_1[[#This Row],[Price (INR)]]*Table1_1[[#This Row],[Quantity Sold]])</f>
        <v>36140.699999999997</v>
      </c>
      <c r="G461">
        <v>36140.699999999997</v>
      </c>
      <c r="H461" s="1">
        <v>45662</v>
      </c>
      <c r="I461" t="s">
        <v>42</v>
      </c>
      <c r="J461">
        <v>3.2</v>
      </c>
      <c r="K461" t="str">
        <f>IF(Table1_1[[#This Row],[Quantity Sold]]&gt;=3,"BULK ORDER","REGULAR ORDER")</f>
        <v>BULK ORDER</v>
      </c>
      <c r="L461" t="str">
        <f>IF(Table1_1[[#This Row],[Customer Rating]]&gt;=4.5,"EXCELLENT",IF(Table1_1[[#This Row],[Customer Rating]]&lt;=4,"GOOD","AVERAGE"))</f>
        <v>GOOD</v>
      </c>
    </row>
    <row r="462" spans="1:12" x14ac:dyDescent="0.3">
      <c r="A462" t="s">
        <v>473</v>
      </c>
      <c r="B462" t="s">
        <v>1067</v>
      </c>
      <c r="C462" t="s">
        <v>1048</v>
      </c>
      <c r="D462">
        <v>24973.13</v>
      </c>
      <c r="E462">
        <v>3</v>
      </c>
      <c r="F462">
        <f>SUM(Table1_1[[#This Row],[Price (INR)]]*Table1_1[[#This Row],[Quantity Sold]])</f>
        <v>74919.39</v>
      </c>
      <c r="G462">
        <v>74919.39</v>
      </c>
      <c r="H462" s="1">
        <v>45634</v>
      </c>
      <c r="I462" t="s">
        <v>1049</v>
      </c>
      <c r="J462">
        <v>3.2</v>
      </c>
      <c r="K462" t="str">
        <f>IF(Table1_1[[#This Row],[Quantity Sold]]&gt;=3,"BULK ORDER","REGULAR ORDER")</f>
        <v>BULK ORDER</v>
      </c>
      <c r="L462" t="str">
        <f>IF(Table1_1[[#This Row],[Customer Rating]]&gt;=4.5,"EXCELLENT",IF(Table1_1[[#This Row],[Customer Rating]]&lt;=4,"GOOD","AVERAGE"))</f>
        <v>GOOD</v>
      </c>
    </row>
    <row r="463" spans="1:12" x14ac:dyDescent="0.3">
      <c r="A463" t="s">
        <v>494</v>
      </c>
      <c r="B463" t="s">
        <v>1063</v>
      </c>
      <c r="C463" t="s">
        <v>1055</v>
      </c>
      <c r="D463">
        <v>42946.11</v>
      </c>
      <c r="E463">
        <v>4</v>
      </c>
      <c r="F463">
        <f>SUM(Table1_1[[#This Row],[Price (INR)]]*Table1_1[[#This Row],[Quantity Sold]])</f>
        <v>171784.44</v>
      </c>
      <c r="G463">
        <v>171784.44</v>
      </c>
      <c r="H463" s="1">
        <v>45535</v>
      </c>
      <c r="I463" t="s">
        <v>16</v>
      </c>
      <c r="J463">
        <v>3.2</v>
      </c>
      <c r="K463" t="str">
        <f>IF(Table1_1[[#This Row],[Quantity Sold]]&gt;=3,"BULK ORDER","REGULAR ORDER")</f>
        <v>BULK ORDER</v>
      </c>
      <c r="L463" t="str">
        <f>IF(Table1_1[[#This Row],[Customer Rating]]&gt;=4.5,"EXCELLENT",IF(Table1_1[[#This Row],[Customer Rating]]&lt;=4,"GOOD","AVERAGE"))</f>
        <v>GOOD</v>
      </c>
    </row>
    <row r="464" spans="1:12" x14ac:dyDescent="0.3">
      <c r="A464" t="s">
        <v>587</v>
      </c>
      <c r="B464" t="s">
        <v>1061</v>
      </c>
      <c r="C464" t="s">
        <v>1057</v>
      </c>
      <c r="D464">
        <v>48128.02</v>
      </c>
      <c r="E464">
        <v>4</v>
      </c>
      <c r="F464">
        <f>SUM(Table1_1[[#This Row],[Price (INR)]]*Table1_1[[#This Row],[Quantity Sold]])</f>
        <v>192512.08</v>
      </c>
      <c r="G464">
        <v>192512.08</v>
      </c>
      <c r="H464" s="1">
        <v>45425</v>
      </c>
      <c r="I464" t="s">
        <v>1059</v>
      </c>
      <c r="J464">
        <v>3.2</v>
      </c>
      <c r="K464" t="str">
        <f>IF(Table1_1[[#This Row],[Quantity Sold]]&gt;=3,"BULK ORDER","REGULAR ORDER")</f>
        <v>BULK ORDER</v>
      </c>
      <c r="L464" t="str">
        <f>IF(Table1_1[[#This Row],[Customer Rating]]&gt;=4.5,"EXCELLENT",IF(Table1_1[[#This Row],[Customer Rating]]&lt;=4,"GOOD","AVERAGE"))</f>
        <v>GOOD</v>
      </c>
    </row>
    <row r="465" spans="1:12" x14ac:dyDescent="0.3">
      <c r="A465" t="s">
        <v>665</v>
      </c>
      <c r="B465" t="s">
        <v>1060</v>
      </c>
      <c r="C465" t="s">
        <v>1051</v>
      </c>
      <c r="D465">
        <v>5369.5</v>
      </c>
      <c r="E465">
        <v>1</v>
      </c>
      <c r="F465">
        <f>SUM(Table1_1[[#This Row],[Price (INR)]]*Table1_1[[#This Row],[Quantity Sold]])</f>
        <v>5369.5</v>
      </c>
      <c r="G465">
        <v>5369.5</v>
      </c>
      <c r="H465" s="1">
        <v>45574</v>
      </c>
      <c r="I465" t="s">
        <v>42</v>
      </c>
      <c r="J465">
        <v>3.2</v>
      </c>
      <c r="K465" t="str">
        <f>IF(Table1_1[[#This Row],[Quantity Sold]]&gt;=3,"BULK ORDER","REGULAR ORDER")</f>
        <v>REGULAR ORDER</v>
      </c>
      <c r="L465" t="str">
        <f>IF(Table1_1[[#This Row],[Customer Rating]]&gt;=4.5,"EXCELLENT",IF(Table1_1[[#This Row],[Customer Rating]]&lt;=4,"GOOD","AVERAGE"))</f>
        <v>GOOD</v>
      </c>
    </row>
    <row r="466" spans="1:12" x14ac:dyDescent="0.3">
      <c r="A466" t="s">
        <v>675</v>
      </c>
      <c r="B466" t="s">
        <v>1075</v>
      </c>
      <c r="C466" t="s">
        <v>1053</v>
      </c>
      <c r="D466">
        <v>22564.13</v>
      </c>
      <c r="E466">
        <v>1</v>
      </c>
      <c r="F466">
        <f>SUM(Table1_1[[#This Row],[Price (INR)]]*Table1_1[[#This Row],[Quantity Sold]])</f>
        <v>22564.13</v>
      </c>
      <c r="G466">
        <v>22564.13</v>
      </c>
      <c r="H466" s="1">
        <v>45575</v>
      </c>
      <c r="I466" t="s">
        <v>1059</v>
      </c>
      <c r="J466">
        <v>3.2</v>
      </c>
      <c r="K466" t="str">
        <f>IF(Table1_1[[#This Row],[Quantity Sold]]&gt;=3,"BULK ORDER","REGULAR ORDER")</f>
        <v>REGULAR ORDER</v>
      </c>
      <c r="L466" t="str">
        <f>IF(Table1_1[[#This Row],[Customer Rating]]&gt;=4.5,"EXCELLENT",IF(Table1_1[[#This Row],[Customer Rating]]&lt;=4,"GOOD","AVERAGE"))</f>
        <v>GOOD</v>
      </c>
    </row>
    <row r="467" spans="1:12" x14ac:dyDescent="0.3">
      <c r="A467" t="s">
        <v>734</v>
      </c>
      <c r="B467" t="s">
        <v>1050</v>
      </c>
      <c r="C467" t="s">
        <v>1051</v>
      </c>
      <c r="D467">
        <v>23320.94</v>
      </c>
      <c r="E467">
        <v>2</v>
      </c>
      <c r="F467">
        <f>SUM(Table1_1[[#This Row],[Price (INR)]]*Table1_1[[#This Row],[Quantity Sold]])</f>
        <v>46641.88</v>
      </c>
      <c r="G467">
        <v>46641.88</v>
      </c>
      <c r="H467" s="1">
        <v>45414</v>
      </c>
      <c r="I467" t="s">
        <v>1059</v>
      </c>
      <c r="J467">
        <v>3.2</v>
      </c>
      <c r="K467" t="str">
        <f>IF(Table1_1[[#This Row],[Quantity Sold]]&gt;=3,"BULK ORDER","REGULAR ORDER")</f>
        <v>REGULAR ORDER</v>
      </c>
      <c r="L467" t="str">
        <f>IF(Table1_1[[#This Row],[Customer Rating]]&gt;=4.5,"EXCELLENT",IF(Table1_1[[#This Row],[Customer Rating]]&lt;=4,"GOOD","AVERAGE"))</f>
        <v>GOOD</v>
      </c>
    </row>
    <row r="468" spans="1:12" x14ac:dyDescent="0.3">
      <c r="A468" t="s">
        <v>791</v>
      </c>
      <c r="B468" t="s">
        <v>1060</v>
      </c>
      <c r="C468" t="s">
        <v>1051</v>
      </c>
      <c r="D468">
        <v>36918.199999999997</v>
      </c>
      <c r="E468">
        <v>4</v>
      </c>
      <c r="F468">
        <f>SUM(Table1_1[[#This Row],[Price (INR)]]*Table1_1[[#This Row],[Quantity Sold]])</f>
        <v>147672.79999999999</v>
      </c>
      <c r="G468">
        <v>147672.79999999999</v>
      </c>
      <c r="H468" s="1">
        <v>45350</v>
      </c>
      <c r="I468" t="s">
        <v>1059</v>
      </c>
      <c r="J468">
        <v>3.2</v>
      </c>
      <c r="K468" t="str">
        <f>IF(Table1_1[[#This Row],[Quantity Sold]]&gt;=3,"BULK ORDER","REGULAR ORDER")</f>
        <v>BULK ORDER</v>
      </c>
      <c r="L468" t="str">
        <f>IF(Table1_1[[#This Row],[Customer Rating]]&gt;=4.5,"EXCELLENT",IF(Table1_1[[#This Row],[Customer Rating]]&lt;=4,"GOOD","AVERAGE"))</f>
        <v>GOOD</v>
      </c>
    </row>
    <row r="469" spans="1:12" x14ac:dyDescent="0.3">
      <c r="A469" t="s">
        <v>864</v>
      </c>
      <c r="B469" t="s">
        <v>1056</v>
      </c>
      <c r="C469" t="s">
        <v>1057</v>
      </c>
      <c r="D469">
        <v>35777.51</v>
      </c>
      <c r="E469">
        <v>1</v>
      </c>
      <c r="F469">
        <f>SUM(Table1_1[[#This Row],[Price (INR)]]*Table1_1[[#This Row],[Quantity Sold]])</f>
        <v>35777.51</v>
      </c>
      <c r="G469">
        <v>35777.51</v>
      </c>
      <c r="H469" s="1">
        <v>45649</v>
      </c>
      <c r="I469" t="s">
        <v>1071</v>
      </c>
      <c r="J469">
        <v>3.2</v>
      </c>
      <c r="K469" t="str">
        <f>IF(Table1_1[[#This Row],[Quantity Sold]]&gt;=3,"BULK ORDER","REGULAR ORDER")</f>
        <v>REGULAR ORDER</v>
      </c>
      <c r="L469" t="str">
        <f>IF(Table1_1[[#This Row],[Customer Rating]]&gt;=4.5,"EXCELLENT",IF(Table1_1[[#This Row],[Customer Rating]]&lt;=4,"GOOD","AVERAGE"))</f>
        <v>GOOD</v>
      </c>
    </row>
    <row r="470" spans="1:12" x14ac:dyDescent="0.3">
      <c r="A470" t="s">
        <v>887</v>
      </c>
      <c r="B470" t="s">
        <v>1058</v>
      </c>
      <c r="C470" t="s">
        <v>1057</v>
      </c>
      <c r="D470">
        <v>30519.71</v>
      </c>
      <c r="E470">
        <v>1</v>
      </c>
      <c r="F470">
        <f>SUM(Table1_1[[#This Row],[Price (INR)]]*Table1_1[[#This Row],[Quantity Sold]])</f>
        <v>30519.71</v>
      </c>
      <c r="G470">
        <v>30519.71</v>
      </c>
      <c r="H470" s="1">
        <v>45335</v>
      </c>
      <c r="I470" t="s">
        <v>1071</v>
      </c>
      <c r="J470">
        <v>3.2</v>
      </c>
      <c r="K470" t="str">
        <f>IF(Table1_1[[#This Row],[Quantity Sold]]&gt;=3,"BULK ORDER","REGULAR ORDER")</f>
        <v>REGULAR ORDER</v>
      </c>
      <c r="L470" t="str">
        <f>IF(Table1_1[[#This Row],[Customer Rating]]&gt;=4.5,"EXCELLENT",IF(Table1_1[[#This Row],[Customer Rating]]&lt;=4,"GOOD","AVERAGE"))</f>
        <v>GOOD</v>
      </c>
    </row>
    <row r="471" spans="1:12" x14ac:dyDescent="0.3">
      <c r="A471" t="s">
        <v>888</v>
      </c>
      <c r="B471" t="s">
        <v>1079</v>
      </c>
      <c r="C471" t="s">
        <v>1057</v>
      </c>
      <c r="D471">
        <v>999.54</v>
      </c>
      <c r="E471">
        <v>3</v>
      </c>
      <c r="F471">
        <f>SUM(Table1_1[[#This Row],[Price (INR)]]*Table1_1[[#This Row],[Quantity Sold]])</f>
        <v>2998.62</v>
      </c>
      <c r="G471">
        <v>2998.62</v>
      </c>
      <c r="H471" s="1">
        <v>45660</v>
      </c>
      <c r="I471" t="s">
        <v>1049</v>
      </c>
      <c r="J471">
        <v>3.2</v>
      </c>
      <c r="K471" t="str">
        <f>IF(Table1_1[[#This Row],[Quantity Sold]]&gt;=3,"BULK ORDER","REGULAR ORDER")</f>
        <v>BULK ORDER</v>
      </c>
      <c r="L471" t="str">
        <f>IF(Table1_1[[#This Row],[Customer Rating]]&gt;=4.5,"EXCELLENT",IF(Table1_1[[#This Row],[Customer Rating]]&lt;=4,"GOOD","AVERAGE"))</f>
        <v>GOOD</v>
      </c>
    </row>
    <row r="472" spans="1:12" x14ac:dyDescent="0.3">
      <c r="A472" t="s">
        <v>917</v>
      </c>
      <c r="B472" t="s">
        <v>1070</v>
      </c>
      <c r="C472" t="s">
        <v>1051</v>
      </c>
      <c r="D472">
        <v>16938.75</v>
      </c>
      <c r="E472">
        <v>5</v>
      </c>
      <c r="F472">
        <f>SUM(Table1_1[[#This Row],[Price (INR)]]*Table1_1[[#This Row],[Quantity Sold]])</f>
        <v>84693.75</v>
      </c>
      <c r="G472">
        <v>84693.75</v>
      </c>
      <c r="H472" s="1">
        <v>45351</v>
      </c>
      <c r="I472" t="s">
        <v>1049</v>
      </c>
      <c r="J472">
        <v>3.2</v>
      </c>
      <c r="K472" t="str">
        <f>IF(Table1_1[[#This Row],[Quantity Sold]]&gt;=3,"BULK ORDER","REGULAR ORDER")</f>
        <v>BULK ORDER</v>
      </c>
      <c r="L472" t="str">
        <f>IF(Table1_1[[#This Row],[Customer Rating]]&gt;=4.5,"EXCELLENT",IF(Table1_1[[#This Row],[Customer Rating]]&lt;=4,"GOOD","AVERAGE"))</f>
        <v>GOOD</v>
      </c>
    </row>
    <row r="473" spans="1:12" x14ac:dyDescent="0.3">
      <c r="A473" t="s">
        <v>918</v>
      </c>
      <c r="B473" t="s">
        <v>1080</v>
      </c>
      <c r="C473" t="s">
        <v>1051</v>
      </c>
      <c r="D473">
        <v>2415.3200000000002</v>
      </c>
      <c r="E473">
        <v>5</v>
      </c>
      <c r="F473">
        <f>SUM(Table1_1[[#This Row],[Price (INR)]]*Table1_1[[#This Row],[Quantity Sold]])</f>
        <v>12076.6</v>
      </c>
      <c r="G473">
        <v>12076.6</v>
      </c>
      <c r="H473" s="1">
        <v>45559</v>
      </c>
      <c r="I473" t="s">
        <v>42</v>
      </c>
      <c r="J473">
        <v>3.2</v>
      </c>
      <c r="K473" t="str">
        <f>IF(Table1_1[[#This Row],[Quantity Sold]]&gt;=3,"BULK ORDER","REGULAR ORDER")</f>
        <v>BULK ORDER</v>
      </c>
      <c r="L473" t="str">
        <f>IF(Table1_1[[#This Row],[Customer Rating]]&gt;=4.5,"EXCELLENT",IF(Table1_1[[#This Row],[Customer Rating]]&lt;=4,"GOOD","AVERAGE"))</f>
        <v>GOOD</v>
      </c>
    </row>
    <row r="474" spans="1:12" x14ac:dyDescent="0.3">
      <c r="A474" t="s">
        <v>937</v>
      </c>
      <c r="B474" t="s">
        <v>1077</v>
      </c>
      <c r="C474" t="s">
        <v>1048</v>
      </c>
      <c r="D474">
        <v>11134.83</v>
      </c>
      <c r="E474">
        <v>5</v>
      </c>
      <c r="F474">
        <f>SUM(Table1_1[[#This Row],[Price (INR)]]*Table1_1[[#This Row],[Quantity Sold]])</f>
        <v>55674.15</v>
      </c>
      <c r="G474">
        <v>55674.15</v>
      </c>
      <c r="H474" s="1">
        <v>45574</v>
      </c>
      <c r="I474" t="s">
        <v>1071</v>
      </c>
      <c r="J474">
        <v>3.2</v>
      </c>
      <c r="K474" t="str">
        <f>IF(Table1_1[[#This Row],[Quantity Sold]]&gt;=3,"BULK ORDER","REGULAR ORDER")</f>
        <v>BULK ORDER</v>
      </c>
      <c r="L474" t="str">
        <f>IF(Table1_1[[#This Row],[Customer Rating]]&gt;=4.5,"EXCELLENT",IF(Table1_1[[#This Row],[Customer Rating]]&lt;=4,"GOOD","AVERAGE"))</f>
        <v>GOOD</v>
      </c>
    </row>
    <row r="475" spans="1:12" x14ac:dyDescent="0.3">
      <c r="A475" t="s">
        <v>954</v>
      </c>
      <c r="B475" t="s">
        <v>1075</v>
      </c>
      <c r="C475" t="s">
        <v>1053</v>
      </c>
      <c r="D475">
        <v>41402.76</v>
      </c>
      <c r="E475">
        <v>1</v>
      </c>
      <c r="F475">
        <f>SUM(Table1_1[[#This Row],[Price (INR)]]*Table1_1[[#This Row],[Quantity Sold]])</f>
        <v>41402.76</v>
      </c>
      <c r="G475">
        <v>41402.76</v>
      </c>
      <c r="H475" s="1">
        <v>45483</v>
      </c>
      <c r="I475" t="s">
        <v>1068</v>
      </c>
      <c r="J475">
        <v>3.2</v>
      </c>
      <c r="K475" t="str">
        <f>IF(Table1_1[[#This Row],[Quantity Sold]]&gt;=3,"BULK ORDER","REGULAR ORDER")</f>
        <v>REGULAR ORDER</v>
      </c>
      <c r="L475" t="str">
        <f>IF(Table1_1[[#This Row],[Customer Rating]]&gt;=4.5,"EXCELLENT",IF(Table1_1[[#This Row],[Customer Rating]]&lt;=4,"GOOD","AVERAGE"))</f>
        <v>GOOD</v>
      </c>
    </row>
    <row r="476" spans="1:12" x14ac:dyDescent="0.3">
      <c r="A476" t="s">
        <v>1043</v>
      </c>
      <c r="B476" t="s">
        <v>1056</v>
      </c>
      <c r="C476" t="s">
        <v>1057</v>
      </c>
      <c r="D476">
        <v>34741.79</v>
      </c>
      <c r="E476">
        <v>4</v>
      </c>
      <c r="F476">
        <f>SUM(Table1_1[[#This Row],[Price (INR)]]*Table1_1[[#This Row],[Quantity Sold]])</f>
        <v>138967.16</v>
      </c>
      <c r="G476">
        <v>138967.16</v>
      </c>
      <c r="H476" s="1">
        <v>45567</v>
      </c>
      <c r="I476" t="s">
        <v>1071</v>
      </c>
      <c r="J476">
        <v>3.2</v>
      </c>
      <c r="K476" t="str">
        <f>IF(Table1_1[[#This Row],[Quantity Sold]]&gt;=3,"BULK ORDER","REGULAR ORDER")</f>
        <v>BULK ORDER</v>
      </c>
      <c r="L476" t="str">
        <f>IF(Table1_1[[#This Row],[Customer Rating]]&gt;=4.5,"EXCELLENT",IF(Table1_1[[#This Row],[Customer Rating]]&lt;=4,"GOOD","AVERAGE"))</f>
        <v>GOOD</v>
      </c>
    </row>
    <row r="477" spans="1:12" x14ac:dyDescent="0.3">
      <c r="A477" t="s">
        <v>23</v>
      </c>
      <c r="B477" t="s">
        <v>1056</v>
      </c>
      <c r="C477" t="s">
        <v>1057</v>
      </c>
      <c r="D477">
        <v>26590.080000000002</v>
      </c>
      <c r="E477">
        <v>3</v>
      </c>
      <c r="F477">
        <f>SUM(Table1_1[[#This Row],[Price (INR)]]*Table1_1[[#This Row],[Quantity Sold]])</f>
        <v>79770.240000000005</v>
      </c>
      <c r="G477">
        <v>79770.240000000005</v>
      </c>
      <c r="H477" s="1">
        <v>45653</v>
      </c>
      <c r="I477" t="s">
        <v>16</v>
      </c>
      <c r="J477">
        <v>3.1</v>
      </c>
      <c r="K477" t="str">
        <f>IF(Table1_1[[#This Row],[Quantity Sold]]&gt;=3,"BULK ORDER","REGULAR ORDER")</f>
        <v>BULK ORDER</v>
      </c>
      <c r="L477" t="str">
        <f>IF(Table1_1[[#This Row],[Customer Rating]]&gt;=4.5,"EXCELLENT",IF(Table1_1[[#This Row],[Customer Rating]]&lt;=4,"GOOD","AVERAGE"))</f>
        <v>GOOD</v>
      </c>
    </row>
    <row r="478" spans="1:12" x14ac:dyDescent="0.3">
      <c r="A478" t="s">
        <v>72</v>
      </c>
      <c r="B478" t="s">
        <v>1061</v>
      </c>
      <c r="C478" t="s">
        <v>1057</v>
      </c>
      <c r="D478">
        <v>38144.67</v>
      </c>
      <c r="E478">
        <v>2</v>
      </c>
      <c r="F478">
        <f>SUM(Table1_1[[#This Row],[Price (INR)]]*Table1_1[[#This Row],[Quantity Sold]])</f>
        <v>76289.34</v>
      </c>
      <c r="G478">
        <v>76289.34</v>
      </c>
      <c r="H478" s="1">
        <v>45488</v>
      </c>
      <c r="I478" t="s">
        <v>1071</v>
      </c>
      <c r="J478">
        <v>3.1</v>
      </c>
      <c r="K478" t="str">
        <f>IF(Table1_1[[#This Row],[Quantity Sold]]&gt;=3,"BULK ORDER","REGULAR ORDER")</f>
        <v>REGULAR ORDER</v>
      </c>
      <c r="L478" t="str">
        <f>IF(Table1_1[[#This Row],[Customer Rating]]&gt;=4.5,"EXCELLENT",IF(Table1_1[[#This Row],[Customer Rating]]&lt;=4,"GOOD","AVERAGE"))</f>
        <v>GOOD</v>
      </c>
    </row>
    <row r="479" spans="1:12" x14ac:dyDescent="0.3">
      <c r="A479" t="s">
        <v>103</v>
      </c>
      <c r="B479" t="s">
        <v>1069</v>
      </c>
      <c r="C479" t="s">
        <v>1048</v>
      </c>
      <c r="D479">
        <v>31627</v>
      </c>
      <c r="E479">
        <v>5</v>
      </c>
      <c r="F479">
        <f>SUM(Table1_1[[#This Row],[Price (INR)]]*Table1_1[[#This Row],[Quantity Sold]])</f>
        <v>158135</v>
      </c>
      <c r="G479">
        <v>158135</v>
      </c>
      <c r="H479" s="1">
        <v>45501</v>
      </c>
      <c r="I479" t="s">
        <v>1049</v>
      </c>
      <c r="J479">
        <v>3.1</v>
      </c>
      <c r="K479" t="str">
        <f>IF(Table1_1[[#This Row],[Quantity Sold]]&gt;=3,"BULK ORDER","REGULAR ORDER")</f>
        <v>BULK ORDER</v>
      </c>
      <c r="L479" t="str">
        <f>IF(Table1_1[[#This Row],[Customer Rating]]&gt;=4.5,"EXCELLENT",IF(Table1_1[[#This Row],[Customer Rating]]&lt;=4,"GOOD","AVERAGE"))</f>
        <v>GOOD</v>
      </c>
    </row>
    <row r="480" spans="1:12" x14ac:dyDescent="0.3">
      <c r="A480" t="s">
        <v>141</v>
      </c>
      <c r="B480" t="s">
        <v>1060</v>
      </c>
      <c r="C480" t="s">
        <v>1051</v>
      </c>
      <c r="D480">
        <v>32348.92</v>
      </c>
      <c r="E480">
        <v>2</v>
      </c>
      <c r="F480">
        <f>SUM(Table1_1[[#This Row],[Price (INR)]]*Table1_1[[#This Row],[Quantity Sold]])</f>
        <v>64697.84</v>
      </c>
      <c r="G480">
        <v>64697.84</v>
      </c>
      <c r="H480" s="1">
        <v>45690</v>
      </c>
      <c r="I480" t="s">
        <v>1068</v>
      </c>
      <c r="J480">
        <v>3.1</v>
      </c>
      <c r="K480" t="str">
        <f>IF(Table1_1[[#This Row],[Quantity Sold]]&gt;=3,"BULK ORDER","REGULAR ORDER")</f>
        <v>REGULAR ORDER</v>
      </c>
      <c r="L480" t="str">
        <f>IF(Table1_1[[#This Row],[Customer Rating]]&gt;=4.5,"EXCELLENT",IF(Table1_1[[#This Row],[Customer Rating]]&lt;=4,"GOOD","AVERAGE"))</f>
        <v>GOOD</v>
      </c>
    </row>
    <row r="481" spans="1:12" x14ac:dyDescent="0.3">
      <c r="A481" t="s">
        <v>180</v>
      </c>
      <c r="B481" t="s">
        <v>1062</v>
      </c>
      <c r="C481" t="s">
        <v>1051</v>
      </c>
      <c r="D481">
        <v>14043.16</v>
      </c>
      <c r="E481">
        <v>4</v>
      </c>
      <c r="F481">
        <f>SUM(Table1_1[[#This Row],[Price (INR)]]*Table1_1[[#This Row],[Quantity Sold]])</f>
        <v>56172.639999999999</v>
      </c>
      <c r="G481">
        <v>56172.639999999999</v>
      </c>
      <c r="H481" s="1">
        <v>45444</v>
      </c>
      <c r="I481" t="s">
        <v>1059</v>
      </c>
      <c r="J481">
        <v>3.1</v>
      </c>
      <c r="K481" t="str">
        <f>IF(Table1_1[[#This Row],[Quantity Sold]]&gt;=3,"BULK ORDER","REGULAR ORDER")</f>
        <v>BULK ORDER</v>
      </c>
      <c r="L481" t="str">
        <f>IF(Table1_1[[#This Row],[Customer Rating]]&gt;=4.5,"EXCELLENT",IF(Table1_1[[#This Row],[Customer Rating]]&lt;=4,"GOOD","AVERAGE"))</f>
        <v>GOOD</v>
      </c>
    </row>
    <row r="482" spans="1:12" x14ac:dyDescent="0.3">
      <c r="A482" t="s">
        <v>187</v>
      </c>
      <c r="B482" t="s">
        <v>1061</v>
      </c>
      <c r="C482" t="s">
        <v>1057</v>
      </c>
      <c r="D482">
        <v>8383.86</v>
      </c>
      <c r="E482">
        <v>2</v>
      </c>
      <c r="F482">
        <f>SUM(Table1_1[[#This Row],[Price (INR)]]*Table1_1[[#This Row],[Quantity Sold]])</f>
        <v>16767.72</v>
      </c>
      <c r="G482">
        <v>16767.72</v>
      </c>
      <c r="H482" s="1">
        <v>45554</v>
      </c>
      <c r="I482" t="s">
        <v>1059</v>
      </c>
      <c r="J482">
        <v>3.1</v>
      </c>
      <c r="K482" t="str">
        <f>IF(Table1_1[[#This Row],[Quantity Sold]]&gt;=3,"BULK ORDER","REGULAR ORDER")</f>
        <v>REGULAR ORDER</v>
      </c>
      <c r="L482" t="str">
        <f>IF(Table1_1[[#This Row],[Customer Rating]]&gt;=4.5,"EXCELLENT",IF(Table1_1[[#This Row],[Customer Rating]]&lt;=4,"GOOD","AVERAGE"))</f>
        <v>GOOD</v>
      </c>
    </row>
    <row r="483" spans="1:12" x14ac:dyDescent="0.3">
      <c r="A483" t="s">
        <v>190</v>
      </c>
      <c r="B483" t="s">
        <v>1078</v>
      </c>
      <c r="C483" t="s">
        <v>1048</v>
      </c>
      <c r="D483">
        <v>45182.27</v>
      </c>
      <c r="E483">
        <v>5</v>
      </c>
      <c r="F483">
        <f>SUM(Table1_1[[#This Row],[Price (INR)]]*Table1_1[[#This Row],[Quantity Sold]])</f>
        <v>225911.34999999998</v>
      </c>
      <c r="G483">
        <v>225911.35</v>
      </c>
      <c r="H483" s="1">
        <v>45381</v>
      </c>
      <c r="I483" t="s">
        <v>1049</v>
      </c>
      <c r="J483">
        <v>3.1</v>
      </c>
      <c r="K483" t="str">
        <f>IF(Table1_1[[#This Row],[Quantity Sold]]&gt;=3,"BULK ORDER","REGULAR ORDER")</f>
        <v>BULK ORDER</v>
      </c>
      <c r="L483" t="str">
        <f>IF(Table1_1[[#This Row],[Customer Rating]]&gt;=4.5,"EXCELLENT",IF(Table1_1[[#This Row],[Customer Rating]]&lt;=4,"GOOD","AVERAGE"))</f>
        <v>GOOD</v>
      </c>
    </row>
    <row r="484" spans="1:12" x14ac:dyDescent="0.3">
      <c r="A484" t="s">
        <v>309</v>
      </c>
      <c r="B484" t="s">
        <v>1066</v>
      </c>
      <c r="C484" t="s">
        <v>1055</v>
      </c>
      <c r="D484">
        <v>8563.14</v>
      </c>
      <c r="E484">
        <v>2</v>
      </c>
      <c r="F484">
        <f>SUM(Table1_1[[#This Row],[Price (INR)]]*Table1_1[[#This Row],[Quantity Sold]])</f>
        <v>17126.28</v>
      </c>
      <c r="G484">
        <v>17126.28</v>
      </c>
      <c r="H484" s="1">
        <v>45354</v>
      </c>
      <c r="I484" t="s">
        <v>42</v>
      </c>
      <c r="J484">
        <v>3.1</v>
      </c>
      <c r="K484" t="str">
        <f>IF(Table1_1[[#This Row],[Quantity Sold]]&gt;=3,"BULK ORDER","REGULAR ORDER")</f>
        <v>REGULAR ORDER</v>
      </c>
      <c r="L484" t="str">
        <f>IF(Table1_1[[#This Row],[Customer Rating]]&gt;=4.5,"EXCELLENT",IF(Table1_1[[#This Row],[Customer Rating]]&lt;=4,"GOOD","AVERAGE"))</f>
        <v>GOOD</v>
      </c>
    </row>
    <row r="485" spans="1:12" x14ac:dyDescent="0.3">
      <c r="A485" t="s">
        <v>314</v>
      </c>
      <c r="B485" t="s">
        <v>1058</v>
      </c>
      <c r="C485" t="s">
        <v>1057</v>
      </c>
      <c r="D485">
        <v>43118.73</v>
      </c>
      <c r="E485">
        <v>5</v>
      </c>
      <c r="F485">
        <f>SUM(Table1_1[[#This Row],[Price (INR)]]*Table1_1[[#This Row],[Quantity Sold]])</f>
        <v>215593.65000000002</v>
      </c>
      <c r="G485">
        <v>215593.65</v>
      </c>
      <c r="H485" s="1">
        <v>45638</v>
      </c>
      <c r="I485" t="s">
        <v>1049</v>
      </c>
      <c r="J485">
        <v>3.1</v>
      </c>
      <c r="K485" t="str">
        <f>IF(Table1_1[[#This Row],[Quantity Sold]]&gt;=3,"BULK ORDER","REGULAR ORDER")</f>
        <v>BULK ORDER</v>
      </c>
      <c r="L485" t="str">
        <f>IF(Table1_1[[#This Row],[Customer Rating]]&gt;=4.5,"EXCELLENT",IF(Table1_1[[#This Row],[Customer Rating]]&lt;=4,"GOOD","AVERAGE"))</f>
        <v>GOOD</v>
      </c>
    </row>
    <row r="486" spans="1:12" x14ac:dyDescent="0.3">
      <c r="A486" t="s">
        <v>347</v>
      </c>
      <c r="B486" t="s">
        <v>1061</v>
      </c>
      <c r="C486" t="s">
        <v>1057</v>
      </c>
      <c r="D486">
        <v>24172.560000000001</v>
      </c>
      <c r="E486">
        <v>1</v>
      </c>
      <c r="F486">
        <f>SUM(Table1_1[[#This Row],[Price (INR)]]*Table1_1[[#This Row],[Quantity Sold]])</f>
        <v>24172.560000000001</v>
      </c>
      <c r="G486">
        <v>24172.560000000001</v>
      </c>
      <c r="H486" s="1">
        <v>45646</v>
      </c>
      <c r="I486" t="s">
        <v>16</v>
      </c>
      <c r="J486">
        <v>3.1</v>
      </c>
      <c r="K486" t="str">
        <f>IF(Table1_1[[#This Row],[Quantity Sold]]&gt;=3,"BULK ORDER","REGULAR ORDER")</f>
        <v>REGULAR ORDER</v>
      </c>
      <c r="L486" t="str">
        <f>IF(Table1_1[[#This Row],[Customer Rating]]&gt;=4.5,"EXCELLENT",IF(Table1_1[[#This Row],[Customer Rating]]&lt;=4,"GOOD","AVERAGE"))</f>
        <v>GOOD</v>
      </c>
    </row>
    <row r="487" spans="1:12" x14ac:dyDescent="0.3">
      <c r="A487" t="s">
        <v>370</v>
      </c>
      <c r="B487" t="s">
        <v>1056</v>
      </c>
      <c r="C487" t="s">
        <v>1057</v>
      </c>
      <c r="D487">
        <v>44248.09</v>
      </c>
      <c r="E487">
        <v>1</v>
      </c>
      <c r="F487">
        <f>SUM(Table1_1[[#This Row],[Price (INR)]]*Table1_1[[#This Row],[Quantity Sold]])</f>
        <v>44248.09</v>
      </c>
      <c r="G487">
        <v>44248.09</v>
      </c>
      <c r="H487" s="1">
        <v>45341</v>
      </c>
      <c r="I487" t="s">
        <v>1071</v>
      </c>
      <c r="J487">
        <v>3.1</v>
      </c>
      <c r="K487" t="str">
        <f>IF(Table1_1[[#This Row],[Quantity Sold]]&gt;=3,"BULK ORDER","REGULAR ORDER")</f>
        <v>REGULAR ORDER</v>
      </c>
      <c r="L487" t="str">
        <f>IF(Table1_1[[#This Row],[Customer Rating]]&gt;=4.5,"EXCELLENT",IF(Table1_1[[#This Row],[Customer Rating]]&lt;=4,"GOOD","AVERAGE"))</f>
        <v>GOOD</v>
      </c>
    </row>
    <row r="488" spans="1:12" x14ac:dyDescent="0.3">
      <c r="A488" t="s">
        <v>518</v>
      </c>
      <c r="B488" t="s">
        <v>1070</v>
      </c>
      <c r="C488" t="s">
        <v>1051</v>
      </c>
      <c r="D488">
        <v>23089.32</v>
      </c>
      <c r="E488">
        <v>2</v>
      </c>
      <c r="F488">
        <f>SUM(Table1_1[[#This Row],[Price (INR)]]*Table1_1[[#This Row],[Quantity Sold]])</f>
        <v>46178.64</v>
      </c>
      <c r="G488">
        <v>46178.64</v>
      </c>
      <c r="H488" s="1">
        <v>45564</v>
      </c>
      <c r="I488" t="s">
        <v>1071</v>
      </c>
      <c r="J488">
        <v>3.1</v>
      </c>
      <c r="K488" t="str">
        <f>IF(Table1_1[[#This Row],[Quantity Sold]]&gt;=3,"BULK ORDER","REGULAR ORDER")</f>
        <v>REGULAR ORDER</v>
      </c>
      <c r="L488" t="str">
        <f>IF(Table1_1[[#This Row],[Customer Rating]]&gt;=4.5,"EXCELLENT",IF(Table1_1[[#This Row],[Customer Rating]]&lt;=4,"GOOD","AVERAGE"))</f>
        <v>GOOD</v>
      </c>
    </row>
    <row r="489" spans="1:12" x14ac:dyDescent="0.3">
      <c r="A489" t="s">
        <v>539</v>
      </c>
      <c r="B489" t="s">
        <v>1056</v>
      </c>
      <c r="C489" t="s">
        <v>1057</v>
      </c>
      <c r="D489">
        <v>31749.94</v>
      </c>
      <c r="E489">
        <v>1</v>
      </c>
      <c r="F489">
        <f>SUM(Table1_1[[#This Row],[Price (INR)]]*Table1_1[[#This Row],[Quantity Sold]])</f>
        <v>31749.94</v>
      </c>
      <c r="G489">
        <v>31749.94</v>
      </c>
      <c r="H489" s="1">
        <v>45437</v>
      </c>
      <c r="I489" t="s">
        <v>42</v>
      </c>
      <c r="J489">
        <v>3.1</v>
      </c>
      <c r="K489" t="str">
        <f>IF(Table1_1[[#This Row],[Quantity Sold]]&gt;=3,"BULK ORDER","REGULAR ORDER")</f>
        <v>REGULAR ORDER</v>
      </c>
      <c r="L489" t="str">
        <f>IF(Table1_1[[#This Row],[Customer Rating]]&gt;=4.5,"EXCELLENT",IF(Table1_1[[#This Row],[Customer Rating]]&lt;=4,"GOOD","AVERAGE"))</f>
        <v>GOOD</v>
      </c>
    </row>
    <row r="490" spans="1:12" x14ac:dyDescent="0.3">
      <c r="A490" t="s">
        <v>653</v>
      </c>
      <c r="B490" t="s">
        <v>1070</v>
      </c>
      <c r="C490" t="s">
        <v>1051</v>
      </c>
      <c r="D490">
        <v>29974.35</v>
      </c>
      <c r="E490">
        <v>5</v>
      </c>
      <c r="F490">
        <f>SUM(Table1_1[[#This Row],[Price (INR)]]*Table1_1[[#This Row],[Quantity Sold]])</f>
        <v>149871.75</v>
      </c>
      <c r="G490">
        <v>149871.75</v>
      </c>
      <c r="H490" s="1">
        <v>45658</v>
      </c>
      <c r="I490" t="s">
        <v>1059</v>
      </c>
      <c r="J490">
        <v>3.1</v>
      </c>
      <c r="K490" t="str">
        <f>IF(Table1_1[[#This Row],[Quantity Sold]]&gt;=3,"BULK ORDER","REGULAR ORDER")</f>
        <v>BULK ORDER</v>
      </c>
      <c r="L490" t="str">
        <f>IF(Table1_1[[#This Row],[Customer Rating]]&gt;=4.5,"EXCELLENT",IF(Table1_1[[#This Row],[Customer Rating]]&lt;=4,"GOOD","AVERAGE"))</f>
        <v>GOOD</v>
      </c>
    </row>
    <row r="491" spans="1:12" x14ac:dyDescent="0.3">
      <c r="A491" t="s">
        <v>676</v>
      </c>
      <c r="B491" t="s">
        <v>1060</v>
      </c>
      <c r="C491" t="s">
        <v>1051</v>
      </c>
      <c r="D491">
        <v>47288.95</v>
      </c>
      <c r="E491">
        <v>1</v>
      </c>
      <c r="F491">
        <f>SUM(Table1_1[[#This Row],[Price (INR)]]*Table1_1[[#This Row],[Quantity Sold]])</f>
        <v>47288.95</v>
      </c>
      <c r="G491">
        <v>47288.95</v>
      </c>
      <c r="H491" s="1">
        <v>45667</v>
      </c>
      <c r="I491" t="s">
        <v>1059</v>
      </c>
      <c r="J491">
        <v>3.1</v>
      </c>
      <c r="K491" t="str">
        <f>IF(Table1_1[[#This Row],[Quantity Sold]]&gt;=3,"BULK ORDER","REGULAR ORDER")</f>
        <v>REGULAR ORDER</v>
      </c>
      <c r="L491" t="str">
        <f>IF(Table1_1[[#This Row],[Customer Rating]]&gt;=4.5,"EXCELLENT",IF(Table1_1[[#This Row],[Customer Rating]]&lt;=4,"GOOD","AVERAGE"))</f>
        <v>GOOD</v>
      </c>
    </row>
    <row r="492" spans="1:12" x14ac:dyDescent="0.3">
      <c r="A492" t="s">
        <v>698</v>
      </c>
      <c r="B492" t="s">
        <v>1065</v>
      </c>
      <c r="C492" t="s">
        <v>1053</v>
      </c>
      <c r="D492">
        <v>20194.2</v>
      </c>
      <c r="E492">
        <v>2</v>
      </c>
      <c r="F492">
        <f>SUM(Table1_1[[#This Row],[Price (INR)]]*Table1_1[[#This Row],[Quantity Sold]])</f>
        <v>40388.400000000001</v>
      </c>
      <c r="G492">
        <v>40388.400000000001</v>
      </c>
      <c r="H492" s="1">
        <v>45581</v>
      </c>
      <c r="I492" t="s">
        <v>1049</v>
      </c>
      <c r="J492">
        <v>3.1</v>
      </c>
      <c r="K492" t="str">
        <f>IF(Table1_1[[#This Row],[Quantity Sold]]&gt;=3,"BULK ORDER","REGULAR ORDER")</f>
        <v>REGULAR ORDER</v>
      </c>
      <c r="L492" t="str">
        <f>IF(Table1_1[[#This Row],[Customer Rating]]&gt;=4.5,"EXCELLENT",IF(Table1_1[[#This Row],[Customer Rating]]&lt;=4,"GOOD","AVERAGE"))</f>
        <v>GOOD</v>
      </c>
    </row>
    <row r="493" spans="1:12" x14ac:dyDescent="0.3">
      <c r="A493" t="s">
        <v>780</v>
      </c>
      <c r="B493" t="s">
        <v>1056</v>
      </c>
      <c r="C493" t="s">
        <v>1057</v>
      </c>
      <c r="D493">
        <v>2370.61</v>
      </c>
      <c r="E493">
        <v>5</v>
      </c>
      <c r="F493">
        <f>SUM(Table1_1[[#This Row],[Price (INR)]]*Table1_1[[#This Row],[Quantity Sold]])</f>
        <v>11853.050000000001</v>
      </c>
      <c r="G493">
        <v>11853.05</v>
      </c>
      <c r="H493" s="1">
        <v>45451</v>
      </c>
      <c r="I493" t="s">
        <v>1049</v>
      </c>
      <c r="J493">
        <v>3.1</v>
      </c>
      <c r="K493" t="str">
        <f>IF(Table1_1[[#This Row],[Quantity Sold]]&gt;=3,"BULK ORDER","REGULAR ORDER")</f>
        <v>BULK ORDER</v>
      </c>
      <c r="L493" t="str">
        <f>IF(Table1_1[[#This Row],[Customer Rating]]&gt;=4.5,"EXCELLENT",IF(Table1_1[[#This Row],[Customer Rating]]&lt;=4,"GOOD","AVERAGE"))</f>
        <v>GOOD</v>
      </c>
    </row>
    <row r="494" spans="1:12" x14ac:dyDescent="0.3">
      <c r="A494" t="s">
        <v>825</v>
      </c>
      <c r="B494" t="s">
        <v>1069</v>
      </c>
      <c r="C494" t="s">
        <v>1048</v>
      </c>
      <c r="D494">
        <v>9772.82</v>
      </c>
      <c r="E494">
        <v>4</v>
      </c>
      <c r="F494">
        <f>SUM(Table1_1[[#This Row],[Price (INR)]]*Table1_1[[#This Row],[Quantity Sold]])</f>
        <v>39091.279999999999</v>
      </c>
      <c r="G494">
        <v>39091.279999999999</v>
      </c>
      <c r="H494" s="1">
        <v>45600</v>
      </c>
      <c r="I494" t="s">
        <v>16</v>
      </c>
      <c r="J494">
        <v>3.1</v>
      </c>
      <c r="K494" t="str">
        <f>IF(Table1_1[[#This Row],[Quantity Sold]]&gt;=3,"BULK ORDER","REGULAR ORDER")</f>
        <v>BULK ORDER</v>
      </c>
      <c r="L494" t="str">
        <f>IF(Table1_1[[#This Row],[Customer Rating]]&gt;=4.5,"EXCELLENT",IF(Table1_1[[#This Row],[Customer Rating]]&lt;=4,"GOOD","AVERAGE"))</f>
        <v>GOOD</v>
      </c>
    </row>
    <row r="495" spans="1:12" x14ac:dyDescent="0.3">
      <c r="A495" t="s">
        <v>852</v>
      </c>
      <c r="B495" t="s">
        <v>1075</v>
      </c>
      <c r="C495" t="s">
        <v>1053</v>
      </c>
      <c r="D495">
        <v>30435.75</v>
      </c>
      <c r="E495">
        <v>2</v>
      </c>
      <c r="F495">
        <f>SUM(Table1_1[[#This Row],[Price (INR)]]*Table1_1[[#This Row],[Quantity Sold]])</f>
        <v>60871.5</v>
      </c>
      <c r="G495">
        <v>60871.5</v>
      </c>
      <c r="H495" s="1">
        <v>45391</v>
      </c>
      <c r="I495" t="s">
        <v>1068</v>
      </c>
      <c r="J495">
        <v>3.1</v>
      </c>
      <c r="K495" t="str">
        <f>IF(Table1_1[[#This Row],[Quantity Sold]]&gt;=3,"BULK ORDER","REGULAR ORDER")</f>
        <v>REGULAR ORDER</v>
      </c>
      <c r="L495" t="str">
        <f>IF(Table1_1[[#This Row],[Customer Rating]]&gt;=4.5,"EXCELLENT",IF(Table1_1[[#This Row],[Customer Rating]]&lt;=4,"GOOD","AVERAGE"))</f>
        <v>GOOD</v>
      </c>
    </row>
    <row r="496" spans="1:12" x14ac:dyDescent="0.3">
      <c r="A496" t="s">
        <v>911</v>
      </c>
      <c r="B496" t="s">
        <v>1065</v>
      </c>
      <c r="C496" t="s">
        <v>1053</v>
      </c>
      <c r="D496">
        <v>49911.75</v>
      </c>
      <c r="E496">
        <v>3</v>
      </c>
      <c r="F496">
        <f>SUM(Table1_1[[#This Row],[Price (INR)]]*Table1_1[[#This Row],[Quantity Sold]])</f>
        <v>149735.25</v>
      </c>
      <c r="G496">
        <v>149735.25</v>
      </c>
      <c r="H496" s="1">
        <v>45430</v>
      </c>
      <c r="I496" t="s">
        <v>1059</v>
      </c>
      <c r="J496">
        <v>3.1</v>
      </c>
      <c r="K496" t="str">
        <f>IF(Table1_1[[#This Row],[Quantity Sold]]&gt;=3,"BULK ORDER","REGULAR ORDER")</f>
        <v>BULK ORDER</v>
      </c>
      <c r="L496" t="str">
        <f>IF(Table1_1[[#This Row],[Customer Rating]]&gt;=4.5,"EXCELLENT",IF(Table1_1[[#This Row],[Customer Rating]]&lt;=4,"GOOD","AVERAGE"))</f>
        <v>GOOD</v>
      </c>
    </row>
    <row r="497" spans="1:12" x14ac:dyDescent="0.3">
      <c r="A497" t="s">
        <v>930</v>
      </c>
      <c r="B497" t="s">
        <v>1047</v>
      </c>
      <c r="C497" t="s">
        <v>1048</v>
      </c>
      <c r="D497">
        <v>24335.78</v>
      </c>
      <c r="E497">
        <v>4</v>
      </c>
      <c r="F497">
        <f>SUM(Table1_1[[#This Row],[Price (INR)]]*Table1_1[[#This Row],[Quantity Sold]])</f>
        <v>97343.12</v>
      </c>
      <c r="G497">
        <v>97343.12</v>
      </c>
      <c r="H497" s="1">
        <v>45391</v>
      </c>
      <c r="I497" t="s">
        <v>16</v>
      </c>
      <c r="J497">
        <v>3.1</v>
      </c>
      <c r="K497" t="str">
        <f>IF(Table1_1[[#This Row],[Quantity Sold]]&gt;=3,"BULK ORDER","REGULAR ORDER")</f>
        <v>BULK ORDER</v>
      </c>
      <c r="L497" t="str">
        <f>IF(Table1_1[[#This Row],[Customer Rating]]&gt;=4.5,"EXCELLENT",IF(Table1_1[[#This Row],[Customer Rating]]&lt;=4,"GOOD","AVERAGE"))</f>
        <v>GOOD</v>
      </c>
    </row>
    <row r="498" spans="1:12" x14ac:dyDescent="0.3">
      <c r="A498" t="s">
        <v>933</v>
      </c>
      <c r="B498" t="s">
        <v>1069</v>
      </c>
      <c r="C498" t="s">
        <v>1048</v>
      </c>
      <c r="D498">
        <v>45792.57</v>
      </c>
      <c r="E498">
        <v>2</v>
      </c>
      <c r="F498">
        <f>SUM(Table1_1[[#This Row],[Price (INR)]]*Table1_1[[#This Row],[Quantity Sold]])</f>
        <v>91585.14</v>
      </c>
      <c r="G498">
        <v>91585.14</v>
      </c>
      <c r="H498" s="1">
        <v>45453</v>
      </c>
      <c r="I498" t="s">
        <v>1068</v>
      </c>
      <c r="J498">
        <v>3.1</v>
      </c>
      <c r="K498" t="str">
        <f>IF(Table1_1[[#This Row],[Quantity Sold]]&gt;=3,"BULK ORDER","REGULAR ORDER")</f>
        <v>REGULAR ORDER</v>
      </c>
      <c r="L498" t="str">
        <f>IF(Table1_1[[#This Row],[Customer Rating]]&gt;=4.5,"EXCELLENT",IF(Table1_1[[#This Row],[Customer Rating]]&lt;=4,"GOOD","AVERAGE"))</f>
        <v>GOOD</v>
      </c>
    </row>
    <row r="499" spans="1:12" x14ac:dyDescent="0.3">
      <c r="A499" t="s">
        <v>967</v>
      </c>
      <c r="B499" t="s">
        <v>1067</v>
      </c>
      <c r="C499" t="s">
        <v>1048</v>
      </c>
      <c r="D499">
        <v>7936.7</v>
      </c>
      <c r="E499">
        <v>5</v>
      </c>
      <c r="F499">
        <f>SUM(Table1_1[[#This Row],[Price (INR)]]*Table1_1[[#This Row],[Quantity Sold]])</f>
        <v>39683.5</v>
      </c>
      <c r="G499">
        <v>39683.5</v>
      </c>
      <c r="H499" s="1">
        <v>45636</v>
      </c>
      <c r="I499" t="s">
        <v>1049</v>
      </c>
      <c r="J499">
        <v>3.1</v>
      </c>
      <c r="K499" t="str">
        <f>IF(Table1_1[[#This Row],[Quantity Sold]]&gt;=3,"BULK ORDER","REGULAR ORDER")</f>
        <v>BULK ORDER</v>
      </c>
      <c r="L499" t="str">
        <f>IF(Table1_1[[#This Row],[Customer Rating]]&gt;=4.5,"EXCELLENT",IF(Table1_1[[#This Row],[Customer Rating]]&lt;=4,"GOOD","AVERAGE"))</f>
        <v>GOOD</v>
      </c>
    </row>
    <row r="500" spans="1:12" x14ac:dyDescent="0.3">
      <c r="A500" t="s">
        <v>969</v>
      </c>
      <c r="B500" t="s">
        <v>1050</v>
      </c>
      <c r="C500" t="s">
        <v>1051</v>
      </c>
      <c r="D500">
        <v>47480.71</v>
      </c>
      <c r="E500">
        <v>5</v>
      </c>
      <c r="F500">
        <f>SUM(Table1_1[[#This Row],[Price (INR)]]*Table1_1[[#This Row],[Quantity Sold]])</f>
        <v>237403.55</v>
      </c>
      <c r="G500">
        <v>237403.55</v>
      </c>
      <c r="H500" s="1">
        <v>45544</v>
      </c>
      <c r="I500" t="s">
        <v>16</v>
      </c>
      <c r="J500">
        <v>3.1</v>
      </c>
      <c r="K500" t="str">
        <f>IF(Table1_1[[#This Row],[Quantity Sold]]&gt;=3,"BULK ORDER","REGULAR ORDER")</f>
        <v>BULK ORDER</v>
      </c>
      <c r="L500" t="str">
        <f>IF(Table1_1[[#This Row],[Customer Rating]]&gt;=4.5,"EXCELLENT",IF(Table1_1[[#This Row],[Customer Rating]]&lt;=4,"GOOD","AVERAGE"))</f>
        <v>GOOD</v>
      </c>
    </row>
    <row r="501" spans="1:12" x14ac:dyDescent="0.3">
      <c r="A501" t="s">
        <v>989</v>
      </c>
      <c r="B501" t="s">
        <v>1063</v>
      </c>
      <c r="C501" t="s">
        <v>1055</v>
      </c>
      <c r="D501">
        <v>35922.639999999999</v>
      </c>
      <c r="E501">
        <v>4</v>
      </c>
      <c r="F501">
        <f>SUM(Table1_1[[#This Row],[Price (INR)]]*Table1_1[[#This Row],[Quantity Sold]])</f>
        <v>143690.56</v>
      </c>
      <c r="G501">
        <v>143690.56</v>
      </c>
      <c r="H501" s="1">
        <v>45339</v>
      </c>
      <c r="I501" t="s">
        <v>16</v>
      </c>
      <c r="J501">
        <v>3.1</v>
      </c>
      <c r="K501" t="str">
        <f>IF(Table1_1[[#This Row],[Quantity Sold]]&gt;=3,"BULK ORDER","REGULAR ORDER")</f>
        <v>BULK ORDER</v>
      </c>
      <c r="L501" t="str">
        <f>IF(Table1_1[[#This Row],[Customer Rating]]&gt;=4.5,"EXCELLENT",IF(Table1_1[[#This Row],[Customer Rating]]&lt;=4,"GOOD","AVERAGE"))</f>
        <v>GOOD</v>
      </c>
    </row>
    <row r="502" spans="1:12" x14ac:dyDescent="0.3">
      <c r="A502" t="s">
        <v>1002</v>
      </c>
      <c r="B502" t="s">
        <v>1077</v>
      </c>
      <c r="C502" t="s">
        <v>1048</v>
      </c>
      <c r="D502">
        <v>10435.030000000001</v>
      </c>
      <c r="E502">
        <v>1</v>
      </c>
      <c r="F502">
        <f>SUM(Table1_1[[#This Row],[Price (INR)]]*Table1_1[[#This Row],[Quantity Sold]])</f>
        <v>10435.030000000001</v>
      </c>
      <c r="G502">
        <v>10435.030000000001</v>
      </c>
      <c r="H502" s="1">
        <v>45558</v>
      </c>
      <c r="I502" t="s">
        <v>1049</v>
      </c>
      <c r="J502">
        <v>3.1</v>
      </c>
      <c r="K502" t="str">
        <f>IF(Table1_1[[#This Row],[Quantity Sold]]&gt;=3,"BULK ORDER","REGULAR ORDER")</f>
        <v>REGULAR ORDER</v>
      </c>
      <c r="L502" t="str">
        <f>IF(Table1_1[[#This Row],[Customer Rating]]&gt;=4.5,"EXCELLENT",IF(Table1_1[[#This Row],[Customer Rating]]&lt;=4,"GOOD","AVERAGE"))</f>
        <v>GOOD</v>
      </c>
    </row>
    <row r="503" spans="1:12" x14ac:dyDescent="0.3">
      <c r="A503" t="s">
        <v>1042</v>
      </c>
      <c r="B503" t="s">
        <v>1052</v>
      </c>
      <c r="C503" t="s">
        <v>1053</v>
      </c>
      <c r="D503">
        <v>40840.800000000003</v>
      </c>
      <c r="E503">
        <v>1</v>
      </c>
      <c r="F503">
        <f>SUM(Table1_1[[#This Row],[Price (INR)]]*Table1_1[[#This Row],[Quantity Sold]])</f>
        <v>40840.800000000003</v>
      </c>
      <c r="G503">
        <v>40840.800000000003</v>
      </c>
      <c r="H503" s="1">
        <v>45499</v>
      </c>
      <c r="I503" t="s">
        <v>16</v>
      </c>
      <c r="J503">
        <v>3.1</v>
      </c>
      <c r="K503" t="str">
        <f>IF(Table1_1[[#This Row],[Quantity Sold]]&gt;=3,"BULK ORDER","REGULAR ORDER")</f>
        <v>REGULAR ORDER</v>
      </c>
      <c r="L503" t="str">
        <f>IF(Table1_1[[#This Row],[Customer Rating]]&gt;=4.5,"EXCELLENT",IF(Table1_1[[#This Row],[Customer Rating]]&lt;=4,"GOOD","AVERAGE"))</f>
        <v>GOOD</v>
      </c>
    </row>
    <row r="504" spans="1:12" x14ac:dyDescent="0.3">
      <c r="A504" t="s">
        <v>115</v>
      </c>
      <c r="B504" t="s">
        <v>1065</v>
      </c>
      <c r="C504" t="s">
        <v>1053</v>
      </c>
      <c r="D504">
        <v>26379.35</v>
      </c>
      <c r="E504">
        <v>4</v>
      </c>
      <c r="F504">
        <f>SUM(Table1_1[[#This Row],[Price (INR)]]*Table1_1[[#This Row],[Quantity Sold]])</f>
        <v>105517.4</v>
      </c>
      <c r="G504">
        <v>105517.4</v>
      </c>
      <c r="H504" s="1">
        <v>45542</v>
      </c>
      <c r="I504" t="s">
        <v>16</v>
      </c>
      <c r="J504">
        <v>3</v>
      </c>
      <c r="K504" t="str">
        <f>IF(Table1_1[[#This Row],[Quantity Sold]]&gt;=3,"BULK ORDER","REGULAR ORDER")</f>
        <v>BULK ORDER</v>
      </c>
      <c r="L504" t="str">
        <f>IF(Table1_1[[#This Row],[Customer Rating]]&gt;=4.5,"EXCELLENT",IF(Table1_1[[#This Row],[Customer Rating]]&lt;=4,"GOOD","AVERAGE"))</f>
        <v>GOOD</v>
      </c>
    </row>
    <row r="505" spans="1:12" x14ac:dyDescent="0.3">
      <c r="A505" t="s">
        <v>145</v>
      </c>
      <c r="B505" t="s">
        <v>1062</v>
      </c>
      <c r="C505" t="s">
        <v>1051</v>
      </c>
      <c r="D505">
        <v>38093.14</v>
      </c>
      <c r="E505">
        <v>1</v>
      </c>
      <c r="F505">
        <f>SUM(Table1_1[[#This Row],[Price (INR)]]*Table1_1[[#This Row],[Quantity Sold]])</f>
        <v>38093.14</v>
      </c>
      <c r="G505">
        <v>38093.14</v>
      </c>
      <c r="H505" s="1">
        <v>45587</v>
      </c>
      <c r="I505" t="s">
        <v>1068</v>
      </c>
      <c r="J505">
        <v>3</v>
      </c>
      <c r="K505" t="str">
        <f>IF(Table1_1[[#This Row],[Quantity Sold]]&gt;=3,"BULK ORDER","REGULAR ORDER")</f>
        <v>REGULAR ORDER</v>
      </c>
      <c r="L505" t="str">
        <f>IF(Table1_1[[#This Row],[Customer Rating]]&gt;=4.5,"EXCELLENT",IF(Table1_1[[#This Row],[Customer Rating]]&lt;=4,"GOOD","AVERAGE"))</f>
        <v>GOOD</v>
      </c>
    </row>
    <row r="506" spans="1:12" x14ac:dyDescent="0.3">
      <c r="A506" t="s">
        <v>162</v>
      </c>
      <c r="B506" t="s">
        <v>1052</v>
      </c>
      <c r="C506" t="s">
        <v>1053</v>
      </c>
      <c r="D506">
        <v>43488.42</v>
      </c>
      <c r="E506">
        <v>3</v>
      </c>
      <c r="F506">
        <f>SUM(Table1_1[[#This Row],[Price (INR)]]*Table1_1[[#This Row],[Quantity Sold]])</f>
        <v>130465.26</v>
      </c>
      <c r="G506">
        <v>130465.26</v>
      </c>
      <c r="H506" s="1">
        <v>45491</v>
      </c>
      <c r="I506" t="s">
        <v>1071</v>
      </c>
      <c r="J506">
        <v>3</v>
      </c>
      <c r="K506" t="str">
        <f>IF(Table1_1[[#This Row],[Quantity Sold]]&gt;=3,"BULK ORDER","REGULAR ORDER")</f>
        <v>BULK ORDER</v>
      </c>
      <c r="L506" t="str">
        <f>IF(Table1_1[[#This Row],[Customer Rating]]&gt;=4.5,"EXCELLENT",IF(Table1_1[[#This Row],[Customer Rating]]&lt;=4,"GOOD","AVERAGE"))</f>
        <v>GOOD</v>
      </c>
    </row>
    <row r="507" spans="1:12" x14ac:dyDescent="0.3">
      <c r="A507" t="s">
        <v>216</v>
      </c>
      <c r="B507" t="s">
        <v>1080</v>
      </c>
      <c r="C507" t="s">
        <v>1051</v>
      </c>
      <c r="D507">
        <v>12083.96</v>
      </c>
      <c r="E507">
        <v>3</v>
      </c>
      <c r="F507">
        <f>SUM(Table1_1[[#This Row],[Price (INR)]]*Table1_1[[#This Row],[Quantity Sold]])</f>
        <v>36251.879999999997</v>
      </c>
      <c r="G507">
        <v>36251.879999999997</v>
      </c>
      <c r="H507" s="1">
        <v>45619</v>
      </c>
      <c r="I507" t="s">
        <v>1059</v>
      </c>
      <c r="J507">
        <v>3</v>
      </c>
      <c r="K507" t="str">
        <f>IF(Table1_1[[#This Row],[Quantity Sold]]&gt;=3,"BULK ORDER","REGULAR ORDER")</f>
        <v>BULK ORDER</v>
      </c>
      <c r="L507" t="str">
        <f>IF(Table1_1[[#This Row],[Customer Rating]]&gt;=4.5,"EXCELLENT",IF(Table1_1[[#This Row],[Customer Rating]]&lt;=4,"GOOD","AVERAGE"))</f>
        <v>GOOD</v>
      </c>
    </row>
    <row r="508" spans="1:12" x14ac:dyDescent="0.3">
      <c r="A508" t="s">
        <v>269</v>
      </c>
      <c r="B508" t="s">
        <v>1072</v>
      </c>
      <c r="C508" t="s">
        <v>1057</v>
      </c>
      <c r="D508">
        <v>30911.439999999999</v>
      </c>
      <c r="E508">
        <v>5</v>
      </c>
      <c r="F508">
        <f>SUM(Table1_1[[#This Row],[Price (INR)]]*Table1_1[[#This Row],[Quantity Sold]])</f>
        <v>154557.19999999998</v>
      </c>
      <c r="G508">
        <v>154557.20000000001</v>
      </c>
      <c r="H508" s="1">
        <v>45388</v>
      </c>
      <c r="I508" t="s">
        <v>1049</v>
      </c>
      <c r="J508">
        <v>3</v>
      </c>
      <c r="K508" t="str">
        <f>IF(Table1_1[[#This Row],[Quantity Sold]]&gt;=3,"BULK ORDER","REGULAR ORDER")</f>
        <v>BULK ORDER</v>
      </c>
      <c r="L508" t="str">
        <f>IF(Table1_1[[#This Row],[Customer Rating]]&gt;=4.5,"EXCELLENT",IF(Table1_1[[#This Row],[Customer Rating]]&lt;=4,"GOOD","AVERAGE"))</f>
        <v>GOOD</v>
      </c>
    </row>
    <row r="509" spans="1:12" x14ac:dyDescent="0.3">
      <c r="A509" t="s">
        <v>312</v>
      </c>
      <c r="B509" t="s">
        <v>1075</v>
      </c>
      <c r="C509" t="s">
        <v>1053</v>
      </c>
      <c r="D509">
        <v>14517.08</v>
      </c>
      <c r="E509">
        <v>1</v>
      </c>
      <c r="F509">
        <f>SUM(Table1_1[[#This Row],[Price (INR)]]*Table1_1[[#This Row],[Quantity Sold]])</f>
        <v>14517.08</v>
      </c>
      <c r="G509">
        <v>14517.08</v>
      </c>
      <c r="H509" s="1">
        <v>45431</v>
      </c>
      <c r="I509" t="s">
        <v>16</v>
      </c>
      <c r="J509">
        <v>3</v>
      </c>
      <c r="K509" t="str">
        <f>IF(Table1_1[[#This Row],[Quantity Sold]]&gt;=3,"BULK ORDER","REGULAR ORDER")</f>
        <v>REGULAR ORDER</v>
      </c>
      <c r="L509" t="str">
        <f>IF(Table1_1[[#This Row],[Customer Rating]]&gt;=4.5,"EXCELLENT",IF(Table1_1[[#This Row],[Customer Rating]]&lt;=4,"GOOD","AVERAGE"))</f>
        <v>GOOD</v>
      </c>
    </row>
    <row r="510" spans="1:12" x14ac:dyDescent="0.3">
      <c r="A510" t="s">
        <v>360</v>
      </c>
      <c r="B510" t="s">
        <v>1070</v>
      </c>
      <c r="C510" t="s">
        <v>1051</v>
      </c>
      <c r="D510">
        <v>41198.839999999997</v>
      </c>
      <c r="E510">
        <v>4</v>
      </c>
      <c r="F510">
        <f>SUM(Table1_1[[#This Row],[Price (INR)]]*Table1_1[[#This Row],[Quantity Sold]])</f>
        <v>164795.35999999999</v>
      </c>
      <c r="G510">
        <v>164795.35999999999</v>
      </c>
      <c r="H510" s="1">
        <v>45390</v>
      </c>
      <c r="I510" t="s">
        <v>1068</v>
      </c>
      <c r="J510">
        <v>3</v>
      </c>
      <c r="K510" t="str">
        <f>IF(Table1_1[[#This Row],[Quantity Sold]]&gt;=3,"BULK ORDER","REGULAR ORDER")</f>
        <v>BULK ORDER</v>
      </c>
      <c r="L510" t="str">
        <f>IF(Table1_1[[#This Row],[Customer Rating]]&gt;=4.5,"EXCELLENT",IF(Table1_1[[#This Row],[Customer Rating]]&lt;=4,"GOOD","AVERAGE"))</f>
        <v>GOOD</v>
      </c>
    </row>
    <row r="511" spans="1:12" x14ac:dyDescent="0.3">
      <c r="A511" t="s">
        <v>381</v>
      </c>
      <c r="B511" t="s">
        <v>1058</v>
      </c>
      <c r="C511" t="s">
        <v>1057</v>
      </c>
      <c r="D511">
        <v>47053.440000000002</v>
      </c>
      <c r="E511">
        <v>2</v>
      </c>
      <c r="F511">
        <f>SUM(Table1_1[[#This Row],[Price (INR)]]*Table1_1[[#This Row],[Quantity Sold]])</f>
        <v>94106.880000000005</v>
      </c>
      <c r="G511">
        <v>94106.880000000005</v>
      </c>
      <c r="H511" s="1">
        <v>45448</v>
      </c>
      <c r="I511" t="s">
        <v>42</v>
      </c>
      <c r="J511">
        <v>3</v>
      </c>
      <c r="K511" t="str">
        <f>IF(Table1_1[[#This Row],[Quantity Sold]]&gt;=3,"BULK ORDER","REGULAR ORDER")</f>
        <v>REGULAR ORDER</v>
      </c>
      <c r="L511" t="str">
        <f>IF(Table1_1[[#This Row],[Customer Rating]]&gt;=4.5,"EXCELLENT",IF(Table1_1[[#This Row],[Customer Rating]]&lt;=4,"GOOD","AVERAGE"))</f>
        <v>GOOD</v>
      </c>
    </row>
    <row r="512" spans="1:12" x14ac:dyDescent="0.3">
      <c r="A512" t="s">
        <v>392</v>
      </c>
      <c r="B512" t="s">
        <v>1054</v>
      </c>
      <c r="C512" t="s">
        <v>1055</v>
      </c>
      <c r="D512">
        <v>8197.4699999999993</v>
      </c>
      <c r="E512">
        <v>2</v>
      </c>
      <c r="F512">
        <f>SUM(Table1_1[[#This Row],[Price (INR)]]*Table1_1[[#This Row],[Quantity Sold]])</f>
        <v>16394.939999999999</v>
      </c>
      <c r="G512">
        <v>16394.939999999999</v>
      </c>
      <c r="H512" s="1">
        <v>45563</v>
      </c>
      <c r="I512" t="s">
        <v>1059</v>
      </c>
      <c r="J512">
        <v>3</v>
      </c>
      <c r="K512" t="str">
        <f>IF(Table1_1[[#This Row],[Quantity Sold]]&gt;=3,"BULK ORDER","REGULAR ORDER")</f>
        <v>REGULAR ORDER</v>
      </c>
      <c r="L512" t="str">
        <f>IF(Table1_1[[#This Row],[Customer Rating]]&gt;=4.5,"EXCELLENT",IF(Table1_1[[#This Row],[Customer Rating]]&lt;=4,"GOOD","AVERAGE"))</f>
        <v>GOOD</v>
      </c>
    </row>
    <row r="513" spans="1:12" x14ac:dyDescent="0.3">
      <c r="A513" t="s">
        <v>443</v>
      </c>
      <c r="B513" t="s">
        <v>1050</v>
      </c>
      <c r="C513" t="s">
        <v>1051</v>
      </c>
      <c r="D513">
        <v>37135.360000000001</v>
      </c>
      <c r="E513">
        <v>2</v>
      </c>
      <c r="F513">
        <f>SUM(Table1_1[[#This Row],[Price (INR)]]*Table1_1[[#This Row],[Quantity Sold]])</f>
        <v>74270.720000000001</v>
      </c>
      <c r="G513">
        <v>74270.720000000001</v>
      </c>
      <c r="H513" s="1">
        <v>45649</v>
      </c>
      <c r="I513" t="s">
        <v>1071</v>
      </c>
      <c r="J513">
        <v>3</v>
      </c>
      <c r="K513" t="str">
        <f>IF(Table1_1[[#This Row],[Quantity Sold]]&gt;=3,"BULK ORDER","REGULAR ORDER")</f>
        <v>REGULAR ORDER</v>
      </c>
      <c r="L513" t="str">
        <f>IF(Table1_1[[#This Row],[Customer Rating]]&gt;=4.5,"EXCELLENT",IF(Table1_1[[#This Row],[Customer Rating]]&lt;=4,"GOOD","AVERAGE"))</f>
        <v>GOOD</v>
      </c>
    </row>
    <row r="514" spans="1:12" x14ac:dyDescent="0.3">
      <c r="A514" t="s">
        <v>481</v>
      </c>
      <c r="B514" t="s">
        <v>1052</v>
      </c>
      <c r="C514" t="s">
        <v>1053</v>
      </c>
      <c r="D514">
        <v>45544.54</v>
      </c>
      <c r="E514">
        <v>4</v>
      </c>
      <c r="F514">
        <f>SUM(Table1_1[[#This Row],[Price (INR)]]*Table1_1[[#This Row],[Quantity Sold]])</f>
        <v>182178.16</v>
      </c>
      <c r="G514">
        <v>182178.16</v>
      </c>
      <c r="H514" s="1">
        <v>45405</v>
      </c>
      <c r="I514" t="s">
        <v>42</v>
      </c>
      <c r="J514">
        <v>3</v>
      </c>
      <c r="K514" t="str">
        <f>IF(Table1_1[[#This Row],[Quantity Sold]]&gt;=3,"BULK ORDER","REGULAR ORDER")</f>
        <v>BULK ORDER</v>
      </c>
      <c r="L514" t="str">
        <f>IF(Table1_1[[#This Row],[Customer Rating]]&gt;=4.5,"EXCELLENT",IF(Table1_1[[#This Row],[Customer Rating]]&lt;=4,"GOOD","AVERAGE"))</f>
        <v>GOOD</v>
      </c>
    </row>
    <row r="515" spans="1:12" x14ac:dyDescent="0.3">
      <c r="A515" t="s">
        <v>498</v>
      </c>
      <c r="B515" t="s">
        <v>1050</v>
      </c>
      <c r="C515" t="s">
        <v>1051</v>
      </c>
      <c r="D515">
        <v>7631.48</v>
      </c>
      <c r="E515">
        <v>3</v>
      </c>
      <c r="F515">
        <f>SUM(Table1_1[[#This Row],[Price (INR)]]*Table1_1[[#This Row],[Quantity Sold]])</f>
        <v>22894.44</v>
      </c>
      <c r="G515">
        <v>22894.44</v>
      </c>
      <c r="H515" s="1">
        <v>45491</v>
      </c>
      <c r="I515" t="s">
        <v>1049</v>
      </c>
      <c r="J515">
        <v>3</v>
      </c>
      <c r="K515" t="str">
        <f>IF(Table1_1[[#This Row],[Quantity Sold]]&gt;=3,"BULK ORDER","REGULAR ORDER")</f>
        <v>BULK ORDER</v>
      </c>
      <c r="L515" t="str">
        <f>IF(Table1_1[[#This Row],[Customer Rating]]&gt;=4.5,"EXCELLENT",IF(Table1_1[[#This Row],[Customer Rating]]&lt;=4,"GOOD","AVERAGE"))</f>
        <v>GOOD</v>
      </c>
    </row>
    <row r="516" spans="1:12" x14ac:dyDescent="0.3">
      <c r="A516" t="s">
        <v>503</v>
      </c>
      <c r="B516" t="s">
        <v>1079</v>
      </c>
      <c r="C516" t="s">
        <v>1057</v>
      </c>
      <c r="D516">
        <v>1549.63</v>
      </c>
      <c r="E516">
        <v>1</v>
      </c>
      <c r="F516">
        <f>SUM(Table1_1[[#This Row],[Price (INR)]]*Table1_1[[#This Row],[Quantity Sold]])</f>
        <v>1549.63</v>
      </c>
      <c r="G516">
        <v>1549.63</v>
      </c>
      <c r="H516" s="1">
        <v>45623</v>
      </c>
      <c r="I516" t="s">
        <v>42</v>
      </c>
      <c r="J516">
        <v>3</v>
      </c>
      <c r="K516" t="str">
        <f>IF(Table1_1[[#This Row],[Quantity Sold]]&gt;=3,"BULK ORDER","REGULAR ORDER")</f>
        <v>REGULAR ORDER</v>
      </c>
      <c r="L516" t="str">
        <f>IF(Table1_1[[#This Row],[Customer Rating]]&gt;=4.5,"EXCELLENT",IF(Table1_1[[#This Row],[Customer Rating]]&lt;=4,"GOOD","AVERAGE"))</f>
        <v>GOOD</v>
      </c>
    </row>
    <row r="517" spans="1:12" x14ac:dyDescent="0.3">
      <c r="A517" t="s">
        <v>517</v>
      </c>
      <c r="B517" t="s">
        <v>1072</v>
      </c>
      <c r="C517" t="s">
        <v>1057</v>
      </c>
      <c r="D517">
        <v>30009.200000000001</v>
      </c>
      <c r="E517">
        <v>2</v>
      </c>
      <c r="F517">
        <f>SUM(Table1_1[[#This Row],[Price (INR)]]*Table1_1[[#This Row],[Quantity Sold]])</f>
        <v>60018.400000000001</v>
      </c>
      <c r="G517">
        <v>60018.400000000001</v>
      </c>
      <c r="H517" s="1">
        <v>45456</v>
      </c>
      <c r="I517" t="s">
        <v>1049</v>
      </c>
      <c r="J517">
        <v>3</v>
      </c>
      <c r="K517" t="str">
        <f>IF(Table1_1[[#This Row],[Quantity Sold]]&gt;=3,"BULK ORDER","REGULAR ORDER")</f>
        <v>REGULAR ORDER</v>
      </c>
      <c r="L517" t="str">
        <f>IF(Table1_1[[#This Row],[Customer Rating]]&gt;=4.5,"EXCELLENT",IF(Table1_1[[#This Row],[Customer Rating]]&lt;=4,"GOOD","AVERAGE"))</f>
        <v>GOOD</v>
      </c>
    </row>
    <row r="518" spans="1:12" x14ac:dyDescent="0.3">
      <c r="A518" t="s">
        <v>622</v>
      </c>
      <c r="B518" t="s">
        <v>1054</v>
      </c>
      <c r="C518" t="s">
        <v>1055</v>
      </c>
      <c r="D518">
        <v>31277.18</v>
      </c>
      <c r="E518">
        <v>1</v>
      </c>
      <c r="F518">
        <f>SUM(Table1_1[[#This Row],[Price (INR)]]*Table1_1[[#This Row],[Quantity Sold]])</f>
        <v>31277.18</v>
      </c>
      <c r="G518">
        <v>31277.18</v>
      </c>
      <c r="H518" s="1">
        <v>45545</v>
      </c>
      <c r="I518" t="s">
        <v>1049</v>
      </c>
      <c r="J518">
        <v>3</v>
      </c>
      <c r="K518" t="str">
        <f>IF(Table1_1[[#This Row],[Quantity Sold]]&gt;=3,"BULK ORDER","REGULAR ORDER")</f>
        <v>REGULAR ORDER</v>
      </c>
      <c r="L518" t="str">
        <f>IF(Table1_1[[#This Row],[Customer Rating]]&gt;=4.5,"EXCELLENT",IF(Table1_1[[#This Row],[Customer Rating]]&lt;=4,"GOOD","AVERAGE"))</f>
        <v>GOOD</v>
      </c>
    </row>
    <row r="519" spans="1:12" x14ac:dyDescent="0.3">
      <c r="A519" t="s">
        <v>648</v>
      </c>
      <c r="B519" t="s">
        <v>1060</v>
      </c>
      <c r="C519" t="s">
        <v>1051</v>
      </c>
      <c r="D519">
        <v>48580.6</v>
      </c>
      <c r="E519">
        <v>1</v>
      </c>
      <c r="F519">
        <f>SUM(Table1_1[[#This Row],[Price (INR)]]*Table1_1[[#This Row],[Quantity Sold]])</f>
        <v>48580.6</v>
      </c>
      <c r="G519">
        <v>48580.6</v>
      </c>
      <c r="H519" s="1">
        <v>45574</v>
      </c>
      <c r="I519" t="s">
        <v>16</v>
      </c>
      <c r="J519">
        <v>3</v>
      </c>
      <c r="K519" t="str">
        <f>IF(Table1_1[[#This Row],[Quantity Sold]]&gt;=3,"BULK ORDER","REGULAR ORDER")</f>
        <v>REGULAR ORDER</v>
      </c>
      <c r="L519" t="str">
        <f>IF(Table1_1[[#This Row],[Customer Rating]]&gt;=4.5,"EXCELLENT",IF(Table1_1[[#This Row],[Customer Rating]]&lt;=4,"GOOD","AVERAGE"))</f>
        <v>GOOD</v>
      </c>
    </row>
    <row r="520" spans="1:12" x14ac:dyDescent="0.3">
      <c r="A520" t="s">
        <v>702</v>
      </c>
      <c r="B520" t="s">
        <v>1062</v>
      </c>
      <c r="C520" t="s">
        <v>1051</v>
      </c>
      <c r="D520">
        <v>47047.23</v>
      </c>
      <c r="E520">
        <v>5</v>
      </c>
      <c r="F520">
        <f>SUM(Table1_1[[#This Row],[Price (INR)]]*Table1_1[[#This Row],[Quantity Sold]])</f>
        <v>235236.15000000002</v>
      </c>
      <c r="G520">
        <v>235236.15</v>
      </c>
      <c r="H520" s="1">
        <v>45613</v>
      </c>
      <c r="I520" t="s">
        <v>1059</v>
      </c>
      <c r="J520">
        <v>3</v>
      </c>
      <c r="K520" t="str">
        <f>IF(Table1_1[[#This Row],[Quantity Sold]]&gt;=3,"BULK ORDER","REGULAR ORDER")</f>
        <v>BULK ORDER</v>
      </c>
      <c r="L520" t="str">
        <f>IF(Table1_1[[#This Row],[Customer Rating]]&gt;=4.5,"EXCELLENT",IF(Table1_1[[#This Row],[Customer Rating]]&lt;=4,"GOOD","AVERAGE"))</f>
        <v>GOOD</v>
      </c>
    </row>
    <row r="521" spans="1:12" x14ac:dyDescent="0.3">
      <c r="A521" t="s">
        <v>746</v>
      </c>
      <c r="B521" t="s">
        <v>1076</v>
      </c>
      <c r="C521" t="s">
        <v>1055</v>
      </c>
      <c r="D521">
        <v>36115.480000000003</v>
      </c>
      <c r="E521">
        <v>1</v>
      </c>
      <c r="F521">
        <f>SUM(Table1_1[[#This Row],[Price (INR)]]*Table1_1[[#This Row],[Quantity Sold]])</f>
        <v>36115.480000000003</v>
      </c>
      <c r="G521">
        <v>36115.480000000003</v>
      </c>
      <c r="H521" s="1">
        <v>45395</v>
      </c>
      <c r="I521" t="s">
        <v>16</v>
      </c>
      <c r="J521">
        <v>3</v>
      </c>
      <c r="K521" t="str">
        <f>IF(Table1_1[[#This Row],[Quantity Sold]]&gt;=3,"BULK ORDER","REGULAR ORDER")</f>
        <v>REGULAR ORDER</v>
      </c>
      <c r="L521" t="str">
        <f>IF(Table1_1[[#This Row],[Customer Rating]]&gt;=4.5,"EXCELLENT",IF(Table1_1[[#This Row],[Customer Rating]]&lt;=4,"GOOD","AVERAGE"))</f>
        <v>GOOD</v>
      </c>
    </row>
    <row r="522" spans="1:12" x14ac:dyDescent="0.3">
      <c r="A522" t="s">
        <v>772</v>
      </c>
      <c r="B522" t="s">
        <v>1052</v>
      </c>
      <c r="C522" t="s">
        <v>1053</v>
      </c>
      <c r="D522">
        <v>18862.009999999998</v>
      </c>
      <c r="E522">
        <v>3</v>
      </c>
      <c r="F522">
        <f>SUM(Table1_1[[#This Row],[Price (INR)]]*Table1_1[[#This Row],[Quantity Sold]])</f>
        <v>56586.03</v>
      </c>
      <c r="G522">
        <v>56586.03</v>
      </c>
      <c r="H522" s="1">
        <v>45636</v>
      </c>
      <c r="I522" t="s">
        <v>1059</v>
      </c>
      <c r="J522">
        <v>3</v>
      </c>
      <c r="K522" t="str">
        <f>IF(Table1_1[[#This Row],[Quantity Sold]]&gt;=3,"BULK ORDER","REGULAR ORDER")</f>
        <v>BULK ORDER</v>
      </c>
      <c r="L522" t="str">
        <f>IF(Table1_1[[#This Row],[Customer Rating]]&gt;=4.5,"EXCELLENT",IF(Table1_1[[#This Row],[Customer Rating]]&lt;=4,"GOOD","AVERAGE"))</f>
        <v>GOOD</v>
      </c>
    </row>
    <row r="523" spans="1:12" x14ac:dyDescent="0.3">
      <c r="A523" t="s">
        <v>774</v>
      </c>
      <c r="B523" t="s">
        <v>1073</v>
      </c>
      <c r="C523" t="s">
        <v>1053</v>
      </c>
      <c r="D523">
        <v>24384.05</v>
      </c>
      <c r="E523">
        <v>2</v>
      </c>
      <c r="F523">
        <f>SUM(Table1_1[[#This Row],[Price (INR)]]*Table1_1[[#This Row],[Quantity Sold]])</f>
        <v>48768.1</v>
      </c>
      <c r="G523">
        <v>48768.1</v>
      </c>
      <c r="H523" s="1">
        <v>45499</v>
      </c>
      <c r="I523" t="s">
        <v>1049</v>
      </c>
      <c r="J523">
        <v>3</v>
      </c>
      <c r="K523" t="str">
        <f>IF(Table1_1[[#This Row],[Quantity Sold]]&gt;=3,"BULK ORDER","REGULAR ORDER")</f>
        <v>REGULAR ORDER</v>
      </c>
      <c r="L523" t="str">
        <f>IF(Table1_1[[#This Row],[Customer Rating]]&gt;=4.5,"EXCELLENT",IF(Table1_1[[#This Row],[Customer Rating]]&lt;=4,"GOOD","AVERAGE"))</f>
        <v>GOOD</v>
      </c>
    </row>
    <row r="524" spans="1:12" x14ac:dyDescent="0.3">
      <c r="A524" t="s">
        <v>803</v>
      </c>
      <c r="B524" t="s">
        <v>1058</v>
      </c>
      <c r="C524" t="s">
        <v>1057</v>
      </c>
      <c r="D524">
        <v>36950.980000000003</v>
      </c>
      <c r="E524">
        <v>4</v>
      </c>
      <c r="F524">
        <f>SUM(Table1_1[[#This Row],[Price (INR)]]*Table1_1[[#This Row],[Quantity Sold]])</f>
        <v>147803.92000000001</v>
      </c>
      <c r="G524">
        <v>147803.92000000001</v>
      </c>
      <c r="H524" s="1">
        <v>45572</v>
      </c>
      <c r="I524" t="s">
        <v>1049</v>
      </c>
      <c r="J524">
        <v>3</v>
      </c>
      <c r="K524" t="str">
        <f>IF(Table1_1[[#This Row],[Quantity Sold]]&gt;=3,"BULK ORDER","REGULAR ORDER")</f>
        <v>BULK ORDER</v>
      </c>
      <c r="L524" t="str">
        <f>IF(Table1_1[[#This Row],[Customer Rating]]&gt;=4.5,"EXCELLENT",IF(Table1_1[[#This Row],[Customer Rating]]&lt;=4,"GOOD","AVERAGE"))</f>
        <v>GOOD</v>
      </c>
    </row>
    <row r="525" spans="1:12" x14ac:dyDescent="0.3">
      <c r="A525" t="s">
        <v>811</v>
      </c>
      <c r="B525" t="s">
        <v>1075</v>
      </c>
      <c r="C525" t="s">
        <v>1053</v>
      </c>
      <c r="D525">
        <v>11461.72</v>
      </c>
      <c r="E525">
        <v>5</v>
      </c>
      <c r="F525">
        <f>SUM(Table1_1[[#This Row],[Price (INR)]]*Table1_1[[#This Row],[Quantity Sold]])</f>
        <v>57308.6</v>
      </c>
      <c r="G525">
        <v>57308.6</v>
      </c>
      <c r="H525" s="1">
        <v>45602</v>
      </c>
      <c r="I525" t="s">
        <v>1049</v>
      </c>
      <c r="J525">
        <v>3</v>
      </c>
      <c r="K525" t="str">
        <f>IF(Table1_1[[#This Row],[Quantity Sold]]&gt;=3,"BULK ORDER","REGULAR ORDER")</f>
        <v>BULK ORDER</v>
      </c>
      <c r="L525" t="str">
        <f>IF(Table1_1[[#This Row],[Customer Rating]]&gt;=4.5,"EXCELLENT",IF(Table1_1[[#This Row],[Customer Rating]]&lt;=4,"GOOD","AVERAGE"))</f>
        <v>GOOD</v>
      </c>
    </row>
    <row r="526" spans="1:12" x14ac:dyDescent="0.3">
      <c r="A526" t="s">
        <v>817</v>
      </c>
      <c r="B526" t="s">
        <v>1079</v>
      </c>
      <c r="C526" t="s">
        <v>1057</v>
      </c>
      <c r="D526">
        <v>42604.95</v>
      </c>
      <c r="E526">
        <v>5</v>
      </c>
      <c r="F526">
        <f>SUM(Table1_1[[#This Row],[Price (INR)]]*Table1_1[[#This Row],[Quantity Sold]])</f>
        <v>213024.75</v>
      </c>
      <c r="G526">
        <v>213024.75</v>
      </c>
      <c r="H526" s="1">
        <v>45484</v>
      </c>
      <c r="I526" t="s">
        <v>1071</v>
      </c>
      <c r="J526">
        <v>3</v>
      </c>
      <c r="K526" t="str">
        <f>IF(Table1_1[[#This Row],[Quantity Sold]]&gt;=3,"BULK ORDER","REGULAR ORDER")</f>
        <v>BULK ORDER</v>
      </c>
      <c r="L526" t="str">
        <f>IF(Table1_1[[#This Row],[Customer Rating]]&gt;=4.5,"EXCELLENT",IF(Table1_1[[#This Row],[Customer Rating]]&lt;=4,"GOOD","AVERAGE"))</f>
        <v>GOOD</v>
      </c>
    </row>
    <row r="527" spans="1:12" x14ac:dyDescent="0.3">
      <c r="A527" t="s">
        <v>869</v>
      </c>
      <c r="B527" t="s">
        <v>1075</v>
      </c>
      <c r="C527" t="s">
        <v>1053</v>
      </c>
      <c r="D527">
        <v>5361.18</v>
      </c>
      <c r="E527">
        <v>2</v>
      </c>
      <c r="F527">
        <f>SUM(Table1_1[[#This Row],[Price (INR)]]*Table1_1[[#This Row],[Quantity Sold]])</f>
        <v>10722.36</v>
      </c>
      <c r="G527">
        <v>10722.36</v>
      </c>
      <c r="H527" s="1">
        <v>45581</v>
      </c>
      <c r="I527" t="s">
        <v>1071</v>
      </c>
      <c r="J527">
        <v>3</v>
      </c>
      <c r="K527" t="str">
        <f>IF(Table1_1[[#This Row],[Quantity Sold]]&gt;=3,"BULK ORDER","REGULAR ORDER")</f>
        <v>REGULAR ORDER</v>
      </c>
      <c r="L527" t="str">
        <f>IF(Table1_1[[#This Row],[Customer Rating]]&gt;=4.5,"EXCELLENT",IF(Table1_1[[#This Row],[Customer Rating]]&lt;=4,"GOOD","AVERAGE"))</f>
        <v>GOOD</v>
      </c>
    </row>
    <row r="528" spans="1:12" x14ac:dyDescent="0.3">
      <c r="A528" t="s">
        <v>875</v>
      </c>
      <c r="B528" t="s">
        <v>1073</v>
      </c>
      <c r="C528" t="s">
        <v>1053</v>
      </c>
      <c r="D528">
        <v>34069.64</v>
      </c>
      <c r="E528">
        <v>1</v>
      </c>
      <c r="F528">
        <f>SUM(Table1_1[[#This Row],[Price (INR)]]*Table1_1[[#This Row],[Quantity Sold]])</f>
        <v>34069.64</v>
      </c>
      <c r="G528">
        <v>34069.64</v>
      </c>
      <c r="H528" s="1">
        <v>45610</v>
      </c>
      <c r="I528" t="s">
        <v>1059</v>
      </c>
      <c r="J528">
        <v>3</v>
      </c>
      <c r="K528" t="str">
        <f>IF(Table1_1[[#This Row],[Quantity Sold]]&gt;=3,"BULK ORDER","REGULAR ORDER")</f>
        <v>REGULAR ORDER</v>
      </c>
      <c r="L528" t="str">
        <f>IF(Table1_1[[#This Row],[Customer Rating]]&gt;=4.5,"EXCELLENT",IF(Table1_1[[#This Row],[Customer Rating]]&lt;=4,"GOOD","AVERAGE"))</f>
        <v>GOOD</v>
      </c>
    </row>
    <row r="529" spans="1:12" x14ac:dyDescent="0.3">
      <c r="A529" t="s">
        <v>902</v>
      </c>
      <c r="B529" t="s">
        <v>1047</v>
      </c>
      <c r="C529" t="s">
        <v>1048</v>
      </c>
      <c r="D529">
        <v>43840.04</v>
      </c>
      <c r="E529">
        <v>5</v>
      </c>
      <c r="F529">
        <f>SUM(Table1_1[[#This Row],[Price (INR)]]*Table1_1[[#This Row],[Quantity Sold]])</f>
        <v>219200.2</v>
      </c>
      <c r="G529">
        <v>219200.2</v>
      </c>
      <c r="H529" s="1">
        <v>45638</v>
      </c>
      <c r="I529" t="s">
        <v>1068</v>
      </c>
      <c r="J529">
        <v>3</v>
      </c>
      <c r="K529" t="str">
        <f>IF(Table1_1[[#This Row],[Quantity Sold]]&gt;=3,"BULK ORDER","REGULAR ORDER")</f>
        <v>BULK ORDER</v>
      </c>
      <c r="L529" t="str">
        <f>IF(Table1_1[[#This Row],[Customer Rating]]&gt;=4.5,"EXCELLENT",IF(Table1_1[[#This Row],[Customer Rating]]&lt;=4,"GOOD","AVERAGE"))</f>
        <v>GOOD</v>
      </c>
    </row>
    <row r="530" spans="1:12" x14ac:dyDescent="0.3">
      <c r="A530" t="s">
        <v>984</v>
      </c>
      <c r="B530" t="s">
        <v>1062</v>
      </c>
      <c r="C530" t="s">
        <v>1051</v>
      </c>
      <c r="D530">
        <v>31486.57</v>
      </c>
      <c r="E530">
        <v>1</v>
      </c>
      <c r="F530">
        <f>SUM(Table1_1[[#This Row],[Price (INR)]]*Table1_1[[#This Row],[Quantity Sold]])</f>
        <v>31486.57</v>
      </c>
      <c r="G530">
        <v>31486.57</v>
      </c>
      <c r="H530" s="1">
        <v>45520</v>
      </c>
      <c r="I530" t="s">
        <v>1059</v>
      </c>
      <c r="J530">
        <v>3</v>
      </c>
      <c r="K530" t="str">
        <f>IF(Table1_1[[#This Row],[Quantity Sold]]&gt;=3,"BULK ORDER","REGULAR ORDER")</f>
        <v>REGULAR ORDER</v>
      </c>
      <c r="L530" t="str">
        <f>IF(Table1_1[[#This Row],[Customer Rating]]&gt;=4.5,"EXCELLENT",IF(Table1_1[[#This Row],[Customer Rating]]&lt;=4,"GOOD","AVERAGE"))</f>
        <v>GOOD</v>
      </c>
    </row>
    <row r="531" spans="1:12" x14ac:dyDescent="0.3">
      <c r="A531" t="s">
        <v>1007</v>
      </c>
      <c r="B531" t="s">
        <v>1065</v>
      </c>
      <c r="C531" t="s">
        <v>1053</v>
      </c>
      <c r="D531">
        <v>47055.28</v>
      </c>
      <c r="E531">
        <v>1</v>
      </c>
      <c r="F531">
        <f>SUM(Table1_1[[#This Row],[Price (INR)]]*Table1_1[[#This Row],[Quantity Sold]])</f>
        <v>47055.28</v>
      </c>
      <c r="G531">
        <v>47055.28</v>
      </c>
      <c r="H531" s="1">
        <v>45459</v>
      </c>
      <c r="I531" t="s">
        <v>1068</v>
      </c>
      <c r="J531">
        <v>3</v>
      </c>
      <c r="K531" t="str">
        <f>IF(Table1_1[[#This Row],[Quantity Sold]]&gt;=3,"BULK ORDER","REGULAR ORDER")</f>
        <v>REGULAR ORDER</v>
      </c>
      <c r="L531" t="str">
        <f>IF(Table1_1[[#This Row],[Customer Rating]]&gt;=4.5,"EXCELLENT",IF(Table1_1[[#This Row],[Customer Rating]]&lt;=4,"GOOD","AVERAGE"))</f>
        <v>GOOD</v>
      </c>
    </row>
    <row r="532" spans="1:12" x14ac:dyDescent="0.3">
      <c r="A532" t="s">
        <v>1028</v>
      </c>
      <c r="B532" t="s">
        <v>1050</v>
      </c>
      <c r="C532" t="s">
        <v>1051</v>
      </c>
      <c r="D532">
        <v>22890.95</v>
      </c>
      <c r="E532">
        <v>3</v>
      </c>
      <c r="F532">
        <f>SUM(Table1_1[[#This Row],[Price (INR)]]*Table1_1[[#This Row],[Quantity Sold]])</f>
        <v>68672.850000000006</v>
      </c>
      <c r="G532">
        <v>68672.850000000006</v>
      </c>
      <c r="H532" s="1">
        <v>45626</v>
      </c>
      <c r="I532" t="s">
        <v>1068</v>
      </c>
      <c r="J532">
        <v>3</v>
      </c>
      <c r="K532" t="str">
        <f>IF(Table1_1[[#This Row],[Quantity Sold]]&gt;=3,"BULK ORDER","REGULAR ORDER")</f>
        <v>BULK ORDER</v>
      </c>
      <c r="L532" t="str">
        <f>IF(Table1_1[[#This Row],[Customer Rating]]&gt;=4.5,"EXCELLENT",IF(Table1_1[[#This Row],[Customer Rating]]&lt;=4,"GOOD","AVERAGE"))</f>
        <v>GOOD</v>
      </c>
    </row>
    <row r="533" spans="1:12" x14ac:dyDescent="0.3">
      <c r="A533" t="s">
        <v>136</v>
      </c>
      <c r="B533" t="s">
        <v>1070</v>
      </c>
      <c r="C533" t="s">
        <v>1051</v>
      </c>
      <c r="D533">
        <v>39355.589999999997</v>
      </c>
      <c r="E533">
        <v>1</v>
      </c>
      <c r="F533">
        <f>SUM(Table1_1[[#This Row],[Price (INR)]]*Table1_1[[#This Row],[Quantity Sold]])</f>
        <v>39355.589999999997</v>
      </c>
      <c r="G533">
        <v>39355.589999999997</v>
      </c>
      <c r="H533" s="1">
        <v>45587</v>
      </c>
      <c r="I533" t="s">
        <v>1059</v>
      </c>
      <c r="J533">
        <v>2.9</v>
      </c>
      <c r="K533" t="str">
        <f>IF(Table1_1[[#This Row],[Quantity Sold]]&gt;=3,"BULK ORDER","REGULAR ORDER")</f>
        <v>REGULAR ORDER</v>
      </c>
      <c r="L533" t="str">
        <f>IF(Table1_1[[#This Row],[Customer Rating]]&gt;=4.5,"EXCELLENT",IF(Table1_1[[#This Row],[Customer Rating]]&lt;=4,"GOOD","AVERAGE"))</f>
        <v>GOOD</v>
      </c>
    </row>
    <row r="534" spans="1:12" x14ac:dyDescent="0.3">
      <c r="A534" t="s">
        <v>231</v>
      </c>
      <c r="B534" t="s">
        <v>1064</v>
      </c>
      <c r="C534" t="s">
        <v>1053</v>
      </c>
      <c r="D534">
        <v>1927.38</v>
      </c>
      <c r="E534">
        <v>3</v>
      </c>
      <c r="F534">
        <f>SUM(Table1_1[[#This Row],[Price (INR)]]*Table1_1[[#This Row],[Quantity Sold]])</f>
        <v>5782.14</v>
      </c>
      <c r="G534">
        <v>5782.14</v>
      </c>
      <c r="H534" s="1">
        <v>45535</v>
      </c>
      <c r="I534" t="s">
        <v>1049</v>
      </c>
      <c r="J534">
        <v>2.9</v>
      </c>
      <c r="K534" t="str">
        <f>IF(Table1_1[[#This Row],[Quantity Sold]]&gt;=3,"BULK ORDER","REGULAR ORDER")</f>
        <v>BULK ORDER</v>
      </c>
      <c r="L534" t="str">
        <f>IF(Table1_1[[#This Row],[Customer Rating]]&gt;=4.5,"EXCELLENT",IF(Table1_1[[#This Row],[Customer Rating]]&lt;=4,"GOOD","AVERAGE"))</f>
        <v>GOOD</v>
      </c>
    </row>
    <row r="535" spans="1:12" x14ac:dyDescent="0.3">
      <c r="A535" t="s">
        <v>243</v>
      </c>
      <c r="B535" t="s">
        <v>1078</v>
      </c>
      <c r="C535" t="s">
        <v>1048</v>
      </c>
      <c r="D535">
        <v>34255.39</v>
      </c>
      <c r="E535">
        <v>2</v>
      </c>
      <c r="F535">
        <f>SUM(Table1_1[[#This Row],[Price (INR)]]*Table1_1[[#This Row],[Quantity Sold]])</f>
        <v>68510.78</v>
      </c>
      <c r="G535">
        <v>68510.78</v>
      </c>
      <c r="H535" s="1">
        <v>45340</v>
      </c>
      <c r="I535" t="s">
        <v>16</v>
      </c>
      <c r="J535">
        <v>2.9</v>
      </c>
      <c r="K535" t="str">
        <f>IF(Table1_1[[#This Row],[Quantity Sold]]&gt;=3,"BULK ORDER","REGULAR ORDER")</f>
        <v>REGULAR ORDER</v>
      </c>
      <c r="L535" t="str">
        <f>IF(Table1_1[[#This Row],[Customer Rating]]&gt;=4.5,"EXCELLENT",IF(Table1_1[[#This Row],[Customer Rating]]&lt;=4,"GOOD","AVERAGE"))</f>
        <v>GOOD</v>
      </c>
    </row>
    <row r="536" spans="1:12" x14ac:dyDescent="0.3">
      <c r="A536" t="s">
        <v>254</v>
      </c>
      <c r="B536" t="s">
        <v>1050</v>
      </c>
      <c r="C536" t="s">
        <v>1051</v>
      </c>
      <c r="D536">
        <v>6953.88</v>
      </c>
      <c r="E536">
        <v>1</v>
      </c>
      <c r="F536">
        <f>SUM(Table1_1[[#This Row],[Price (INR)]]*Table1_1[[#This Row],[Quantity Sold]])</f>
        <v>6953.88</v>
      </c>
      <c r="G536">
        <v>6953.88</v>
      </c>
      <c r="H536" s="1">
        <v>45426</v>
      </c>
      <c r="I536" t="s">
        <v>16</v>
      </c>
      <c r="J536">
        <v>2.9</v>
      </c>
      <c r="K536" t="str">
        <f>IF(Table1_1[[#This Row],[Quantity Sold]]&gt;=3,"BULK ORDER","REGULAR ORDER")</f>
        <v>REGULAR ORDER</v>
      </c>
      <c r="L536" t="str">
        <f>IF(Table1_1[[#This Row],[Customer Rating]]&gt;=4.5,"EXCELLENT",IF(Table1_1[[#This Row],[Customer Rating]]&lt;=4,"GOOD","AVERAGE"))</f>
        <v>GOOD</v>
      </c>
    </row>
    <row r="537" spans="1:12" x14ac:dyDescent="0.3">
      <c r="A537" t="s">
        <v>280</v>
      </c>
      <c r="B537" t="s">
        <v>1067</v>
      </c>
      <c r="C537" t="s">
        <v>1048</v>
      </c>
      <c r="D537">
        <v>25629.88</v>
      </c>
      <c r="E537">
        <v>3</v>
      </c>
      <c r="F537">
        <f>SUM(Table1_1[[#This Row],[Price (INR)]]*Table1_1[[#This Row],[Quantity Sold]])</f>
        <v>76889.64</v>
      </c>
      <c r="G537">
        <v>76889.64</v>
      </c>
      <c r="H537" s="1">
        <v>45538</v>
      </c>
      <c r="I537" t="s">
        <v>1049</v>
      </c>
      <c r="J537">
        <v>2.9</v>
      </c>
      <c r="K537" t="str">
        <f>IF(Table1_1[[#This Row],[Quantity Sold]]&gt;=3,"BULK ORDER","REGULAR ORDER")</f>
        <v>BULK ORDER</v>
      </c>
      <c r="L537" t="str">
        <f>IF(Table1_1[[#This Row],[Customer Rating]]&gt;=4.5,"EXCELLENT",IF(Table1_1[[#This Row],[Customer Rating]]&lt;=4,"GOOD","AVERAGE"))</f>
        <v>GOOD</v>
      </c>
    </row>
    <row r="538" spans="1:12" x14ac:dyDescent="0.3">
      <c r="A538" t="s">
        <v>316</v>
      </c>
      <c r="B538" t="s">
        <v>1052</v>
      </c>
      <c r="C538" t="s">
        <v>1053</v>
      </c>
      <c r="D538">
        <v>35373.5</v>
      </c>
      <c r="E538">
        <v>4</v>
      </c>
      <c r="F538">
        <f>SUM(Table1_1[[#This Row],[Price (INR)]]*Table1_1[[#This Row],[Quantity Sold]])</f>
        <v>141494</v>
      </c>
      <c r="G538">
        <v>141494</v>
      </c>
      <c r="H538" s="1">
        <v>45513</v>
      </c>
      <c r="I538" t="s">
        <v>1068</v>
      </c>
      <c r="J538">
        <v>2.9</v>
      </c>
      <c r="K538" t="str">
        <f>IF(Table1_1[[#This Row],[Quantity Sold]]&gt;=3,"BULK ORDER","REGULAR ORDER")</f>
        <v>BULK ORDER</v>
      </c>
      <c r="L538" t="str">
        <f>IF(Table1_1[[#This Row],[Customer Rating]]&gt;=4.5,"EXCELLENT",IF(Table1_1[[#This Row],[Customer Rating]]&lt;=4,"GOOD","AVERAGE"))</f>
        <v>GOOD</v>
      </c>
    </row>
    <row r="539" spans="1:12" x14ac:dyDescent="0.3">
      <c r="A539" t="s">
        <v>326</v>
      </c>
      <c r="B539" t="s">
        <v>1076</v>
      </c>
      <c r="C539" t="s">
        <v>1055</v>
      </c>
      <c r="D539">
        <v>36083.22</v>
      </c>
      <c r="E539">
        <v>3</v>
      </c>
      <c r="F539">
        <f>SUM(Table1_1[[#This Row],[Price (INR)]]*Table1_1[[#This Row],[Quantity Sold]])</f>
        <v>108249.66</v>
      </c>
      <c r="G539">
        <v>108249.66</v>
      </c>
      <c r="H539" s="1">
        <v>45498</v>
      </c>
      <c r="I539" t="s">
        <v>1068</v>
      </c>
      <c r="J539">
        <v>2.9</v>
      </c>
      <c r="K539" t="str">
        <f>IF(Table1_1[[#This Row],[Quantity Sold]]&gt;=3,"BULK ORDER","REGULAR ORDER")</f>
        <v>BULK ORDER</v>
      </c>
      <c r="L539" t="str">
        <f>IF(Table1_1[[#This Row],[Customer Rating]]&gt;=4.5,"EXCELLENT",IF(Table1_1[[#This Row],[Customer Rating]]&lt;=4,"GOOD","AVERAGE"))</f>
        <v>GOOD</v>
      </c>
    </row>
    <row r="540" spans="1:12" x14ac:dyDescent="0.3">
      <c r="A540" t="s">
        <v>375</v>
      </c>
      <c r="B540" t="s">
        <v>1076</v>
      </c>
      <c r="C540" t="s">
        <v>1055</v>
      </c>
      <c r="D540">
        <v>12249.35</v>
      </c>
      <c r="E540">
        <v>5</v>
      </c>
      <c r="F540">
        <f>SUM(Table1_1[[#This Row],[Price (INR)]]*Table1_1[[#This Row],[Quantity Sold]])</f>
        <v>61246.75</v>
      </c>
      <c r="G540">
        <v>61246.75</v>
      </c>
      <c r="H540" s="1">
        <v>45686</v>
      </c>
      <c r="I540" t="s">
        <v>1059</v>
      </c>
      <c r="J540">
        <v>2.9</v>
      </c>
      <c r="K540" t="str">
        <f>IF(Table1_1[[#This Row],[Quantity Sold]]&gt;=3,"BULK ORDER","REGULAR ORDER")</f>
        <v>BULK ORDER</v>
      </c>
      <c r="L540" t="str">
        <f>IF(Table1_1[[#This Row],[Customer Rating]]&gt;=4.5,"EXCELLENT",IF(Table1_1[[#This Row],[Customer Rating]]&lt;=4,"GOOD","AVERAGE"))</f>
        <v>GOOD</v>
      </c>
    </row>
    <row r="541" spans="1:12" x14ac:dyDescent="0.3">
      <c r="A541" t="s">
        <v>391</v>
      </c>
      <c r="B541" t="s">
        <v>1047</v>
      </c>
      <c r="C541" t="s">
        <v>1048</v>
      </c>
      <c r="D541">
        <v>48151.09</v>
      </c>
      <c r="E541">
        <v>4</v>
      </c>
      <c r="F541">
        <f>SUM(Table1_1[[#This Row],[Price (INR)]]*Table1_1[[#This Row],[Quantity Sold]])</f>
        <v>192604.36</v>
      </c>
      <c r="G541">
        <v>192604.36</v>
      </c>
      <c r="H541" s="1">
        <v>45496</v>
      </c>
      <c r="I541" t="s">
        <v>16</v>
      </c>
      <c r="J541">
        <v>2.9</v>
      </c>
      <c r="K541" t="str">
        <f>IF(Table1_1[[#This Row],[Quantity Sold]]&gt;=3,"BULK ORDER","REGULAR ORDER")</f>
        <v>BULK ORDER</v>
      </c>
      <c r="L541" t="str">
        <f>IF(Table1_1[[#This Row],[Customer Rating]]&gt;=4.5,"EXCELLENT",IF(Table1_1[[#This Row],[Customer Rating]]&lt;=4,"GOOD","AVERAGE"))</f>
        <v>GOOD</v>
      </c>
    </row>
    <row r="542" spans="1:12" x14ac:dyDescent="0.3">
      <c r="A542" t="s">
        <v>401</v>
      </c>
      <c r="B542" t="s">
        <v>1078</v>
      </c>
      <c r="C542" t="s">
        <v>1048</v>
      </c>
      <c r="D542">
        <v>15466.4</v>
      </c>
      <c r="E542">
        <v>5</v>
      </c>
      <c r="F542">
        <f>SUM(Table1_1[[#This Row],[Price (INR)]]*Table1_1[[#This Row],[Quantity Sold]])</f>
        <v>77332</v>
      </c>
      <c r="G542">
        <v>77332</v>
      </c>
      <c r="H542" s="1">
        <v>45502</v>
      </c>
      <c r="I542" t="s">
        <v>1059</v>
      </c>
      <c r="J542">
        <v>2.9</v>
      </c>
      <c r="K542" t="str">
        <f>IF(Table1_1[[#This Row],[Quantity Sold]]&gt;=3,"BULK ORDER","REGULAR ORDER")</f>
        <v>BULK ORDER</v>
      </c>
      <c r="L542" t="str">
        <f>IF(Table1_1[[#This Row],[Customer Rating]]&gt;=4.5,"EXCELLENT",IF(Table1_1[[#This Row],[Customer Rating]]&lt;=4,"GOOD","AVERAGE"))</f>
        <v>GOOD</v>
      </c>
    </row>
    <row r="543" spans="1:12" x14ac:dyDescent="0.3">
      <c r="A543" t="s">
        <v>408</v>
      </c>
      <c r="B543" t="s">
        <v>1061</v>
      </c>
      <c r="C543" t="s">
        <v>1057</v>
      </c>
      <c r="D543">
        <v>14102.56</v>
      </c>
      <c r="E543">
        <v>4</v>
      </c>
      <c r="F543">
        <f>SUM(Table1_1[[#This Row],[Price (INR)]]*Table1_1[[#This Row],[Quantity Sold]])</f>
        <v>56410.239999999998</v>
      </c>
      <c r="G543">
        <v>56410.239999999998</v>
      </c>
      <c r="H543" s="1">
        <v>45555</v>
      </c>
      <c r="I543" t="s">
        <v>42</v>
      </c>
      <c r="J543">
        <v>2.9</v>
      </c>
      <c r="K543" t="str">
        <f>IF(Table1_1[[#This Row],[Quantity Sold]]&gt;=3,"BULK ORDER","REGULAR ORDER")</f>
        <v>BULK ORDER</v>
      </c>
      <c r="L543" t="str">
        <f>IF(Table1_1[[#This Row],[Customer Rating]]&gt;=4.5,"EXCELLENT",IF(Table1_1[[#This Row],[Customer Rating]]&lt;=4,"GOOD","AVERAGE"))</f>
        <v>GOOD</v>
      </c>
    </row>
    <row r="544" spans="1:12" x14ac:dyDescent="0.3">
      <c r="A544" t="s">
        <v>414</v>
      </c>
      <c r="B544" t="s">
        <v>1047</v>
      </c>
      <c r="C544" t="s">
        <v>1048</v>
      </c>
      <c r="D544">
        <v>20353.400000000001</v>
      </c>
      <c r="E544">
        <v>1</v>
      </c>
      <c r="F544">
        <f>SUM(Table1_1[[#This Row],[Price (INR)]]*Table1_1[[#This Row],[Quantity Sold]])</f>
        <v>20353.400000000001</v>
      </c>
      <c r="G544">
        <v>20353.400000000001</v>
      </c>
      <c r="H544" s="1">
        <v>45480</v>
      </c>
      <c r="I544" t="s">
        <v>16</v>
      </c>
      <c r="J544">
        <v>2.9</v>
      </c>
      <c r="K544" t="str">
        <f>IF(Table1_1[[#This Row],[Quantity Sold]]&gt;=3,"BULK ORDER","REGULAR ORDER")</f>
        <v>REGULAR ORDER</v>
      </c>
      <c r="L544" t="str">
        <f>IF(Table1_1[[#This Row],[Customer Rating]]&gt;=4.5,"EXCELLENT",IF(Table1_1[[#This Row],[Customer Rating]]&lt;=4,"GOOD","AVERAGE"))</f>
        <v>GOOD</v>
      </c>
    </row>
    <row r="545" spans="1:12" x14ac:dyDescent="0.3">
      <c r="A545" t="s">
        <v>418</v>
      </c>
      <c r="B545" t="s">
        <v>1077</v>
      </c>
      <c r="C545" t="s">
        <v>1048</v>
      </c>
      <c r="D545">
        <v>37303.26</v>
      </c>
      <c r="E545">
        <v>4</v>
      </c>
      <c r="F545">
        <f>SUM(Table1_1[[#This Row],[Price (INR)]]*Table1_1[[#This Row],[Quantity Sold]])</f>
        <v>149213.04</v>
      </c>
      <c r="G545">
        <v>149213.04</v>
      </c>
      <c r="H545" s="1">
        <v>45664</v>
      </c>
      <c r="I545" t="s">
        <v>42</v>
      </c>
      <c r="J545">
        <v>2.9</v>
      </c>
      <c r="K545" t="str">
        <f>IF(Table1_1[[#This Row],[Quantity Sold]]&gt;=3,"BULK ORDER","REGULAR ORDER")</f>
        <v>BULK ORDER</v>
      </c>
      <c r="L545" t="str">
        <f>IF(Table1_1[[#This Row],[Customer Rating]]&gt;=4.5,"EXCELLENT",IF(Table1_1[[#This Row],[Customer Rating]]&lt;=4,"GOOD","AVERAGE"))</f>
        <v>GOOD</v>
      </c>
    </row>
    <row r="546" spans="1:12" x14ac:dyDescent="0.3">
      <c r="A546" t="s">
        <v>434</v>
      </c>
      <c r="B546" t="s">
        <v>1076</v>
      </c>
      <c r="C546" t="s">
        <v>1055</v>
      </c>
      <c r="D546">
        <v>29847.4</v>
      </c>
      <c r="E546">
        <v>3</v>
      </c>
      <c r="F546">
        <f>SUM(Table1_1[[#This Row],[Price (INR)]]*Table1_1[[#This Row],[Quantity Sold]])</f>
        <v>89542.200000000012</v>
      </c>
      <c r="G546">
        <v>89542.2</v>
      </c>
      <c r="H546" s="1">
        <v>45447</v>
      </c>
      <c r="I546" t="s">
        <v>1049</v>
      </c>
      <c r="J546">
        <v>2.9</v>
      </c>
      <c r="K546" t="str">
        <f>IF(Table1_1[[#This Row],[Quantity Sold]]&gt;=3,"BULK ORDER","REGULAR ORDER")</f>
        <v>BULK ORDER</v>
      </c>
      <c r="L546" t="str">
        <f>IF(Table1_1[[#This Row],[Customer Rating]]&gt;=4.5,"EXCELLENT",IF(Table1_1[[#This Row],[Customer Rating]]&lt;=4,"GOOD","AVERAGE"))</f>
        <v>GOOD</v>
      </c>
    </row>
    <row r="547" spans="1:12" x14ac:dyDescent="0.3">
      <c r="A547" t="s">
        <v>476</v>
      </c>
      <c r="B547" t="s">
        <v>1066</v>
      </c>
      <c r="C547" t="s">
        <v>1055</v>
      </c>
      <c r="D547">
        <v>46770.01</v>
      </c>
      <c r="E547">
        <v>5</v>
      </c>
      <c r="F547">
        <f>SUM(Table1_1[[#This Row],[Price (INR)]]*Table1_1[[#This Row],[Quantity Sold]])</f>
        <v>233850.05000000002</v>
      </c>
      <c r="G547">
        <v>233850.05</v>
      </c>
      <c r="H547" s="1">
        <v>45392</v>
      </c>
      <c r="I547" t="s">
        <v>1071</v>
      </c>
      <c r="J547">
        <v>2.9</v>
      </c>
      <c r="K547" t="str">
        <f>IF(Table1_1[[#This Row],[Quantity Sold]]&gt;=3,"BULK ORDER","REGULAR ORDER")</f>
        <v>BULK ORDER</v>
      </c>
      <c r="L547" t="str">
        <f>IF(Table1_1[[#This Row],[Customer Rating]]&gt;=4.5,"EXCELLENT",IF(Table1_1[[#This Row],[Customer Rating]]&lt;=4,"GOOD","AVERAGE"))</f>
        <v>GOOD</v>
      </c>
    </row>
    <row r="548" spans="1:12" x14ac:dyDescent="0.3">
      <c r="A548" t="s">
        <v>501</v>
      </c>
      <c r="B548" t="s">
        <v>1073</v>
      </c>
      <c r="C548" t="s">
        <v>1053</v>
      </c>
      <c r="D548">
        <v>1582.84</v>
      </c>
      <c r="E548">
        <v>3</v>
      </c>
      <c r="F548">
        <f>SUM(Table1_1[[#This Row],[Price (INR)]]*Table1_1[[#This Row],[Quantity Sold]])</f>
        <v>4748.5199999999995</v>
      </c>
      <c r="G548">
        <v>4748.5200000000004</v>
      </c>
      <c r="H548" s="1">
        <v>45545</v>
      </c>
      <c r="I548" t="s">
        <v>1049</v>
      </c>
      <c r="J548">
        <v>2.9</v>
      </c>
      <c r="K548" t="str">
        <f>IF(Table1_1[[#This Row],[Quantity Sold]]&gt;=3,"BULK ORDER","REGULAR ORDER")</f>
        <v>BULK ORDER</v>
      </c>
      <c r="L548" t="str">
        <f>IF(Table1_1[[#This Row],[Customer Rating]]&gt;=4.5,"EXCELLENT",IF(Table1_1[[#This Row],[Customer Rating]]&lt;=4,"GOOD","AVERAGE"))</f>
        <v>GOOD</v>
      </c>
    </row>
    <row r="549" spans="1:12" x14ac:dyDescent="0.3">
      <c r="A549" t="s">
        <v>540</v>
      </c>
      <c r="B549" t="s">
        <v>1075</v>
      </c>
      <c r="C549" t="s">
        <v>1053</v>
      </c>
      <c r="D549">
        <v>40944.769999999997</v>
      </c>
      <c r="E549">
        <v>2</v>
      </c>
      <c r="F549">
        <f>SUM(Table1_1[[#This Row],[Price (INR)]]*Table1_1[[#This Row],[Quantity Sold]])</f>
        <v>81889.539999999994</v>
      </c>
      <c r="G549">
        <v>81889.539999999994</v>
      </c>
      <c r="H549" s="1">
        <v>45599</v>
      </c>
      <c r="I549" t="s">
        <v>1068</v>
      </c>
      <c r="J549">
        <v>2.9</v>
      </c>
      <c r="K549" t="str">
        <f>IF(Table1_1[[#This Row],[Quantity Sold]]&gt;=3,"BULK ORDER","REGULAR ORDER")</f>
        <v>REGULAR ORDER</v>
      </c>
      <c r="L549" t="str">
        <f>IF(Table1_1[[#This Row],[Customer Rating]]&gt;=4.5,"EXCELLENT",IF(Table1_1[[#This Row],[Customer Rating]]&lt;=4,"GOOD","AVERAGE"))</f>
        <v>GOOD</v>
      </c>
    </row>
    <row r="550" spans="1:12" x14ac:dyDescent="0.3">
      <c r="A550" t="s">
        <v>588</v>
      </c>
      <c r="B550" t="s">
        <v>1064</v>
      </c>
      <c r="C550" t="s">
        <v>1053</v>
      </c>
      <c r="D550">
        <v>47111.56</v>
      </c>
      <c r="E550">
        <v>5</v>
      </c>
      <c r="F550">
        <f>SUM(Table1_1[[#This Row],[Price (INR)]]*Table1_1[[#This Row],[Quantity Sold]])</f>
        <v>235557.8</v>
      </c>
      <c r="G550">
        <v>235557.8</v>
      </c>
      <c r="H550" s="1">
        <v>45412</v>
      </c>
      <c r="I550" t="s">
        <v>16</v>
      </c>
      <c r="J550">
        <v>2.9</v>
      </c>
      <c r="K550" t="str">
        <f>IF(Table1_1[[#This Row],[Quantity Sold]]&gt;=3,"BULK ORDER","REGULAR ORDER")</f>
        <v>BULK ORDER</v>
      </c>
      <c r="L550" t="str">
        <f>IF(Table1_1[[#This Row],[Customer Rating]]&gt;=4.5,"EXCELLENT",IF(Table1_1[[#This Row],[Customer Rating]]&lt;=4,"GOOD","AVERAGE"))</f>
        <v>GOOD</v>
      </c>
    </row>
    <row r="551" spans="1:12" x14ac:dyDescent="0.3">
      <c r="A551" t="s">
        <v>599</v>
      </c>
      <c r="B551" t="s">
        <v>1065</v>
      </c>
      <c r="C551" t="s">
        <v>1053</v>
      </c>
      <c r="D551">
        <v>19961.03</v>
      </c>
      <c r="E551">
        <v>3</v>
      </c>
      <c r="F551">
        <f>SUM(Table1_1[[#This Row],[Price (INR)]]*Table1_1[[#This Row],[Quantity Sold]])</f>
        <v>59883.09</v>
      </c>
      <c r="G551">
        <v>59883.09</v>
      </c>
      <c r="H551" s="1">
        <v>45624</v>
      </c>
      <c r="I551" t="s">
        <v>1068</v>
      </c>
      <c r="J551">
        <v>2.9</v>
      </c>
      <c r="K551" t="str">
        <f>IF(Table1_1[[#This Row],[Quantity Sold]]&gt;=3,"BULK ORDER","REGULAR ORDER")</f>
        <v>BULK ORDER</v>
      </c>
      <c r="L551" t="str">
        <f>IF(Table1_1[[#This Row],[Customer Rating]]&gt;=4.5,"EXCELLENT",IF(Table1_1[[#This Row],[Customer Rating]]&lt;=4,"GOOD","AVERAGE"))</f>
        <v>GOOD</v>
      </c>
    </row>
    <row r="552" spans="1:12" x14ac:dyDescent="0.3">
      <c r="A552" t="s">
        <v>685</v>
      </c>
      <c r="B552" t="s">
        <v>1080</v>
      </c>
      <c r="C552" t="s">
        <v>1051</v>
      </c>
      <c r="D552">
        <v>13596.18</v>
      </c>
      <c r="E552">
        <v>3</v>
      </c>
      <c r="F552">
        <f>SUM(Table1_1[[#This Row],[Price (INR)]]*Table1_1[[#This Row],[Quantity Sold]])</f>
        <v>40788.54</v>
      </c>
      <c r="G552">
        <v>40788.54</v>
      </c>
      <c r="H552" s="1">
        <v>45479</v>
      </c>
      <c r="I552" t="s">
        <v>1068</v>
      </c>
      <c r="J552">
        <v>2.9</v>
      </c>
      <c r="K552" t="str">
        <f>IF(Table1_1[[#This Row],[Quantity Sold]]&gt;=3,"BULK ORDER","REGULAR ORDER")</f>
        <v>BULK ORDER</v>
      </c>
      <c r="L552" t="str">
        <f>IF(Table1_1[[#This Row],[Customer Rating]]&gt;=4.5,"EXCELLENT",IF(Table1_1[[#This Row],[Customer Rating]]&lt;=4,"GOOD","AVERAGE"))</f>
        <v>GOOD</v>
      </c>
    </row>
    <row r="553" spans="1:12" x14ac:dyDescent="0.3">
      <c r="A553" t="s">
        <v>710</v>
      </c>
      <c r="B553" t="s">
        <v>1069</v>
      </c>
      <c r="C553" t="s">
        <v>1048</v>
      </c>
      <c r="D553">
        <v>34830.28</v>
      </c>
      <c r="E553">
        <v>4</v>
      </c>
      <c r="F553">
        <f>SUM(Table1_1[[#This Row],[Price (INR)]]*Table1_1[[#This Row],[Quantity Sold]])</f>
        <v>139321.12</v>
      </c>
      <c r="G553">
        <v>139321.12</v>
      </c>
      <c r="H553" s="1">
        <v>45609</v>
      </c>
      <c r="I553" t="s">
        <v>1068</v>
      </c>
      <c r="J553">
        <v>2.9</v>
      </c>
      <c r="K553" t="str">
        <f>IF(Table1_1[[#This Row],[Quantity Sold]]&gt;=3,"BULK ORDER","REGULAR ORDER")</f>
        <v>BULK ORDER</v>
      </c>
      <c r="L553" t="str">
        <f>IF(Table1_1[[#This Row],[Customer Rating]]&gt;=4.5,"EXCELLENT",IF(Table1_1[[#This Row],[Customer Rating]]&lt;=4,"GOOD","AVERAGE"))</f>
        <v>GOOD</v>
      </c>
    </row>
    <row r="554" spans="1:12" x14ac:dyDescent="0.3">
      <c r="A554" t="s">
        <v>778</v>
      </c>
      <c r="B554" t="s">
        <v>1080</v>
      </c>
      <c r="C554" t="s">
        <v>1051</v>
      </c>
      <c r="D554">
        <v>17800.740000000002</v>
      </c>
      <c r="E554">
        <v>3</v>
      </c>
      <c r="F554">
        <f>SUM(Table1_1[[#This Row],[Price (INR)]]*Table1_1[[#This Row],[Quantity Sold]])</f>
        <v>53402.22</v>
      </c>
      <c r="G554">
        <v>53402.22</v>
      </c>
      <c r="H554" s="1">
        <v>45601</v>
      </c>
      <c r="I554" t="s">
        <v>1059</v>
      </c>
      <c r="J554">
        <v>2.9</v>
      </c>
      <c r="K554" t="str">
        <f>IF(Table1_1[[#This Row],[Quantity Sold]]&gt;=3,"BULK ORDER","REGULAR ORDER")</f>
        <v>BULK ORDER</v>
      </c>
      <c r="L554" t="str">
        <f>IF(Table1_1[[#This Row],[Customer Rating]]&gt;=4.5,"EXCELLENT",IF(Table1_1[[#This Row],[Customer Rating]]&lt;=4,"GOOD","AVERAGE"))</f>
        <v>GOOD</v>
      </c>
    </row>
    <row r="555" spans="1:12" x14ac:dyDescent="0.3">
      <c r="A555" t="s">
        <v>783</v>
      </c>
      <c r="B555" t="s">
        <v>1073</v>
      </c>
      <c r="C555" t="s">
        <v>1053</v>
      </c>
      <c r="D555">
        <v>32626.32</v>
      </c>
      <c r="E555">
        <v>4</v>
      </c>
      <c r="F555">
        <f>SUM(Table1_1[[#This Row],[Price (INR)]]*Table1_1[[#This Row],[Quantity Sold]])</f>
        <v>130505.28</v>
      </c>
      <c r="G555">
        <v>130505.28</v>
      </c>
      <c r="H555" s="1">
        <v>45586</v>
      </c>
      <c r="I555" t="s">
        <v>16</v>
      </c>
      <c r="J555">
        <v>2.9</v>
      </c>
      <c r="K555" t="str">
        <f>IF(Table1_1[[#This Row],[Quantity Sold]]&gt;=3,"BULK ORDER","REGULAR ORDER")</f>
        <v>BULK ORDER</v>
      </c>
      <c r="L555" t="str">
        <f>IF(Table1_1[[#This Row],[Customer Rating]]&gt;=4.5,"EXCELLENT",IF(Table1_1[[#This Row],[Customer Rating]]&lt;=4,"GOOD","AVERAGE"))</f>
        <v>GOOD</v>
      </c>
    </row>
    <row r="556" spans="1:12" x14ac:dyDescent="0.3">
      <c r="A556" t="s">
        <v>846</v>
      </c>
      <c r="B556" t="s">
        <v>1054</v>
      </c>
      <c r="C556" t="s">
        <v>1055</v>
      </c>
      <c r="D556">
        <v>46891.65</v>
      </c>
      <c r="E556">
        <v>3</v>
      </c>
      <c r="F556">
        <f>SUM(Table1_1[[#This Row],[Price (INR)]]*Table1_1[[#This Row],[Quantity Sold]])</f>
        <v>140674.95000000001</v>
      </c>
      <c r="G556">
        <v>140674.95000000001</v>
      </c>
      <c r="H556" s="1">
        <v>45604</v>
      </c>
      <c r="I556" t="s">
        <v>1071</v>
      </c>
      <c r="J556">
        <v>2.9</v>
      </c>
      <c r="K556" t="str">
        <f>IF(Table1_1[[#This Row],[Quantity Sold]]&gt;=3,"BULK ORDER","REGULAR ORDER")</f>
        <v>BULK ORDER</v>
      </c>
      <c r="L556" t="str">
        <f>IF(Table1_1[[#This Row],[Customer Rating]]&gt;=4.5,"EXCELLENT",IF(Table1_1[[#This Row],[Customer Rating]]&lt;=4,"GOOD","AVERAGE"))</f>
        <v>GOOD</v>
      </c>
    </row>
    <row r="557" spans="1:12" x14ac:dyDescent="0.3">
      <c r="A557" t="s">
        <v>910</v>
      </c>
      <c r="B557" t="s">
        <v>1052</v>
      </c>
      <c r="C557" t="s">
        <v>1053</v>
      </c>
      <c r="D557">
        <v>14064.35</v>
      </c>
      <c r="E557">
        <v>2</v>
      </c>
      <c r="F557">
        <f>SUM(Table1_1[[#This Row],[Price (INR)]]*Table1_1[[#This Row],[Quantity Sold]])</f>
        <v>28128.7</v>
      </c>
      <c r="G557">
        <v>28128.7</v>
      </c>
      <c r="H557" s="1">
        <v>45401</v>
      </c>
      <c r="I557" t="s">
        <v>1071</v>
      </c>
      <c r="J557">
        <v>2.9</v>
      </c>
      <c r="K557" t="str">
        <f>IF(Table1_1[[#This Row],[Quantity Sold]]&gt;=3,"BULK ORDER","REGULAR ORDER")</f>
        <v>REGULAR ORDER</v>
      </c>
      <c r="L557" t="str">
        <f>IF(Table1_1[[#This Row],[Customer Rating]]&gt;=4.5,"EXCELLENT",IF(Table1_1[[#This Row],[Customer Rating]]&lt;=4,"GOOD","AVERAGE"))</f>
        <v>GOOD</v>
      </c>
    </row>
    <row r="558" spans="1:12" x14ac:dyDescent="0.3">
      <c r="A558" t="s">
        <v>961</v>
      </c>
      <c r="B558" t="s">
        <v>1050</v>
      </c>
      <c r="C558" t="s">
        <v>1051</v>
      </c>
      <c r="D558">
        <v>35139.53</v>
      </c>
      <c r="E558">
        <v>1</v>
      </c>
      <c r="F558">
        <f>SUM(Table1_1[[#This Row],[Price (INR)]]*Table1_1[[#This Row],[Quantity Sold]])</f>
        <v>35139.53</v>
      </c>
      <c r="G558">
        <v>35139.53</v>
      </c>
      <c r="H558" s="1">
        <v>45431</v>
      </c>
      <c r="I558" t="s">
        <v>1059</v>
      </c>
      <c r="J558">
        <v>2.9</v>
      </c>
      <c r="K558" t="str">
        <f>IF(Table1_1[[#This Row],[Quantity Sold]]&gt;=3,"BULK ORDER","REGULAR ORDER")</f>
        <v>REGULAR ORDER</v>
      </c>
      <c r="L558" t="str">
        <f>IF(Table1_1[[#This Row],[Customer Rating]]&gt;=4.5,"EXCELLENT",IF(Table1_1[[#This Row],[Customer Rating]]&lt;=4,"GOOD","AVERAGE"))</f>
        <v>GOOD</v>
      </c>
    </row>
    <row r="559" spans="1:12" x14ac:dyDescent="0.3">
      <c r="A559" t="s">
        <v>970</v>
      </c>
      <c r="B559" t="s">
        <v>1079</v>
      </c>
      <c r="C559" t="s">
        <v>1057</v>
      </c>
      <c r="D559">
        <v>8058.4</v>
      </c>
      <c r="E559">
        <v>3</v>
      </c>
      <c r="F559">
        <f>SUM(Table1_1[[#This Row],[Price (INR)]]*Table1_1[[#This Row],[Quantity Sold]])</f>
        <v>24175.199999999997</v>
      </c>
      <c r="G559">
        <v>24175.200000000001</v>
      </c>
      <c r="H559" s="1">
        <v>45624</v>
      </c>
      <c r="I559" t="s">
        <v>1071</v>
      </c>
      <c r="J559">
        <v>2.9</v>
      </c>
      <c r="K559" t="str">
        <f>IF(Table1_1[[#This Row],[Quantity Sold]]&gt;=3,"BULK ORDER","REGULAR ORDER")</f>
        <v>BULK ORDER</v>
      </c>
      <c r="L559" t="str">
        <f>IF(Table1_1[[#This Row],[Customer Rating]]&gt;=4.5,"EXCELLENT",IF(Table1_1[[#This Row],[Customer Rating]]&lt;=4,"GOOD","AVERAGE"))</f>
        <v>GOOD</v>
      </c>
    </row>
    <row r="560" spans="1:12" x14ac:dyDescent="0.3">
      <c r="A560" t="s">
        <v>1008</v>
      </c>
      <c r="B560" t="s">
        <v>1074</v>
      </c>
      <c r="C560" t="s">
        <v>1055</v>
      </c>
      <c r="D560">
        <v>30706.15</v>
      </c>
      <c r="E560">
        <v>4</v>
      </c>
      <c r="F560">
        <f>SUM(Table1_1[[#This Row],[Price (INR)]]*Table1_1[[#This Row],[Quantity Sold]])</f>
        <v>122824.6</v>
      </c>
      <c r="G560">
        <v>122824.6</v>
      </c>
      <c r="H560" s="1">
        <v>45510</v>
      </c>
      <c r="I560" t="s">
        <v>16</v>
      </c>
      <c r="J560">
        <v>2.9</v>
      </c>
      <c r="K560" t="str">
        <f>IF(Table1_1[[#This Row],[Quantity Sold]]&gt;=3,"BULK ORDER","REGULAR ORDER")</f>
        <v>BULK ORDER</v>
      </c>
      <c r="L560" t="str">
        <f>IF(Table1_1[[#This Row],[Customer Rating]]&gt;=4.5,"EXCELLENT",IF(Table1_1[[#This Row],[Customer Rating]]&lt;=4,"GOOD","AVERAGE"))</f>
        <v>GOOD</v>
      </c>
    </row>
    <row r="561" spans="1:12" x14ac:dyDescent="0.3">
      <c r="A561" t="s">
        <v>1026</v>
      </c>
      <c r="B561" t="s">
        <v>1077</v>
      </c>
      <c r="C561" t="s">
        <v>1048</v>
      </c>
      <c r="D561">
        <v>29678.85</v>
      </c>
      <c r="E561">
        <v>3</v>
      </c>
      <c r="F561">
        <f>SUM(Table1_1[[#This Row],[Price (INR)]]*Table1_1[[#This Row],[Quantity Sold]])</f>
        <v>89036.549999999988</v>
      </c>
      <c r="G561">
        <v>89036.55</v>
      </c>
      <c r="H561" s="1">
        <v>45590</v>
      </c>
      <c r="I561" t="s">
        <v>16</v>
      </c>
      <c r="J561">
        <v>2.9</v>
      </c>
      <c r="K561" t="str">
        <f>IF(Table1_1[[#This Row],[Quantity Sold]]&gt;=3,"BULK ORDER","REGULAR ORDER")</f>
        <v>BULK ORDER</v>
      </c>
      <c r="L561" t="str">
        <f>IF(Table1_1[[#This Row],[Customer Rating]]&gt;=4.5,"EXCELLENT",IF(Table1_1[[#This Row],[Customer Rating]]&lt;=4,"GOOD","AVERAGE"))</f>
        <v>GOOD</v>
      </c>
    </row>
    <row r="562" spans="1:12" x14ac:dyDescent="0.3">
      <c r="A562" t="s">
        <v>59</v>
      </c>
      <c r="B562" t="s">
        <v>1072</v>
      </c>
      <c r="C562" t="s">
        <v>1057</v>
      </c>
      <c r="D562">
        <v>32505.96</v>
      </c>
      <c r="E562">
        <v>1</v>
      </c>
      <c r="F562">
        <f>SUM(Table1_1[[#This Row],[Price (INR)]]*Table1_1[[#This Row],[Quantity Sold]])</f>
        <v>32505.96</v>
      </c>
      <c r="G562">
        <v>32505.96</v>
      </c>
      <c r="H562" s="1">
        <v>45370</v>
      </c>
      <c r="I562" t="s">
        <v>1059</v>
      </c>
      <c r="J562">
        <v>2.8</v>
      </c>
      <c r="K562" t="str">
        <f>IF(Table1_1[[#This Row],[Quantity Sold]]&gt;=3,"BULK ORDER","REGULAR ORDER")</f>
        <v>REGULAR ORDER</v>
      </c>
      <c r="L562" t="str">
        <f>IF(Table1_1[[#This Row],[Customer Rating]]&gt;=4.5,"EXCELLENT",IF(Table1_1[[#This Row],[Customer Rating]]&lt;=4,"GOOD","AVERAGE"))</f>
        <v>GOOD</v>
      </c>
    </row>
    <row r="563" spans="1:12" x14ac:dyDescent="0.3">
      <c r="A563" t="s">
        <v>85</v>
      </c>
      <c r="B563" t="s">
        <v>1075</v>
      </c>
      <c r="C563" t="s">
        <v>1053</v>
      </c>
      <c r="D563">
        <v>31850.15</v>
      </c>
      <c r="E563">
        <v>2</v>
      </c>
      <c r="F563">
        <f>SUM(Table1_1[[#This Row],[Price (INR)]]*Table1_1[[#This Row],[Quantity Sold]])</f>
        <v>63700.3</v>
      </c>
      <c r="G563">
        <v>63700.3</v>
      </c>
      <c r="H563" s="1">
        <v>45396</v>
      </c>
      <c r="I563" t="s">
        <v>1071</v>
      </c>
      <c r="J563">
        <v>2.8</v>
      </c>
      <c r="K563" t="str">
        <f>IF(Table1_1[[#This Row],[Quantity Sold]]&gt;=3,"BULK ORDER","REGULAR ORDER")</f>
        <v>REGULAR ORDER</v>
      </c>
      <c r="L563" t="str">
        <f>IF(Table1_1[[#This Row],[Customer Rating]]&gt;=4.5,"EXCELLENT",IF(Table1_1[[#This Row],[Customer Rating]]&lt;=4,"GOOD","AVERAGE"))</f>
        <v>GOOD</v>
      </c>
    </row>
    <row r="564" spans="1:12" x14ac:dyDescent="0.3">
      <c r="A564" t="s">
        <v>161</v>
      </c>
      <c r="B564" t="s">
        <v>1070</v>
      </c>
      <c r="C564" t="s">
        <v>1051</v>
      </c>
      <c r="D564">
        <v>13019.07</v>
      </c>
      <c r="E564">
        <v>3</v>
      </c>
      <c r="F564">
        <f>SUM(Table1_1[[#This Row],[Price (INR)]]*Table1_1[[#This Row],[Quantity Sold]])</f>
        <v>39057.21</v>
      </c>
      <c r="G564">
        <v>39057.21</v>
      </c>
      <c r="H564" s="1">
        <v>45690</v>
      </c>
      <c r="I564" t="s">
        <v>1068</v>
      </c>
      <c r="J564">
        <v>2.8</v>
      </c>
      <c r="K564" t="str">
        <f>IF(Table1_1[[#This Row],[Quantity Sold]]&gt;=3,"BULK ORDER","REGULAR ORDER")</f>
        <v>BULK ORDER</v>
      </c>
      <c r="L564" t="str">
        <f>IF(Table1_1[[#This Row],[Customer Rating]]&gt;=4.5,"EXCELLENT",IF(Table1_1[[#This Row],[Customer Rating]]&lt;=4,"GOOD","AVERAGE"))</f>
        <v>GOOD</v>
      </c>
    </row>
    <row r="565" spans="1:12" x14ac:dyDescent="0.3">
      <c r="A565" t="s">
        <v>224</v>
      </c>
      <c r="B565" t="s">
        <v>1067</v>
      </c>
      <c r="C565" t="s">
        <v>1048</v>
      </c>
      <c r="D565">
        <v>27204.69</v>
      </c>
      <c r="E565">
        <v>1</v>
      </c>
      <c r="F565">
        <f>SUM(Table1_1[[#This Row],[Price (INR)]]*Table1_1[[#This Row],[Quantity Sold]])</f>
        <v>27204.69</v>
      </c>
      <c r="G565">
        <v>27204.69</v>
      </c>
      <c r="H565" s="1">
        <v>45697</v>
      </c>
      <c r="I565" t="s">
        <v>1049</v>
      </c>
      <c r="J565">
        <v>2.8</v>
      </c>
      <c r="K565" t="str">
        <f>IF(Table1_1[[#This Row],[Quantity Sold]]&gt;=3,"BULK ORDER","REGULAR ORDER")</f>
        <v>REGULAR ORDER</v>
      </c>
      <c r="L565" t="str">
        <f>IF(Table1_1[[#This Row],[Customer Rating]]&gt;=4.5,"EXCELLENT",IF(Table1_1[[#This Row],[Customer Rating]]&lt;=4,"GOOD","AVERAGE"))</f>
        <v>GOOD</v>
      </c>
    </row>
    <row r="566" spans="1:12" x14ac:dyDescent="0.3">
      <c r="A566" t="s">
        <v>299</v>
      </c>
      <c r="B566" t="s">
        <v>1047</v>
      </c>
      <c r="C566" t="s">
        <v>1048</v>
      </c>
      <c r="D566">
        <v>17066.16</v>
      </c>
      <c r="E566">
        <v>1</v>
      </c>
      <c r="F566">
        <f>SUM(Table1_1[[#This Row],[Price (INR)]]*Table1_1[[#This Row],[Quantity Sold]])</f>
        <v>17066.16</v>
      </c>
      <c r="G566">
        <v>17066.16</v>
      </c>
      <c r="H566" s="1">
        <v>45550</v>
      </c>
      <c r="I566" t="s">
        <v>1059</v>
      </c>
      <c r="J566">
        <v>2.8</v>
      </c>
      <c r="K566" t="str">
        <f>IF(Table1_1[[#This Row],[Quantity Sold]]&gt;=3,"BULK ORDER","REGULAR ORDER")</f>
        <v>REGULAR ORDER</v>
      </c>
      <c r="L566" t="str">
        <f>IF(Table1_1[[#This Row],[Customer Rating]]&gt;=4.5,"EXCELLENT",IF(Table1_1[[#This Row],[Customer Rating]]&lt;=4,"GOOD","AVERAGE"))</f>
        <v>GOOD</v>
      </c>
    </row>
    <row r="567" spans="1:12" x14ac:dyDescent="0.3">
      <c r="A567" t="s">
        <v>329</v>
      </c>
      <c r="B567" t="s">
        <v>1077</v>
      </c>
      <c r="C567" t="s">
        <v>1048</v>
      </c>
      <c r="D567">
        <v>1626.1</v>
      </c>
      <c r="E567">
        <v>5</v>
      </c>
      <c r="F567">
        <f>SUM(Table1_1[[#This Row],[Price (INR)]]*Table1_1[[#This Row],[Quantity Sold]])</f>
        <v>8130.5</v>
      </c>
      <c r="G567">
        <v>8130.5</v>
      </c>
      <c r="H567" s="1">
        <v>45611</v>
      </c>
      <c r="I567" t="s">
        <v>1068</v>
      </c>
      <c r="J567">
        <v>2.8</v>
      </c>
      <c r="K567" t="str">
        <f>IF(Table1_1[[#This Row],[Quantity Sold]]&gt;=3,"BULK ORDER","REGULAR ORDER")</f>
        <v>BULK ORDER</v>
      </c>
      <c r="L567" t="str">
        <f>IF(Table1_1[[#This Row],[Customer Rating]]&gt;=4.5,"EXCELLENT",IF(Table1_1[[#This Row],[Customer Rating]]&lt;=4,"GOOD","AVERAGE"))</f>
        <v>GOOD</v>
      </c>
    </row>
    <row r="568" spans="1:12" x14ac:dyDescent="0.3">
      <c r="A568" t="s">
        <v>522</v>
      </c>
      <c r="B568" t="s">
        <v>1077</v>
      </c>
      <c r="C568" t="s">
        <v>1048</v>
      </c>
      <c r="D568">
        <v>11864.67</v>
      </c>
      <c r="E568">
        <v>5</v>
      </c>
      <c r="F568">
        <f>SUM(Table1_1[[#This Row],[Price (INR)]]*Table1_1[[#This Row],[Quantity Sold]])</f>
        <v>59323.35</v>
      </c>
      <c r="G568">
        <v>59323.35</v>
      </c>
      <c r="H568" s="1">
        <v>45548</v>
      </c>
      <c r="I568" t="s">
        <v>1071</v>
      </c>
      <c r="J568">
        <v>2.8</v>
      </c>
      <c r="K568" t="str">
        <f>IF(Table1_1[[#This Row],[Quantity Sold]]&gt;=3,"BULK ORDER","REGULAR ORDER")</f>
        <v>BULK ORDER</v>
      </c>
      <c r="L568" t="str">
        <f>IF(Table1_1[[#This Row],[Customer Rating]]&gt;=4.5,"EXCELLENT",IF(Table1_1[[#This Row],[Customer Rating]]&lt;=4,"GOOD","AVERAGE"))</f>
        <v>GOOD</v>
      </c>
    </row>
    <row r="569" spans="1:12" x14ac:dyDescent="0.3">
      <c r="A569" t="s">
        <v>530</v>
      </c>
      <c r="B569" t="s">
        <v>1080</v>
      </c>
      <c r="C569" t="s">
        <v>1051</v>
      </c>
      <c r="D569">
        <v>45426.39</v>
      </c>
      <c r="E569">
        <v>4</v>
      </c>
      <c r="F569">
        <f>SUM(Table1_1[[#This Row],[Price (INR)]]*Table1_1[[#This Row],[Quantity Sold]])</f>
        <v>181705.56</v>
      </c>
      <c r="G569">
        <v>181705.56</v>
      </c>
      <c r="H569" s="1">
        <v>45596</v>
      </c>
      <c r="I569" t="s">
        <v>1071</v>
      </c>
      <c r="J569">
        <v>2.8</v>
      </c>
      <c r="K569" t="str">
        <f>IF(Table1_1[[#This Row],[Quantity Sold]]&gt;=3,"BULK ORDER","REGULAR ORDER")</f>
        <v>BULK ORDER</v>
      </c>
      <c r="L569" t="str">
        <f>IF(Table1_1[[#This Row],[Customer Rating]]&gt;=4.5,"EXCELLENT",IF(Table1_1[[#This Row],[Customer Rating]]&lt;=4,"GOOD","AVERAGE"))</f>
        <v>GOOD</v>
      </c>
    </row>
    <row r="570" spans="1:12" x14ac:dyDescent="0.3">
      <c r="A570" t="s">
        <v>547</v>
      </c>
      <c r="B570" t="s">
        <v>1062</v>
      </c>
      <c r="C570" t="s">
        <v>1051</v>
      </c>
      <c r="D570">
        <v>16523.689999999999</v>
      </c>
      <c r="E570">
        <v>3</v>
      </c>
      <c r="F570">
        <f>SUM(Table1_1[[#This Row],[Price (INR)]]*Table1_1[[#This Row],[Quantity Sold]])</f>
        <v>49571.069999999992</v>
      </c>
      <c r="G570">
        <v>49571.07</v>
      </c>
      <c r="H570" s="1">
        <v>45521</v>
      </c>
      <c r="I570" t="s">
        <v>1068</v>
      </c>
      <c r="J570">
        <v>2.8</v>
      </c>
      <c r="K570" t="str">
        <f>IF(Table1_1[[#This Row],[Quantity Sold]]&gt;=3,"BULK ORDER","REGULAR ORDER")</f>
        <v>BULK ORDER</v>
      </c>
      <c r="L570" t="str">
        <f>IF(Table1_1[[#This Row],[Customer Rating]]&gt;=4.5,"EXCELLENT",IF(Table1_1[[#This Row],[Customer Rating]]&lt;=4,"GOOD","AVERAGE"))</f>
        <v>GOOD</v>
      </c>
    </row>
    <row r="571" spans="1:12" x14ac:dyDescent="0.3">
      <c r="A571" t="s">
        <v>635</v>
      </c>
      <c r="B571" t="s">
        <v>1078</v>
      </c>
      <c r="C571" t="s">
        <v>1048</v>
      </c>
      <c r="D571">
        <v>40295.47</v>
      </c>
      <c r="E571">
        <v>3</v>
      </c>
      <c r="F571">
        <f>SUM(Table1_1[[#This Row],[Price (INR)]]*Table1_1[[#This Row],[Quantity Sold]])</f>
        <v>120886.41</v>
      </c>
      <c r="G571">
        <v>120886.41</v>
      </c>
      <c r="H571" s="1">
        <v>45411</v>
      </c>
      <c r="I571" t="s">
        <v>16</v>
      </c>
      <c r="J571">
        <v>2.8</v>
      </c>
      <c r="K571" t="str">
        <f>IF(Table1_1[[#This Row],[Quantity Sold]]&gt;=3,"BULK ORDER","REGULAR ORDER")</f>
        <v>BULK ORDER</v>
      </c>
      <c r="L571" t="str">
        <f>IF(Table1_1[[#This Row],[Customer Rating]]&gt;=4.5,"EXCELLENT",IF(Table1_1[[#This Row],[Customer Rating]]&lt;=4,"GOOD","AVERAGE"))</f>
        <v>GOOD</v>
      </c>
    </row>
    <row r="572" spans="1:12" x14ac:dyDescent="0.3">
      <c r="A572" t="s">
        <v>645</v>
      </c>
      <c r="B572" t="s">
        <v>1054</v>
      </c>
      <c r="C572" t="s">
        <v>1055</v>
      </c>
      <c r="D572">
        <v>32122.43</v>
      </c>
      <c r="E572">
        <v>4</v>
      </c>
      <c r="F572">
        <f>SUM(Table1_1[[#This Row],[Price (INR)]]*Table1_1[[#This Row],[Quantity Sold]])</f>
        <v>128489.72</v>
      </c>
      <c r="G572">
        <v>128489.72</v>
      </c>
      <c r="H572" s="1">
        <v>45344</v>
      </c>
      <c r="I572" t="s">
        <v>42</v>
      </c>
      <c r="J572">
        <v>2.8</v>
      </c>
      <c r="K572" t="str">
        <f>IF(Table1_1[[#This Row],[Quantity Sold]]&gt;=3,"BULK ORDER","REGULAR ORDER")</f>
        <v>BULK ORDER</v>
      </c>
      <c r="L572" t="str">
        <f>IF(Table1_1[[#This Row],[Customer Rating]]&gt;=4.5,"EXCELLENT",IF(Table1_1[[#This Row],[Customer Rating]]&lt;=4,"GOOD","AVERAGE"))</f>
        <v>GOOD</v>
      </c>
    </row>
    <row r="573" spans="1:12" x14ac:dyDescent="0.3">
      <c r="A573" t="s">
        <v>649</v>
      </c>
      <c r="B573" t="s">
        <v>1052</v>
      </c>
      <c r="C573" t="s">
        <v>1053</v>
      </c>
      <c r="D573">
        <v>10320.870000000001</v>
      </c>
      <c r="E573">
        <v>5</v>
      </c>
      <c r="F573">
        <f>SUM(Table1_1[[#This Row],[Price (INR)]]*Table1_1[[#This Row],[Quantity Sold]])</f>
        <v>51604.350000000006</v>
      </c>
      <c r="G573">
        <v>51604.35</v>
      </c>
      <c r="H573" s="1">
        <v>45693</v>
      </c>
      <c r="I573" t="s">
        <v>1059</v>
      </c>
      <c r="J573">
        <v>2.8</v>
      </c>
      <c r="K573" t="str">
        <f>IF(Table1_1[[#This Row],[Quantity Sold]]&gt;=3,"BULK ORDER","REGULAR ORDER")</f>
        <v>BULK ORDER</v>
      </c>
      <c r="L573" t="str">
        <f>IF(Table1_1[[#This Row],[Customer Rating]]&gt;=4.5,"EXCELLENT",IF(Table1_1[[#This Row],[Customer Rating]]&lt;=4,"GOOD","AVERAGE"))</f>
        <v>GOOD</v>
      </c>
    </row>
    <row r="574" spans="1:12" x14ac:dyDescent="0.3">
      <c r="A574" t="s">
        <v>704</v>
      </c>
      <c r="B574" t="s">
        <v>1065</v>
      </c>
      <c r="C574" t="s">
        <v>1053</v>
      </c>
      <c r="D574">
        <v>12779.59</v>
      </c>
      <c r="E574">
        <v>5</v>
      </c>
      <c r="F574">
        <f>SUM(Table1_1[[#This Row],[Price (INR)]]*Table1_1[[#This Row],[Quantity Sold]])</f>
        <v>63897.95</v>
      </c>
      <c r="G574">
        <v>63897.95</v>
      </c>
      <c r="H574" s="1">
        <v>45620</v>
      </c>
      <c r="I574" t="s">
        <v>1068</v>
      </c>
      <c r="J574">
        <v>2.8</v>
      </c>
      <c r="K574" t="str">
        <f>IF(Table1_1[[#This Row],[Quantity Sold]]&gt;=3,"BULK ORDER","REGULAR ORDER")</f>
        <v>BULK ORDER</v>
      </c>
      <c r="L574" t="str">
        <f>IF(Table1_1[[#This Row],[Customer Rating]]&gt;=4.5,"EXCELLENT",IF(Table1_1[[#This Row],[Customer Rating]]&lt;=4,"GOOD","AVERAGE"))</f>
        <v>GOOD</v>
      </c>
    </row>
    <row r="575" spans="1:12" x14ac:dyDescent="0.3">
      <c r="A575" t="s">
        <v>801</v>
      </c>
      <c r="B575" t="s">
        <v>1069</v>
      </c>
      <c r="C575" t="s">
        <v>1048</v>
      </c>
      <c r="D575">
        <v>5299.58</v>
      </c>
      <c r="E575">
        <v>4</v>
      </c>
      <c r="F575">
        <f>SUM(Table1_1[[#This Row],[Price (INR)]]*Table1_1[[#This Row],[Quantity Sold]])</f>
        <v>21198.32</v>
      </c>
      <c r="G575">
        <v>21198.32</v>
      </c>
      <c r="H575" s="1">
        <v>45531</v>
      </c>
      <c r="I575" t="s">
        <v>1049</v>
      </c>
      <c r="J575">
        <v>2.8</v>
      </c>
      <c r="K575" t="str">
        <f>IF(Table1_1[[#This Row],[Quantity Sold]]&gt;=3,"BULK ORDER","REGULAR ORDER")</f>
        <v>BULK ORDER</v>
      </c>
      <c r="L575" t="str">
        <f>IF(Table1_1[[#This Row],[Customer Rating]]&gt;=4.5,"EXCELLENT",IF(Table1_1[[#This Row],[Customer Rating]]&lt;=4,"GOOD","AVERAGE"))</f>
        <v>GOOD</v>
      </c>
    </row>
    <row r="576" spans="1:12" x14ac:dyDescent="0.3">
      <c r="A576" t="s">
        <v>814</v>
      </c>
      <c r="B576" t="s">
        <v>1076</v>
      </c>
      <c r="C576" t="s">
        <v>1055</v>
      </c>
      <c r="D576">
        <v>42210.82</v>
      </c>
      <c r="E576">
        <v>2</v>
      </c>
      <c r="F576">
        <f>SUM(Table1_1[[#This Row],[Price (INR)]]*Table1_1[[#This Row],[Quantity Sold]])</f>
        <v>84421.64</v>
      </c>
      <c r="G576">
        <v>84421.64</v>
      </c>
      <c r="H576" s="1">
        <v>45375</v>
      </c>
      <c r="I576" t="s">
        <v>1059</v>
      </c>
      <c r="J576">
        <v>2.8</v>
      </c>
      <c r="K576" t="str">
        <f>IF(Table1_1[[#This Row],[Quantity Sold]]&gt;=3,"BULK ORDER","REGULAR ORDER")</f>
        <v>REGULAR ORDER</v>
      </c>
      <c r="L576" t="str">
        <f>IF(Table1_1[[#This Row],[Customer Rating]]&gt;=4.5,"EXCELLENT",IF(Table1_1[[#This Row],[Customer Rating]]&lt;=4,"GOOD","AVERAGE"))</f>
        <v>GOOD</v>
      </c>
    </row>
    <row r="577" spans="1:12" x14ac:dyDescent="0.3">
      <c r="A577" t="s">
        <v>822</v>
      </c>
      <c r="B577" t="s">
        <v>1077</v>
      </c>
      <c r="C577" t="s">
        <v>1048</v>
      </c>
      <c r="D577">
        <v>4226.03</v>
      </c>
      <c r="E577">
        <v>1</v>
      </c>
      <c r="F577">
        <f>SUM(Table1_1[[#This Row],[Price (INR)]]*Table1_1[[#This Row],[Quantity Sold]])</f>
        <v>4226.03</v>
      </c>
      <c r="G577">
        <v>4226.03</v>
      </c>
      <c r="H577" s="1">
        <v>45542</v>
      </c>
      <c r="I577" t="s">
        <v>1049</v>
      </c>
      <c r="J577">
        <v>2.8</v>
      </c>
      <c r="K577" t="str">
        <f>IF(Table1_1[[#This Row],[Quantity Sold]]&gt;=3,"BULK ORDER","REGULAR ORDER")</f>
        <v>REGULAR ORDER</v>
      </c>
      <c r="L577" t="str">
        <f>IF(Table1_1[[#This Row],[Customer Rating]]&gt;=4.5,"EXCELLENT",IF(Table1_1[[#This Row],[Customer Rating]]&lt;=4,"GOOD","AVERAGE"))</f>
        <v>GOOD</v>
      </c>
    </row>
    <row r="578" spans="1:12" x14ac:dyDescent="0.3">
      <c r="A578" t="s">
        <v>952</v>
      </c>
      <c r="B578" t="s">
        <v>1050</v>
      </c>
      <c r="C578" t="s">
        <v>1051</v>
      </c>
      <c r="D578">
        <v>4442.1000000000004</v>
      </c>
      <c r="E578">
        <v>3</v>
      </c>
      <c r="F578">
        <f>SUM(Table1_1[[#This Row],[Price (INR)]]*Table1_1[[#This Row],[Quantity Sold]])</f>
        <v>13326.300000000001</v>
      </c>
      <c r="G578">
        <v>13326.3</v>
      </c>
      <c r="H578" s="1">
        <v>45380</v>
      </c>
      <c r="I578" t="s">
        <v>1049</v>
      </c>
      <c r="J578">
        <v>2.8</v>
      </c>
      <c r="K578" t="str">
        <f>IF(Table1_1[[#This Row],[Quantity Sold]]&gt;=3,"BULK ORDER","REGULAR ORDER")</f>
        <v>BULK ORDER</v>
      </c>
      <c r="L578" t="str">
        <f>IF(Table1_1[[#This Row],[Customer Rating]]&gt;=4.5,"EXCELLENT",IF(Table1_1[[#This Row],[Customer Rating]]&lt;=4,"GOOD","AVERAGE"))</f>
        <v>GOOD</v>
      </c>
    </row>
    <row r="579" spans="1:12" x14ac:dyDescent="0.3">
      <c r="A579" t="s">
        <v>981</v>
      </c>
      <c r="B579" t="s">
        <v>1067</v>
      </c>
      <c r="C579" t="s">
        <v>1048</v>
      </c>
      <c r="D579">
        <v>11216.38</v>
      </c>
      <c r="E579">
        <v>5</v>
      </c>
      <c r="F579">
        <f>SUM(Table1_1[[#This Row],[Price (INR)]]*Table1_1[[#This Row],[Quantity Sold]])</f>
        <v>56081.899999999994</v>
      </c>
      <c r="G579">
        <v>56081.9</v>
      </c>
      <c r="H579" s="1">
        <v>45362</v>
      </c>
      <c r="I579" t="s">
        <v>42</v>
      </c>
      <c r="J579">
        <v>2.8</v>
      </c>
      <c r="K579" t="str">
        <f>IF(Table1_1[[#This Row],[Quantity Sold]]&gt;=3,"BULK ORDER","REGULAR ORDER")</f>
        <v>BULK ORDER</v>
      </c>
      <c r="L579" t="str">
        <f>IF(Table1_1[[#This Row],[Customer Rating]]&gt;=4.5,"EXCELLENT",IF(Table1_1[[#This Row],[Customer Rating]]&lt;=4,"GOOD","AVERAGE"))</f>
        <v>GOOD</v>
      </c>
    </row>
    <row r="580" spans="1:12" x14ac:dyDescent="0.3">
      <c r="A580" t="s">
        <v>105</v>
      </c>
      <c r="B580" t="s">
        <v>1054</v>
      </c>
      <c r="C580" t="s">
        <v>1055</v>
      </c>
      <c r="D580">
        <v>15229.67</v>
      </c>
      <c r="E580">
        <v>3</v>
      </c>
      <c r="F580">
        <f>SUM(Table1_1[[#This Row],[Price (INR)]]*Table1_1[[#This Row],[Quantity Sold]])</f>
        <v>45689.01</v>
      </c>
      <c r="G580">
        <v>45689.01</v>
      </c>
      <c r="H580" s="1">
        <v>45494</v>
      </c>
      <c r="I580" t="s">
        <v>1068</v>
      </c>
      <c r="J580">
        <v>2.7</v>
      </c>
      <c r="K580" t="str">
        <f>IF(Table1_1[[#This Row],[Quantity Sold]]&gt;=3,"BULK ORDER","REGULAR ORDER")</f>
        <v>BULK ORDER</v>
      </c>
      <c r="L580" t="str">
        <f>IF(Table1_1[[#This Row],[Customer Rating]]&gt;=4.5,"EXCELLENT",IF(Table1_1[[#This Row],[Customer Rating]]&lt;=4,"GOOD","AVERAGE"))</f>
        <v>GOOD</v>
      </c>
    </row>
    <row r="581" spans="1:12" x14ac:dyDescent="0.3">
      <c r="A581" t="s">
        <v>125</v>
      </c>
      <c r="B581" t="s">
        <v>1066</v>
      </c>
      <c r="C581" t="s">
        <v>1055</v>
      </c>
      <c r="D581">
        <v>17104.91</v>
      </c>
      <c r="E581">
        <v>3</v>
      </c>
      <c r="F581">
        <f>SUM(Table1_1[[#This Row],[Price (INR)]]*Table1_1[[#This Row],[Quantity Sold]])</f>
        <v>51314.729999999996</v>
      </c>
      <c r="G581">
        <v>51314.73</v>
      </c>
      <c r="H581" s="1">
        <v>45636</v>
      </c>
      <c r="I581" t="s">
        <v>1068</v>
      </c>
      <c r="J581">
        <v>2.7</v>
      </c>
      <c r="K581" t="str">
        <f>IF(Table1_1[[#This Row],[Quantity Sold]]&gt;=3,"BULK ORDER","REGULAR ORDER")</f>
        <v>BULK ORDER</v>
      </c>
      <c r="L581" t="str">
        <f>IF(Table1_1[[#This Row],[Customer Rating]]&gt;=4.5,"EXCELLENT",IF(Table1_1[[#This Row],[Customer Rating]]&lt;=4,"GOOD","AVERAGE"))</f>
        <v>GOOD</v>
      </c>
    </row>
    <row r="582" spans="1:12" x14ac:dyDescent="0.3">
      <c r="A582" t="s">
        <v>194</v>
      </c>
      <c r="B582" t="s">
        <v>1064</v>
      </c>
      <c r="C582" t="s">
        <v>1053</v>
      </c>
      <c r="D582">
        <v>5293.87</v>
      </c>
      <c r="E582">
        <v>2</v>
      </c>
      <c r="F582">
        <f>SUM(Table1_1[[#This Row],[Price (INR)]]*Table1_1[[#This Row],[Quantity Sold]])</f>
        <v>10587.74</v>
      </c>
      <c r="G582">
        <v>10587.74</v>
      </c>
      <c r="H582" s="1">
        <v>45657</v>
      </c>
      <c r="I582" t="s">
        <v>1049</v>
      </c>
      <c r="J582">
        <v>2.7</v>
      </c>
      <c r="K582" t="str">
        <f>IF(Table1_1[[#This Row],[Quantity Sold]]&gt;=3,"BULK ORDER","REGULAR ORDER")</f>
        <v>REGULAR ORDER</v>
      </c>
      <c r="L582" t="str">
        <f>IF(Table1_1[[#This Row],[Customer Rating]]&gt;=4.5,"EXCELLENT",IF(Table1_1[[#This Row],[Customer Rating]]&lt;=4,"GOOD","AVERAGE"))</f>
        <v>GOOD</v>
      </c>
    </row>
    <row r="583" spans="1:12" x14ac:dyDescent="0.3">
      <c r="A583" t="s">
        <v>250</v>
      </c>
      <c r="B583" t="s">
        <v>1073</v>
      </c>
      <c r="C583" t="s">
        <v>1053</v>
      </c>
      <c r="D583">
        <v>32580</v>
      </c>
      <c r="E583">
        <v>5</v>
      </c>
      <c r="F583">
        <f>SUM(Table1_1[[#This Row],[Price (INR)]]*Table1_1[[#This Row],[Quantity Sold]])</f>
        <v>162900</v>
      </c>
      <c r="G583">
        <v>162900</v>
      </c>
      <c r="H583" s="1">
        <v>45378</v>
      </c>
      <c r="I583" t="s">
        <v>42</v>
      </c>
      <c r="J583">
        <v>2.7</v>
      </c>
      <c r="K583" t="str">
        <f>IF(Table1_1[[#This Row],[Quantity Sold]]&gt;=3,"BULK ORDER","REGULAR ORDER")</f>
        <v>BULK ORDER</v>
      </c>
      <c r="L583" t="str">
        <f>IF(Table1_1[[#This Row],[Customer Rating]]&gt;=4.5,"EXCELLENT",IF(Table1_1[[#This Row],[Customer Rating]]&lt;=4,"GOOD","AVERAGE"))</f>
        <v>GOOD</v>
      </c>
    </row>
    <row r="584" spans="1:12" x14ac:dyDescent="0.3">
      <c r="A584" t="s">
        <v>285</v>
      </c>
      <c r="B584" t="s">
        <v>1064</v>
      </c>
      <c r="C584" t="s">
        <v>1053</v>
      </c>
      <c r="D584">
        <v>28169.11</v>
      </c>
      <c r="E584">
        <v>5</v>
      </c>
      <c r="F584">
        <f>SUM(Table1_1[[#This Row],[Price (INR)]]*Table1_1[[#This Row],[Quantity Sold]])</f>
        <v>140845.54999999999</v>
      </c>
      <c r="G584">
        <v>140845.54999999999</v>
      </c>
      <c r="H584" s="1">
        <v>45416</v>
      </c>
      <c r="I584" t="s">
        <v>16</v>
      </c>
      <c r="J584">
        <v>2.7</v>
      </c>
      <c r="K584" t="str">
        <f>IF(Table1_1[[#This Row],[Quantity Sold]]&gt;=3,"BULK ORDER","REGULAR ORDER")</f>
        <v>BULK ORDER</v>
      </c>
      <c r="L584" t="str">
        <f>IF(Table1_1[[#This Row],[Customer Rating]]&gt;=4.5,"EXCELLENT",IF(Table1_1[[#This Row],[Customer Rating]]&lt;=4,"GOOD","AVERAGE"))</f>
        <v>GOOD</v>
      </c>
    </row>
    <row r="585" spans="1:12" x14ac:dyDescent="0.3">
      <c r="A585" t="s">
        <v>292</v>
      </c>
      <c r="B585" t="s">
        <v>1070</v>
      </c>
      <c r="C585" t="s">
        <v>1051</v>
      </c>
      <c r="D585">
        <v>29222.92</v>
      </c>
      <c r="E585">
        <v>3</v>
      </c>
      <c r="F585">
        <f>SUM(Table1_1[[#This Row],[Price (INR)]]*Table1_1[[#This Row],[Quantity Sold]])</f>
        <v>87668.76</v>
      </c>
      <c r="G585">
        <v>87668.76</v>
      </c>
      <c r="H585" s="1">
        <v>45581</v>
      </c>
      <c r="I585" t="s">
        <v>1049</v>
      </c>
      <c r="J585">
        <v>2.7</v>
      </c>
      <c r="K585" t="str">
        <f>IF(Table1_1[[#This Row],[Quantity Sold]]&gt;=3,"BULK ORDER","REGULAR ORDER")</f>
        <v>BULK ORDER</v>
      </c>
      <c r="L585" t="str">
        <f>IF(Table1_1[[#This Row],[Customer Rating]]&gt;=4.5,"EXCELLENT",IF(Table1_1[[#This Row],[Customer Rating]]&lt;=4,"GOOD","AVERAGE"))</f>
        <v>GOOD</v>
      </c>
    </row>
    <row r="586" spans="1:12" x14ac:dyDescent="0.3">
      <c r="A586" t="s">
        <v>469</v>
      </c>
      <c r="B586" t="s">
        <v>1047</v>
      </c>
      <c r="C586" t="s">
        <v>1048</v>
      </c>
      <c r="D586">
        <v>28577.34</v>
      </c>
      <c r="E586">
        <v>1</v>
      </c>
      <c r="F586">
        <f>SUM(Table1_1[[#This Row],[Price (INR)]]*Table1_1[[#This Row],[Quantity Sold]])</f>
        <v>28577.34</v>
      </c>
      <c r="G586">
        <v>28577.34</v>
      </c>
      <c r="H586" s="1">
        <v>45524</v>
      </c>
      <c r="I586" t="s">
        <v>16</v>
      </c>
      <c r="J586">
        <v>2.7</v>
      </c>
      <c r="K586" t="str">
        <f>IF(Table1_1[[#This Row],[Quantity Sold]]&gt;=3,"BULK ORDER","REGULAR ORDER")</f>
        <v>REGULAR ORDER</v>
      </c>
      <c r="L586" t="str">
        <f>IF(Table1_1[[#This Row],[Customer Rating]]&gt;=4.5,"EXCELLENT",IF(Table1_1[[#This Row],[Customer Rating]]&lt;=4,"GOOD","AVERAGE"))</f>
        <v>GOOD</v>
      </c>
    </row>
    <row r="587" spans="1:12" x14ac:dyDescent="0.3">
      <c r="A587" t="s">
        <v>480</v>
      </c>
      <c r="B587" t="s">
        <v>1066</v>
      </c>
      <c r="C587" t="s">
        <v>1055</v>
      </c>
      <c r="D587">
        <v>20087.650000000001</v>
      </c>
      <c r="E587">
        <v>2</v>
      </c>
      <c r="F587">
        <f>SUM(Table1_1[[#This Row],[Price (INR)]]*Table1_1[[#This Row],[Quantity Sold]])</f>
        <v>40175.300000000003</v>
      </c>
      <c r="G587">
        <v>40175.300000000003</v>
      </c>
      <c r="H587" s="1">
        <v>45592</v>
      </c>
      <c r="I587" t="s">
        <v>1059</v>
      </c>
      <c r="J587">
        <v>2.7</v>
      </c>
      <c r="K587" t="str">
        <f>IF(Table1_1[[#This Row],[Quantity Sold]]&gt;=3,"BULK ORDER","REGULAR ORDER")</f>
        <v>REGULAR ORDER</v>
      </c>
      <c r="L587" t="str">
        <f>IF(Table1_1[[#This Row],[Customer Rating]]&gt;=4.5,"EXCELLENT",IF(Table1_1[[#This Row],[Customer Rating]]&lt;=4,"GOOD","AVERAGE"))</f>
        <v>GOOD</v>
      </c>
    </row>
    <row r="588" spans="1:12" x14ac:dyDescent="0.3">
      <c r="A588" t="s">
        <v>497</v>
      </c>
      <c r="B588" t="s">
        <v>1062</v>
      </c>
      <c r="C588" t="s">
        <v>1051</v>
      </c>
      <c r="D588">
        <v>46205.47</v>
      </c>
      <c r="E588">
        <v>3</v>
      </c>
      <c r="F588">
        <f>SUM(Table1_1[[#This Row],[Price (INR)]]*Table1_1[[#This Row],[Quantity Sold]])</f>
        <v>138616.41</v>
      </c>
      <c r="G588">
        <v>138616.41</v>
      </c>
      <c r="H588" s="1">
        <v>45542</v>
      </c>
      <c r="I588" t="s">
        <v>1068</v>
      </c>
      <c r="J588">
        <v>2.7</v>
      </c>
      <c r="K588" t="str">
        <f>IF(Table1_1[[#This Row],[Quantity Sold]]&gt;=3,"BULK ORDER","REGULAR ORDER")</f>
        <v>BULK ORDER</v>
      </c>
      <c r="L588" t="str">
        <f>IF(Table1_1[[#This Row],[Customer Rating]]&gt;=4.5,"EXCELLENT",IF(Table1_1[[#This Row],[Customer Rating]]&lt;=4,"GOOD","AVERAGE"))</f>
        <v>GOOD</v>
      </c>
    </row>
    <row r="589" spans="1:12" x14ac:dyDescent="0.3">
      <c r="A589" t="s">
        <v>508</v>
      </c>
      <c r="B589" t="s">
        <v>1063</v>
      </c>
      <c r="C589" t="s">
        <v>1055</v>
      </c>
      <c r="D589">
        <v>12964.52</v>
      </c>
      <c r="E589">
        <v>2</v>
      </c>
      <c r="F589">
        <f>SUM(Table1_1[[#This Row],[Price (INR)]]*Table1_1[[#This Row],[Quantity Sold]])</f>
        <v>25929.040000000001</v>
      </c>
      <c r="G589">
        <v>25929.040000000001</v>
      </c>
      <c r="H589" s="1">
        <v>45619</v>
      </c>
      <c r="I589" t="s">
        <v>1059</v>
      </c>
      <c r="J589">
        <v>2.7</v>
      </c>
      <c r="K589" t="str">
        <f>IF(Table1_1[[#This Row],[Quantity Sold]]&gt;=3,"BULK ORDER","REGULAR ORDER")</f>
        <v>REGULAR ORDER</v>
      </c>
      <c r="L589" t="str">
        <f>IF(Table1_1[[#This Row],[Customer Rating]]&gt;=4.5,"EXCELLENT",IF(Table1_1[[#This Row],[Customer Rating]]&lt;=4,"GOOD","AVERAGE"))</f>
        <v>GOOD</v>
      </c>
    </row>
    <row r="590" spans="1:12" x14ac:dyDescent="0.3">
      <c r="A590" t="s">
        <v>596</v>
      </c>
      <c r="B590" t="s">
        <v>1075</v>
      </c>
      <c r="C590" t="s">
        <v>1053</v>
      </c>
      <c r="D590">
        <v>28156.95</v>
      </c>
      <c r="E590">
        <v>5</v>
      </c>
      <c r="F590">
        <f>SUM(Table1_1[[#This Row],[Price (INR)]]*Table1_1[[#This Row],[Quantity Sold]])</f>
        <v>140784.75</v>
      </c>
      <c r="G590">
        <v>140784.75</v>
      </c>
      <c r="H590" s="1">
        <v>45418</v>
      </c>
      <c r="I590" t="s">
        <v>16</v>
      </c>
      <c r="J590">
        <v>2.7</v>
      </c>
      <c r="K590" t="str">
        <f>IF(Table1_1[[#This Row],[Quantity Sold]]&gt;=3,"BULK ORDER","REGULAR ORDER")</f>
        <v>BULK ORDER</v>
      </c>
      <c r="L590" t="str">
        <f>IF(Table1_1[[#This Row],[Customer Rating]]&gt;=4.5,"EXCELLENT",IF(Table1_1[[#This Row],[Customer Rating]]&lt;=4,"GOOD","AVERAGE"))</f>
        <v>GOOD</v>
      </c>
    </row>
    <row r="591" spans="1:12" x14ac:dyDescent="0.3">
      <c r="A591" t="s">
        <v>614</v>
      </c>
      <c r="B591" t="s">
        <v>1063</v>
      </c>
      <c r="C591" t="s">
        <v>1055</v>
      </c>
      <c r="D591">
        <v>14488.22</v>
      </c>
      <c r="E591">
        <v>4</v>
      </c>
      <c r="F591">
        <f>SUM(Table1_1[[#This Row],[Price (INR)]]*Table1_1[[#This Row],[Quantity Sold]])</f>
        <v>57952.88</v>
      </c>
      <c r="G591">
        <v>57952.88</v>
      </c>
      <c r="H591" s="1">
        <v>45651</v>
      </c>
      <c r="I591" t="s">
        <v>1071</v>
      </c>
      <c r="J591">
        <v>2.7</v>
      </c>
      <c r="K591" t="str">
        <f>IF(Table1_1[[#This Row],[Quantity Sold]]&gt;=3,"BULK ORDER","REGULAR ORDER")</f>
        <v>BULK ORDER</v>
      </c>
      <c r="L591" t="str">
        <f>IF(Table1_1[[#This Row],[Customer Rating]]&gt;=4.5,"EXCELLENT",IF(Table1_1[[#This Row],[Customer Rating]]&lt;=4,"GOOD","AVERAGE"))</f>
        <v>GOOD</v>
      </c>
    </row>
    <row r="592" spans="1:12" x14ac:dyDescent="0.3">
      <c r="A592" t="s">
        <v>623</v>
      </c>
      <c r="B592" t="s">
        <v>1076</v>
      </c>
      <c r="C592" t="s">
        <v>1055</v>
      </c>
      <c r="D592">
        <v>31094.13</v>
      </c>
      <c r="E592">
        <v>1</v>
      </c>
      <c r="F592">
        <f>SUM(Table1_1[[#This Row],[Price (INR)]]*Table1_1[[#This Row],[Quantity Sold]])</f>
        <v>31094.13</v>
      </c>
      <c r="G592">
        <v>31094.13</v>
      </c>
      <c r="H592" s="1">
        <v>45599</v>
      </c>
      <c r="I592" t="s">
        <v>16</v>
      </c>
      <c r="J592">
        <v>2.7</v>
      </c>
      <c r="K592" t="str">
        <f>IF(Table1_1[[#This Row],[Quantity Sold]]&gt;=3,"BULK ORDER","REGULAR ORDER")</f>
        <v>REGULAR ORDER</v>
      </c>
      <c r="L592" t="str">
        <f>IF(Table1_1[[#This Row],[Customer Rating]]&gt;=4.5,"EXCELLENT",IF(Table1_1[[#This Row],[Customer Rating]]&lt;=4,"GOOD","AVERAGE"))</f>
        <v>GOOD</v>
      </c>
    </row>
    <row r="593" spans="1:12" x14ac:dyDescent="0.3">
      <c r="A593" t="s">
        <v>626</v>
      </c>
      <c r="B593" t="s">
        <v>1073</v>
      </c>
      <c r="C593" t="s">
        <v>1053</v>
      </c>
      <c r="D593">
        <v>39478.69</v>
      </c>
      <c r="E593">
        <v>5</v>
      </c>
      <c r="F593">
        <f>SUM(Table1_1[[#This Row],[Price (INR)]]*Table1_1[[#This Row],[Quantity Sold]])</f>
        <v>197393.45</v>
      </c>
      <c r="G593">
        <v>197393.45</v>
      </c>
      <c r="H593" s="1">
        <v>45620</v>
      </c>
      <c r="I593" t="s">
        <v>1068</v>
      </c>
      <c r="J593">
        <v>2.7</v>
      </c>
      <c r="K593" t="str">
        <f>IF(Table1_1[[#This Row],[Quantity Sold]]&gt;=3,"BULK ORDER","REGULAR ORDER")</f>
        <v>BULK ORDER</v>
      </c>
      <c r="L593" t="str">
        <f>IF(Table1_1[[#This Row],[Customer Rating]]&gt;=4.5,"EXCELLENT",IF(Table1_1[[#This Row],[Customer Rating]]&lt;=4,"GOOD","AVERAGE"))</f>
        <v>GOOD</v>
      </c>
    </row>
    <row r="594" spans="1:12" x14ac:dyDescent="0.3">
      <c r="A594" t="s">
        <v>692</v>
      </c>
      <c r="B594" t="s">
        <v>1075</v>
      </c>
      <c r="C594" t="s">
        <v>1053</v>
      </c>
      <c r="D594">
        <v>48842.53</v>
      </c>
      <c r="E594">
        <v>1</v>
      </c>
      <c r="F594">
        <f>SUM(Table1_1[[#This Row],[Price (INR)]]*Table1_1[[#This Row],[Quantity Sold]])</f>
        <v>48842.53</v>
      </c>
      <c r="G594">
        <v>48842.53</v>
      </c>
      <c r="H594" s="1">
        <v>45424</v>
      </c>
      <c r="I594" t="s">
        <v>1071</v>
      </c>
      <c r="J594">
        <v>2.7</v>
      </c>
      <c r="K594" t="str">
        <f>IF(Table1_1[[#This Row],[Quantity Sold]]&gt;=3,"BULK ORDER","REGULAR ORDER")</f>
        <v>REGULAR ORDER</v>
      </c>
      <c r="L594" t="str">
        <f>IF(Table1_1[[#This Row],[Customer Rating]]&gt;=4.5,"EXCELLENT",IF(Table1_1[[#This Row],[Customer Rating]]&lt;=4,"GOOD","AVERAGE"))</f>
        <v>GOOD</v>
      </c>
    </row>
    <row r="595" spans="1:12" x14ac:dyDescent="0.3">
      <c r="A595" t="s">
        <v>706</v>
      </c>
      <c r="B595" t="s">
        <v>1052</v>
      </c>
      <c r="C595" t="s">
        <v>1053</v>
      </c>
      <c r="D595">
        <v>24227.24</v>
      </c>
      <c r="E595">
        <v>1</v>
      </c>
      <c r="F595">
        <f>SUM(Table1_1[[#This Row],[Price (INR)]]*Table1_1[[#This Row],[Quantity Sold]])</f>
        <v>24227.24</v>
      </c>
      <c r="G595">
        <v>24227.24</v>
      </c>
      <c r="H595" s="1">
        <v>45352</v>
      </c>
      <c r="I595" t="s">
        <v>1049</v>
      </c>
      <c r="J595">
        <v>2.7</v>
      </c>
      <c r="K595" t="str">
        <f>IF(Table1_1[[#This Row],[Quantity Sold]]&gt;=3,"BULK ORDER","REGULAR ORDER")</f>
        <v>REGULAR ORDER</v>
      </c>
      <c r="L595" t="str">
        <f>IF(Table1_1[[#This Row],[Customer Rating]]&gt;=4.5,"EXCELLENT",IF(Table1_1[[#This Row],[Customer Rating]]&lt;=4,"GOOD","AVERAGE"))</f>
        <v>GOOD</v>
      </c>
    </row>
    <row r="596" spans="1:12" x14ac:dyDescent="0.3">
      <c r="A596" t="s">
        <v>755</v>
      </c>
      <c r="B596" t="s">
        <v>1078</v>
      </c>
      <c r="C596" t="s">
        <v>1048</v>
      </c>
      <c r="D596">
        <v>33404.120000000003</v>
      </c>
      <c r="E596">
        <v>3</v>
      </c>
      <c r="F596">
        <f>SUM(Table1_1[[#This Row],[Price (INR)]]*Table1_1[[#This Row],[Quantity Sold]])</f>
        <v>100212.36000000002</v>
      </c>
      <c r="G596">
        <v>100212.36</v>
      </c>
      <c r="H596" s="1">
        <v>45525</v>
      </c>
      <c r="I596" t="s">
        <v>1049</v>
      </c>
      <c r="J596">
        <v>2.7</v>
      </c>
      <c r="K596" t="str">
        <f>IF(Table1_1[[#This Row],[Quantity Sold]]&gt;=3,"BULK ORDER","REGULAR ORDER")</f>
        <v>BULK ORDER</v>
      </c>
      <c r="L596" t="str">
        <f>IF(Table1_1[[#This Row],[Customer Rating]]&gt;=4.5,"EXCELLENT",IF(Table1_1[[#This Row],[Customer Rating]]&lt;=4,"GOOD","AVERAGE"))</f>
        <v>GOOD</v>
      </c>
    </row>
    <row r="597" spans="1:12" x14ac:dyDescent="0.3">
      <c r="A597" t="s">
        <v>786</v>
      </c>
      <c r="B597" t="s">
        <v>1076</v>
      </c>
      <c r="C597" t="s">
        <v>1055</v>
      </c>
      <c r="D597">
        <v>37195.730000000003</v>
      </c>
      <c r="E597">
        <v>2</v>
      </c>
      <c r="F597">
        <f>SUM(Table1_1[[#This Row],[Price (INR)]]*Table1_1[[#This Row],[Quantity Sold]])</f>
        <v>74391.460000000006</v>
      </c>
      <c r="G597">
        <v>74391.460000000006</v>
      </c>
      <c r="H597" s="1">
        <v>45624</v>
      </c>
      <c r="I597" t="s">
        <v>16</v>
      </c>
      <c r="J597">
        <v>2.7</v>
      </c>
      <c r="K597" t="str">
        <f>IF(Table1_1[[#This Row],[Quantity Sold]]&gt;=3,"BULK ORDER","REGULAR ORDER")</f>
        <v>REGULAR ORDER</v>
      </c>
      <c r="L597" t="str">
        <f>IF(Table1_1[[#This Row],[Customer Rating]]&gt;=4.5,"EXCELLENT",IF(Table1_1[[#This Row],[Customer Rating]]&lt;=4,"GOOD","AVERAGE"))</f>
        <v>GOOD</v>
      </c>
    </row>
    <row r="598" spans="1:12" x14ac:dyDescent="0.3">
      <c r="A598" t="s">
        <v>806</v>
      </c>
      <c r="B598" t="s">
        <v>1079</v>
      </c>
      <c r="C598" t="s">
        <v>1057</v>
      </c>
      <c r="D598">
        <v>16179.61</v>
      </c>
      <c r="E598">
        <v>2</v>
      </c>
      <c r="F598">
        <f>SUM(Table1_1[[#This Row],[Price (INR)]]*Table1_1[[#This Row],[Quantity Sold]])</f>
        <v>32359.22</v>
      </c>
      <c r="G598">
        <v>32359.22</v>
      </c>
      <c r="H598" s="1">
        <v>45607</v>
      </c>
      <c r="I598" t="s">
        <v>1049</v>
      </c>
      <c r="J598">
        <v>2.7</v>
      </c>
      <c r="K598" t="str">
        <f>IF(Table1_1[[#This Row],[Quantity Sold]]&gt;=3,"BULK ORDER","REGULAR ORDER")</f>
        <v>REGULAR ORDER</v>
      </c>
      <c r="L598" t="str">
        <f>IF(Table1_1[[#This Row],[Customer Rating]]&gt;=4.5,"EXCELLENT",IF(Table1_1[[#This Row],[Customer Rating]]&lt;=4,"GOOD","AVERAGE"))</f>
        <v>GOOD</v>
      </c>
    </row>
    <row r="599" spans="1:12" x14ac:dyDescent="0.3">
      <c r="A599" t="s">
        <v>895</v>
      </c>
      <c r="B599" t="s">
        <v>1064</v>
      </c>
      <c r="C599" t="s">
        <v>1053</v>
      </c>
      <c r="D599">
        <v>20095.189999999999</v>
      </c>
      <c r="E599">
        <v>4</v>
      </c>
      <c r="F599">
        <f>SUM(Table1_1[[#This Row],[Price (INR)]]*Table1_1[[#This Row],[Quantity Sold]])</f>
        <v>80380.759999999995</v>
      </c>
      <c r="G599">
        <v>80380.759999999995</v>
      </c>
      <c r="H599" s="1">
        <v>45670</v>
      </c>
      <c r="I599" t="s">
        <v>1068</v>
      </c>
      <c r="J599">
        <v>2.7</v>
      </c>
      <c r="K599" t="str">
        <f>IF(Table1_1[[#This Row],[Quantity Sold]]&gt;=3,"BULK ORDER","REGULAR ORDER")</f>
        <v>BULK ORDER</v>
      </c>
      <c r="L599" t="str">
        <f>IF(Table1_1[[#This Row],[Customer Rating]]&gt;=4.5,"EXCELLENT",IF(Table1_1[[#This Row],[Customer Rating]]&lt;=4,"GOOD","AVERAGE"))</f>
        <v>GOOD</v>
      </c>
    </row>
    <row r="600" spans="1:12" x14ac:dyDescent="0.3">
      <c r="A600" t="s">
        <v>896</v>
      </c>
      <c r="B600" t="s">
        <v>1056</v>
      </c>
      <c r="C600" t="s">
        <v>1057</v>
      </c>
      <c r="D600">
        <v>13998.81</v>
      </c>
      <c r="E600">
        <v>2</v>
      </c>
      <c r="F600">
        <f>SUM(Table1_1[[#This Row],[Price (INR)]]*Table1_1[[#This Row],[Quantity Sold]])</f>
        <v>27997.62</v>
      </c>
      <c r="G600">
        <v>27997.62</v>
      </c>
      <c r="H600" s="1">
        <v>45486</v>
      </c>
      <c r="I600" t="s">
        <v>1071</v>
      </c>
      <c r="J600">
        <v>2.7</v>
      </c>
      <c r="K600" t="str">
        <f>IF(Table1_1[[#This Row],[Quantity Sold]]&gt;=3,"BULK ORDER","REGULAR ORDER")</f>
        <v>REGULAR ORDER</v>
      </c>
      <c r="L600" t="str">
        <f>IF(Table1_1[[#This Row],[Customer Rating]]&gt;=4.5,"EXCELLENT",IF(Table1_1[[#This Row],[Customer Rating]]&lt;=4,"GOOD","AVERAGE"))</f>
        <v>GOOD</v>
      </c>
    </row>
    <row r="601" spans="1:12" x14ac:dyDescent="0.3">
      <c r="A601" t="s">
        <v>947</v>
      </c>
      <c r="B601" t="s">
        <v>1061</v>
      </c>
      <c r="C601" t="s">
        <v>1057</v>
      </c>
      <c r="D601">
        <v>34870.120000000003</v>
      </c>
      <c r="E601">
        <v>5</v>
      </c>
      <c r="F601">
        <f>SUM(Table1_1[[#This Row],[Price (INR)]]*Table1_1[[#This Row],[Quantity Sold]])</f>
        <v>174350.6</v>
      </c>
      <c r="G601">
        <v>174350.6</v>
      </c>
      <c r="H601" s="1">
        <v>45680</v>
      </c>
      <c r="I601" t="s">
        <v>1049</v>
      </c>
      <c r="J601">
        <v>2.7</v>
      </c>
      <c r="K601" t="str">
        <f>IF(Table1_1[[#This Row],[Quantity Sold]]&gt;=3,"BULK ORDER","REGULAR ORDER")</f>
        <v>BULK ORDER</v>
      </c>
      <c r="L601" t="str">
        <f>IF(Table1_1[[#This Row],[Customer Rating]]&gt;=4.5,"EXCELLENT",IF(Table1_1[[#This Row],[Customer Rating]]&lt;=4,"GOOD","AVERAGE"))</f>
        <v>GOOD</v>
      </c>
    </row>
    <row r="602" spans="1:12" x14ac:dyDescent="0.3">
      <c r="A602" t="s">
        <v>965</v>
      </c>
      <c r="B602" t="s">
        <v>1061</v>
      </c>
      <c r="C602" t="s">
        <v>1057</v>
      </c>
      <c r="D602">
        <v>41169.65</v>
      </c>
      <c r="E602">
        <v>5</v>
      </c>
      <c r="F602">
        <f>SUM(Table1_1[[#This Row],[Price (INR)]]*Table1_1[[#This Row],[Quantity Sold]])</f>
        <v>205848.25</v>
      </c>
      <c r="G602">
        <v>205848.25</v>
      </c>
      <c r="H602" s="1">
        <v>45641</v>
      </c>
      <c r="I602" t="s">
        <v>1068</v>
      </c>
      <c r="J602">
        <v>2.7</v>
      </c>
      <c r="K602" t="str">
        <f>IF(Table1_1[[#This Row],[Quantity Sold]]&gt;=3,"BULK ORDER","REGULAR ORDER")</f>
        <v>BULK ORDER</v>
      </c>
      <c r="L602" t="str">
        <f>IF(Table1_1[[#This Row],[Customer Rating]]&gt;=4.5,"EXCELLENT",IF(Table1_1[[#This Row],[Customer Rating]]&lt;=4,"GOOD","AVERAGE"))</f>
        <v>GOOD</v>
      </c>
    </row>
    <row r="603" spans="1:12" x14ac:dyDescent="0.3">
      <c r="A603" t="s">
        <v>971</v>
      </c>
      <c r="B603" t="s">
        <v>1075</v>
      </c>
      <c r="C603" t="s">
        <v>1053</v>
      </c>
      <c r="D603">
        <v>32369.52</v>
      </c>
      <c r="E603">
        <v>2</v>
      </c>
      <c r="F603">
        <f>SUM(Table1_1[[#This Row],[Price (INR)]]*Table1_1[[#This Row],[Quantity Sold]])</f>
        <v>64739.040000000001</v>
      </c>
      <c r="G603">
        <v>64739.040000000001</v>
      </c>
      <c r="H603" s="1">
        <v>45684</v>
      </c>
      <c r="I603" t="s">
        <v>1049</v>
      </c>
      <c r="J603">
        <v>2.7</v>
      </c>
      <c r="K603" t="str">
        <f>IF(Table1_1[[#This Row],[Quantity Sold]]&gt;=3,"BULK ORDER","REGULAR ORDER")</f>
        <v>REGULAR ORDER</v>
      </c>
      <c r="L603" t="str">
        <f>IF(Table1_1[[#This Row],[Customer Rating]]&gt;=4.5,"EXCELLENT",IF(Table1_1[[#This Row],[Customer Rating]]&lt;=4,"GOOD","AVERAGE"))</f>
        <v>GOOD</v>
      </c>
    </row>
    <row r="604" spans="1:12" x14ac:dyDescent="0.3">
      <c r="A604" t="s">
        <v>990</v>
      </c>
      <c r="B604" t="s">
        <v>1074</v>
      </c>
      <c r="C604" t="s">
        <v>1055</v>
      </c>
      <c r="D604">
        <v>33745.33</v>
      </c>
      <c r="E604">
        <v>1</v>
      </c>
      <c r="F604">
        <f>SUM(Table1_1[[#This Row],[Price (INR)]]*Table1_1[[#This Row],[Quantity Sold]])</f>
        <v>33745.33</v>
      </c>
      <c r="G604">
        <v>33745.33</v>
      </c>
      <c r="H604" s="1">
        <v>45670</v>
      </c>
      <c r="I604" t="s">
        <v>42</v>
      </c>
      <c r="J604">
        <v>2.7</v>
      </c>
      <c r="K604" t="str">
        <f>IF(Table1_1[[#This Row],[Quantity Sold]]&gt;=3,"BULK ORDER","REGULAR ORDER")</f>
        <v>REGULAR ORDER</v>
      </c>
      <c r="L604" t="str">
        <f>IF(Table1_1[[#This Row],[Customer Rating]]&gt;=4.5,"EXCELLENT",IF(Table1_1[[#This Row],[Customer Rating]]&lt;=4,"GOOD","AVERAGE"))</f>
        <v>GOOD</v>
      </c>
    </row>
    <row r="605" spans="1:12" x14ac:dyDescent="0.3">
      <c r="A605" t="s">
        <v>993</v>
      </c>
      <c r="B605" t="s">
        <v>1050</v>
      </c>
      <c r="C605" t="s">
        <v>1051</v>
      </c>
      <c r="D605">
        <v>15543.65</v>
      </c>
      <c r="E605">
        <v>4</v>
      </c>
      <c r="F605">
        <f>SUM(Table1_1[[#This Row],[Price (INR)]]*Table1_1[[#This Row],[Quantity Sold]])</f>
        <v>62174.6</v>
      </c>
      <c r="G605">
        <v>62174.6</v>
      </c>
      <c r="H605" s="1">
        <v>45443</v>
      </c>
      <c r="I605" t="s">
        <v>1068</v>
      </c>
      <c r="J605">
        <v>2.7</v>
      </c>
      <c r="K605" t="str">
        <f>IF(Table1_1[[#This Row],[Quantity Sold]]&gt;=3,"BULK ORDER","REGULAR ORDER")</f>
        <v>BULK ORDER</v>
      </c>
      <c r="L605" t="str">
        <f>IF(Table1_1[[#This Row],[Customer Rating]]&gt;=4.5,"EXCELLENT",IF(Table1_1[[#This Row],[Customer Rating]]&lt;=4,"GOOD","AVERAGE"))</f>
        <v>GOOD</v>
      </c>
    </row>
    <row r="606" spans="1:12" x14ac:dyDescent="0.3">
      <c r="A606" t="s">
        <v>1011</v>
      </c>
      <c r="B606" t="s">
        <v>1047</v>
      </c>
      <c r="C606" t="s">
        <v>1048</v>
      </c>
      <c r="D606">
        <v>22923.93</v>
      </c>
      <c r="E606">
        <v>4</v>
      </c>
      <c r="F606">
        <f>SUM(Table1_1[[#This Row],[Price (INR)]]*Table1_1[[#This Row],[Quantity Sold]])</f>
        <v>91695.72</v>
      </c>
      <c r="G606">
        <v>91695.72</v>
      </c>
      <c r="H606" s="1">
        <v>45636</v>
      </c>
      <c r="I606" t="s">
        <v>42</v>
      </c>
      <c r="J606">
        <v>2.7</v>
      </c>
      <c r="K606" t="str">
        <f>IF(Table1_1[[#This Row],[Quantity Sold]]&gt;=3,"BULK ORDER","REGULAR ORDER")</f>
        <v>BULK ORDER</v>
      </c>
      <c r="L606" t="str">
        <f>IF(Table1_1[[#This Row],[Customer Rating]]&gt;=4.5,"EXCELLENT",IF(Table1_1[[#This Row],[Customer Rating]]&lt;=4,"GOOD","AVERAGE"))</f>
        <v>GOOD</v>
      </c>
    </row>
    <row r="607" spans="1:12" x14ac:dyDescent="0.3">
      <c r="A607" t="s">
        <v>1031</v>
      </c>
      <c r="B607" t="s">
        <v>1047</v>
      </c>
      <c r="C607" t="s">
        <v>1048</v>
      </c>
      <c r="D607">
        <v>27920.2</v>
      </c>
      <c r="E607">
        <v>5</v>
      </c>
      <c r="F607">
        <f>SUM(Table1_1[[#This Row],[Price (INR)]]*Table1_1[[#This Row],[Quantity Sold]])</f>
        <v>139601</v>
      </c>
      <c r="G607">
        <v>139601</v>
      </c>
      <c r="H607" s="1">
        <v>45336</v>
      </c>
      <c r="I607" t="s">
        <v>1059</v>
      </c>
      <c r="J607">
        <v>2.7</v>
      </c>
      <c r="K607" t="str">
        <f>IF(Table1_1[[#This Row],[Quantity Sold]]&gt;=3,"BULK ORDER","REGULAR ORDER")</f>
        <v>BULK ORDER</v>
      </c>
      <c r="L607" t="str">
        <f>IF(Table1_1[[#This Row],[Customer Rating]]&gt;=4.5,"EXCELLENT",IF(Table1_1[[#This Row],[Customer Rating]]&lt;=4,"GOOD","AVERAGE"))</f>
        <v>GOOD</v>
      </c>
    </row>
    <row r="608" spans="1:12" x14ac:dyDescent="0.3">
      <c r="A608" t="s">
        <v>33</v>
      </c>
      <c r="B608" t="s">
        <v>1062</v>
      </c>
      <c r="C608" t="s">
        <v>1051</v>
      </c>
      <c r="D608">
        <v>1987.39</v>
      </c>
      <c r="E608">
        <v>2</v>
      </c>
      <c r="F608">
        <f>SUM(Table1_1[[#This Row],[Price (INR)]]*Table1_1[[#This Row],[Quantity Sold]])</f>
        <v>3974.78</v>
      </c>
      <c r="G608">
        <v>3974.78</v>
      </c>
      <c r="H608" s="1">
        <v>45675</v>
      </c>
      <c r="I608" t="s">
        <v>1049</v>
      </c>
      <c r="J608">
        <v>2.6</v>
      </c>
      <c r="K608" t="str">
        <f>IF(Table1_1[[#This Row],[Quantity Sold]]&gt;=3,"BULK ORDER","REGULAR ORDER")</f>
        <v>REGULAR ORDER</v>
      </c>
      <c r="L608" t="str">
        <f>IF(Table1_1[[#This Row],[Customer Rating]]&gt;=4.5,"EXCELLENT",IF(Table1_1[[#This Row],[Customer Rating]]&lt;=4,"GOOD","AVERAGE"))</f>
        <v>GOOD</v>
      </c>
    </row>
    <row r="609" spans="1:12" x14ac:dyDescent="0.3">
      <c r="A609" t="s">
        <v>199</v>
      </c>
      <c r="B609" t="s">
        <v>1069</v>
      </c>
      <c r="C609" t="s">
        <v>1048</v>
      </c>
      <c r="D609">
        <v>12087.35</v>
      </c>
      <c r="E609">
        <v>4</v>
      </c>
      <c r="F609">
        <f>SUM(Table1_1[[#This Row],[Price (INR)]]*Table1_1[[#This Row],[Quantity Sold]])</f>
        <v>48349.4</v>
      </c>
      <c r="G609">
        <v>48349.4</v>
      </c>
      <c r="H609" s="1">
        <v>45617</v>
      </c>
      <c r="I609" t="s">
        <v>16</v>
      </c>
      <c r="J609">
        <v>2.6</v>
      </c>
      <c r="K609" t="str">
        <f>IF(Table1_1[[#This Row],[Quantity Sold]]&gt;=3,"BULK ORDER","REGULAR ORDER")</f>
        <v>BULK ORDER</v>
      </c>
      <c r="L609" t="str">
        <f>IF(Table1_1[[#This Row],[Customer Rating]]&gt;=4.5,"EXCELLENT",IF(Table1_1[[#This Row],[Customer Rating]]&lt;=4,"GOOD","AVERAGE"))</f>
        <v>GOOD</v>
      </c>
    </row>
    <row r="610" spans="1:12" x14ac:dyDescent="0.3">
      <c r="A610" t="s">
        <v>209</v>
      </c>
      <c r="B610" t="s">
        <v>1064</v>
      </c>
      <c r="C610" t="s">
        <v>1053</v>
      </c>
      <c r="D610">
        <v>2735.32</v>
      </c>
      <c r="E610">
        <v>5</v>
      </c>
      <c r="F610">
        <f>SUM(Table1_1[[#This Row],[Price (INR)]]*Table1_1[[#This Row],[Quantity Sold]])</f>
        <v>13676.6</v>
      </c>
      <c r="G610">
        <v>13676.6</v>
      </c>
      <c r="H610" s="1">
        <v>45646</v>
      </c>
      <c r="I610" t="s">
        <v>1059</v>
      </c>
      <c r="J610">
        <v>2.6</v>
      </c>
      <c r="K610" t="str">
        <f>IF(Table1_1[[#This Row],[Quantity Sold]]&gt;=3,"BULK ORDER","REGULAR ORDER")</f>
        <v>BULK ORDER</v>
      </c>
      <c r="L610" t="str">
        <f>IF(Table1_1[[#This Row],[Customer Rating]]&gt;=4.5,"EXCELLENT",IF(Table1_1[[#This Row],[Customer Rating]]&lt;=4,"GOOD","AVERAGE"))</f>
        <v>GOOD</v>
      </c>
    </row>
    <row r="611" spans="1:12" x14ac:dyDescent="0.3">
      <c r="A611" t="s">
        <v>225</v>
      </c>
      <c r="B611" t="s">
        <v>1047</v>
      </c>
      <c r="C611" t="s">
        <v>1048</v>
      </c>
      <c r="D611">
        <v>17353.47</v>
      </c>
      <c r="E611">
        <v>1</v>
      </c>
      <c r="F611">
        <f>SUM(Table1_1[[#This Row],[Price (INR)]]*Table1_1[[#This Row],[Quantity Sold]])</f>
        <v>17353.47</v>
      </c>
      <c r="G611">
        <v>17353.47</v>
      </c>
      <c r="H611" s="1">
        <v>45630</v>
      </c>
      <c r="I611" t="s">
        <v>1068</v>
      </c>
      <c r="J611">
        <v>2.6</v>
      </c>
      <c r="K611" t="str">
        <f>IF(Table1_1[[#This Row],[Quantity Sold]]&gt;=3,"BULK ORDER","REGULAR ORDER")</f>
        <v>REGULAR ORDER</v>
      </c>
      <c r="L611" t="str">
        <f>IF(Table1_1[[#This Row],[Customer Rating]]&gt;=4.5,"EXCELLENT",IF(Table1_1[[#This Row],[Customer Rating]]&lt;=4,"GOOD","AVERAGE"))</f>
        <v>GOOD</v>
      </c>
    </row>
    <row r="612" spans="1:12" x14ac:dyDescent="0.3">
      <c r="A612" t="s">
        <v>252</v>
      </c>
      <c r="B612" t="s">
        <v>1063</v>
      </c>
      <c r="C612" t="s">
        <v>1055</v>
      </c>
      <c r="D612">
        <v>11236.19</v>
      </c>
      <c r="E612">
        <v>3</v>
      </c>
      <c r="F612">
        <f>SUM(Table1_1[[#This Row],[Price (INR)]]*Table1_1[[#This Row],[Quantity Sold]])</f>
        <v>33708.57</v>
      </c>
      <c r="G612">
        <v>33708.57</v>
      </c>
      <c r="H612" s="1">
        <v>45598</v>
      </c>
      <c r="I612" t="s">
        <v>42</v>
      </c>
      <c r="J612">
        <v>2.6</v>
      </c>
      <c r="K612" t="str">
        <f>IF(Table1_1[[#This Row],[Quantity Sold]]&gt;=3,"BULK ORDER","REGULAR ORDER")</f>
        <v>BULK ORDER</v>
      </c>
      <c r="L612" t="str">
        <f>IF(Table1_1[[#This Row],[Customer Rating]]&gt;=4.5,"EXCELLENT",IF(Table1_1[[#This Row],[Customer Rating]]&lt;=4,"GOOD","AVERAGE"))</f>
        <v>GOOD</v>
      </c>
    </row>
    <row r="613" spans="1:12" x14ac:dyDescent="0.3">
      <c r="A613" t="s">
        <v>271</v>
      </c>
      <c r="B613" t="s">
        <v>1050</v>
      </c>
      <c r="C613" t="s">
        <v>1051</v>
      </c>
      <c r="D613">
        <v>43304.55</v>
      </c>
      <c r="E613">
        <v>5</v>
      </c>
      <c r="F613">
        <f>SUM(Table1_1[[#This Row],[Price (INR)]]*Table1_1[[#This Row],[Quantity Sold]])</f>
        <v>216522.75</v>
      </c>
      <c r="G613">
        <v>216522.75</v>
      </c>
      <c r="H613" s="1">
        <v>45654</v>
      </c>
      <c r="I613" t="s">
        <v>16</v>
      </c>
      <c r="J613">
        <v>2.6</v>
      </c>
      <c r="K613" t="str">
        <f>IF(Table1_1[[#This Row],[Quantity Sold]]&gt;=3,"BULK ORDER","REGULAR ORDER")</f>
        <v>BULK ORDER</v>
      </c>
      <c r="L613" t="str">
        <f>IF(Table1_1[[#This Row],[Customer Rating]]&gt;=4.5,"EXCELLENT",IF(Table1_1[[#This Row],[Customer Rating]]&lt;=4,"GOOD","AVERAGE"))</f>
        <v>GOOD</v>
      </c>
    </row>
    <row r="614" spans="1:12" x14ac:dyDescent="0.3">
      <c r="A614" t="s">
        <v>274</v>
      </c>
      <c r="B614" t="s">
        <v>1076</v>
      </c>
      <c r="C614" t="s">
        <v>1055</v>
      </c>
      <c r="D614">
        <v>41742.29</v>
      </c>
      <c r="E614">
        <v>5</v>
      </c>
      <c r="F614">
        <f>SUM(Table1_1[[#This Row],[Price (INR)]]*Table1_1[[#This Row],[Quantity Sold]])</f>
        <v>208711.45</v>
      </c>
      <c r="G614">
        <v>208711.45</v>
      </c>
      <c r="H614" s="1">
        <v>45488</v>
      </c>
      <c r="I614" t="s">
        <v>42</v>
      </c>
      <c r="J614">
        <v>2.6</v>
      </c>
      <c r="K614" t="str">
        <f>IF(Table1_1[[#This Row],[Quantity Sold]]&gt;=3,"BULK ORDER","REGULAR ORDER")</f>
        <v>BULK ORDER</v>
      </c>
      <c r="L614" t="str">
        <f>IF(Table1_1[[#This Row],[Customer Rating]]&gt;=4.5,"EXCELLENT",IF(Table1_1[[#This Row],[Customer Rating]]&lt;=4,"GOOD","AVERAGE"))</f>
        <v>GOOD</v>
      </c>
    </row>
    <row r="615" spans="1:12" x14ac:dyDescent="0.3">
      <c r="A615" t="s">
        <v>301</v>
      </c>
      <c r="B615" t="s">
        <v>1066</v>
      </c>
      <c r="C615" t="s">
        <v>1055</v>
      </c>
      <c r="D615">
        <v>44334.11</v>
      </c>
      <c r="E615">
        <v>3</v>
      </c>
      <c r="F615">
        <f>SUM(Table1_1[[#This Row],[Price (INR)]]*Table1_1[[#This Row],[Quantity Sold]])</f>
        <v>133002.33000000002</v>
      </c>
      <c r="G615">
        <v>133002.32999999999</v>
      </c>
      <c r="H615" s="1">
        <v>45346</v>
      </c>
      <c r="I615" t="s">
        <v>1059</v>
      </c>
      <c r="J615">
        <v>2.6</v>
      </c>
      <c r="K615" t="str">
        <f>IF(Table1_1[[#This Row],[Quantity Sold]]&gt;=3,"BULK ORDER","REGULAR ORDER")</f>
        <v>BULK ORDER</v>
      </c>
      <c r="L615" t="str">
        <f>IF(Table1_1[[#This Row],[Customer Rating]]&gt;=4.5,"EXCELLENT",IF(Table1_1[[#This Row],[Customer Rating]]&lt;=4,"GOOD","AVERAGE"))</f>
        <v>GOOD</v>
      </c>
    </row>
    <row r="616" spans="1:12" x14ac:dyDescent="0.3">
      <c r="A616" t="s">
        <v>321</v>
      </c>
      <c r="B616" t="s">
        <v>1075</v>
      </c>
      <c r="C616" t="s">
        <v>1053</v>
      </c>
      <c r="D616">
        <v>33927.57</v>
      </c>
      <c r="E616">
        <v>5</v>
      </c>
      <c r="F616">
        <f>SUM(Table1_1[[#This Row],[Price (INR)]]*Table1_1[[#This Row],[Quantity Sold]])</f>
        <v>169637.85</v>
      </c>
      <c r="G616">
        <v>169637.85</v>
      </c>
      <c r="H616" s="1">
        <v>45690</v>
      </c>
      <c r="I616" t="s">
        <v>1059</v>
      </c>
      <c r="J616">
        <v>2.6</v>
      </c>
      <c r="K616" t="str">
        <f>IF(Table1_1[[#This Row],[Quantity Sold]]&gt;=3,"BULK ORDER","REGULAR ORDER")</f>
        <v>BULK ORDER</v>
      </c>
      <c r="L616" t="str">
        <f>IF(Table1_1[[#This Row],[Customer Rating]]&gt;=4.5,"EXCELLENT",IF(Table1_1[[#This Row],[Customer Rating]]&lt;=4,"GOOD","AVERAGE"))</f>
        <v>GOOD</v>
      </c>
    </row>
    <row r="617" spans="1:12" x14ac:dyDescent="0.3">
      <c r="A617" t="s">
        <v>374</v>
      </c>
      <c r="B617" t="s">
        <v>1052</v>
      </c>
      <c r="C617" t="s">
        <v>1053</v>
      </c>
      <c r="D617">
        <v>18551.650000000001</v>
      </c>
      <c r="E617">
        <v>2</v>
      </c>
      <c r="F617">
        <f>SUM(Table1_1[[#This Row],[Price (INR)]]*Table1_1[[#This Row],[Quantity Sold]])</f>
        <v>37103.300000000003</v>
      </c>
      <c r="G617">
        <v>37103.300000000003</v>
      </c>
      <c r="H617" s="1">
        <v>45381</v>
      </c>
      <c r="I617" t="s">
        <v>1068</v>
      </c>
      <c r="J617">
        <v>2.6</v>
      </c>
      <c r="K617" t="str">
        <f>IF(Table1_1[[#This Row],[Quantity Sold]]&gt;=3,"BULK ORDER","REGULAR ORDER")</f>
        <v>REGULAR ORDER</v>
      </c>
      <c r="L617" t="str">
        <f>IF(Table1_1[[#This Row],[Customer Rating]]&gt;=4.5,"EXCELLENT",IF(Table1_1[[#This Row],[Customer Rating]]&lt;=4,"GOOD","AVERAGE"))</f>
        <v>GOOD</v>
      </c>
    </row>
    <row r="618" spans="1:12" x14ac:dyDescent="0.3">
      <c r="A618" t="s">
        <v>398</v>
      </c>
      <c r="B618" t="s">
        <v>1073</v>
      </c>
      <c r="C618" t="s">
        <v>1053</v>
      </c>
      <c r="D618">
        <v>45072.69</v>
      </c>
      <c r="E618">
        <v>2</v>
      </c>
      <c r="F618">
        <f>SUM(Table1_1[[#This Row],[Price (INR)]]*Table1_1[[#This Row],[Quantity Sold]])</f>
        <v>90145.38</v>
      </c>
      <c r="G618">
        <v>90145.38</v>
      </c>
      <c r="H618" s="1">
        <v>45656</v>
      </c>
      <c r="I618" t="s">
        <v>1059</v>
      </c>
      <c r="J618">
        <v>2.6</v>
      </c>
      <c r="K618" t="str">
        <f>IF(Table1_1[[#This Row],[Quantity Sold]]&gt;=3,"BULK ORDER","REGULAR ORDER")</f>
        <v>REGULAR ORDER</v>
      </c>
      <c r="L618" t="str">
        <f>IF(Table1_1[[#This Row],[Customer Rating]]&gt;=4.5,"EXCELLENT",IF(Table1_1[[#This Row],[Customer Rating]]&lt;=4,"GOOD","AVERAGE"))</f>
        <v>GOOD</v>
      </c>
    </row>
    <row r="619" spans="1:12" x14ac:dyDescent="0.3">
      <c r="A619" t="s">
        <v>455</v>
      </c>
      <c r="B619" t="s">
        <v>1058</v>
      </c>
      <c r="C619" t="s">
        <v>1057</v>
      </c>
      <c r="D619">
        <v>41248.019999999997</v>
      </c>
      <c r="E619">
        <v>4</v>
      </c>
      <c r="F619">
        <f>SUM(Table1_1[[#This Row],[Price (INR)]]*Table1_1[[#This Row],[Quantity Sold]])</f>
        <v>164992.07999999999</v>
      </c>
      <c r="G619">
        <v>164992.07999999999</v>
      </c>
      <c r="H619" s="1">
        <v>45669</v>
      </c>
      <c r="I619" t="s">
        <v>1068</v>
      </c>
      <c r="J619">
        <v>2.6</v>
      </c>
      <c r="K619" t="str">
        <f>IF(Table1_1[[#This Row],[Quantity Sold]]&gt;=3,"BULK ORDER","REGULAR ORDER")</f>
        <v>BULK ORDER</v>
      </c>
      <c r="L619" t="str">
        <f>IF(Table1_1[[#This Row],[Customer Rating]]&gt;=4.5,"EXCELLENT",IF(Table1_1[[#This Row],[Customer Rating]]&lt;=4,"GOOD","AVERAGE"))</f>
        <v>GOOD</v>
      </c>
    </row>
    <row r="620" spans="1:12" x14ac:dyDescent="0.3">
      <c r="A620" t="s">
        <v>472</v>
      </c>
      <c r="B620" t="s">
        <v>1058</v>
      </c>
      <c r="C620" t="s">
        <v>1057</v>
      </c>
      <c r="D620">
        <v>16289.17</v>
      </c>
      <c r="E620">
        <v>5</v>
      </c>
      <c r="F620">
        <f>SUM(Table1_1[[#This Row],[Price (INR)]]*Table1_1[[#This Row],[Quantity Sold]])</f>
        <v>81445.850000000006</v>
      </c>
      <c r="G620">
        <v>81445.850000000006</v>
      </c>
      <c r="H620" s="1">
        <v>45610</v>
      </c>
      <c r="I620" t="s">
        <v>1071</v>
      </c>
      <c r="J620">
        <v>2.6</v>
      </c>
      <c r="K620" t="str">
        <f>IF(Table1_1[[#This Row],[Quantity Sold]]&gt;=3,"BULK ORDER","REGULAR ORDER")</f>
        <v>BULK ORDER</v>
      </c>
      <c r="L620" t="str">
        <f>IF(Table1_1[[#This Row],[Customer Rating]]&gt;=4.5,"EXCELLENT",IF(Table1_1[[#This Row],[Customer Rating]]&lt;=4,"GOOD","AVERAGE"))</f>
        <v>GOOD</v>
      </c>
    </row>
    <row r="621" spans="1:12" x14ac:dyDescent="0.3">
      <c r="A621" t="s">
        <v>548</v>
      </c>
      <c r="B621" t="s">
        <v>1065</v>
      </c>
      <c r="C621" t="s">
        <v>1053</v>
      </c>
      <c r="D621">
        <v>6566.03</v>
      </c>
      <c r="E621">
        <v>5</v>
      </c>
      <c r="F621">
        <f>SUM(Table1_1[[#This Row],[Price (INR)]]*Table1_1[[#This Row],[Quantity Sold]])</f>
        <v>32830.15</v>
      </c>
      <c r="G621">
        <v>32830.15</v>
      </c>
      <c r="H621" s="1">
        <v>45402</v>
      </c>
      <c r="I621" t="s">
        <v>42</v>
      </c>
      <c r="J621">
        <v>2.6</v>
      </c>
      <c r="K621" t="str">
        <f>IF(Table1_1[[#This Row],[Quantity Sold]]&gt;=3,"BULK ORDER","REGULAR ORDER")</f>
        <v>BULK ORDER</v>
      </c>
      <c r="L621" t="str">
        <f>IF(Table1_1[[#This Row],[Customer Rating]]&gt;=4.5,"EXCELLENT",IF(Table1_1[[#This Row],[Customer Rating]]&lt;=4,"GOOD","AVERAGE"))</f>
        <v>GOOD</v>
      </c>
    </row>
    <row r="622" spans="1:12" x14ac:dyDescent="0.3">
      <c r="A622" t="s">
        <v>590</v>
      </c>
      <c r="B622" t="s">
        <v>1072</v>
      </c>
      <c r="C622" t="s">
        <v>1057</v>
      </c>
      <c r="D622">
        <v>43217.1</v>
      </c>
      <c r="E622">
        <v>5</v>
      </c>
      <c r="F622">
        <f>SUM(Table1_1[[#This Row],[Price (INR)]]*Table1_1[[#This Row],[Quantity Sold]])</f>
        <v>216085.5</v>
      </c>
      <c r="G622">
        <v>216085.5</v>
      </c>
      <c r="H622" s="1">
        <v>45644</v>
      </c>
      <c r="I622" t="s">
        <v>1049</v>
      </c>
      <c r="J622">
        <v>2.6</v>
      </c>
      <c r="K622" t="str">
        <f>IF(Table1_1[[#This Row],[Quantity Sold]]&gt;=3,"BULK ORDER","REGULAR ORDER")</f>
        <v>BULK ORDER</v>
      </c>
      <c r="L622" t="str">
        <f>IF(Table1_1[[#This Row],[Customer Rating]]&gt;=4.5,"EXCELLENT",IF(Table1_1[[#This Row],[Customer Rating]]&lt;=4,"GOOD","AVERAGE"))</f>
        <v>GOOD</v>
      </c>
    </row>
    <row r="623" spans="1:12" x14ac:dyDescent="0.3">
      <c r="A623" t="s">
        <v>594</v>
      </c>
      <c r="B623" t="s">
        <v>1061</v>
      </c>
      <c r="C623" t="s">
        <v>1057</v>
      </c>
      <c r="D623">
        <v>31137.03</v>
      </c>
      <c r="E623">
        <v>5</v>
      </c>
      <c r="F623">
        <f>SUM(Table1_1[[#This Row],[Price (INR)]]*Table1_1[[#This Row],[Quantity Sold]])</f>
        <v>155685.15</v>
      </c>
      <c r="G623">
        <v>155685.15</v>
      </c>
      <c r="H623" s="1">
        <v>45655</v>
      </c>
      <c r="I623" t="s">
        <v>1068</v>
      </c>
      <c r="J623">
        <v>2.6</v>
      </c>
      <c r="K623" t="str">
        <f>IF(Table1_1[[#This Row],[Quantity Sold]]&gt;=3,"BULK ORDER","REGULAR ORDER")</f>
        <v>BULK ORDER</v>
      </c>
      <c r="L623" t="str">
        <f>IF(Table1_1[[#This Row],[Customer Rating]]&gt;=4.5,"EXCELLENT",IF(Table1_1[[#This Row],[Customer Rating]]&lt;=4,"GOOD","AVERAGE"))</f>
        <v>GOOD</v>
      </c>
    </row>
    <row r="624" spans="1:12" x14ac:dyDescent="0.3">
      <c r="A624" t="s">
        <v>661</v>
      </c>
      <c r="B624" t="s">
        <v>1065</v>
      </c>
      <c r="C624" t="s">
        <v>1053</v>
      </c>
      <c r="D624">
        <v>27860.799999999999</v>
      </c>
      <c r="E624">
        <v>2</v>
      </c>
      <c r="F624">
        <f>SUM(Table1_1[[#This Row],[Price (INR)]]*Table1_1[[#This Row],[Quantity Sold]])</f>
        <v>55721.599999999999</v>
      </c>
      <c r="G624">
        <v>55721.599999999999</v>
      </c>
      <c r="H624" s="1">
        <v>45487</v>
      </c>
      <c r="I624" t="s">
        <v>1068</v>
      </c>
      <c r="J624">
        <v>2.6</v>
      </c>
      <c r="K624" t="str">
        <f>IF(Table1_1[[#This Row],[Quantity Sold]]&gt;=3,"BULK ORDER","REGULAR ORDER")</f>
        <v>REGULAR ORDER</v>
      </c>
      <c r="L624" t="str">
        <f>IF(Table1_1[[#This Row],[Customer Rating]]&gt;=4.5,"EXCELLENT",IF(Table1_1[[#This Row],[Customer Rating]]&lt;=4,"GOOD","AVERAGE"))</f>
        <v>GOOD</v>
      </c>
    </row>
    <row r="625" spans="1:12" x14ac:dyDescent="0.3">
      <c r="A625" t="s">
        <v>758</v>
      </c>
      <c r="B625" t="s">
        <v>1077</v>
      </c>
      <c r="C625" t="s">
        <v>1048</v>
      </c>
      <c r="D625">
        <v>22315.58</v>
      </c>
      <c r="E625">
        <v>1</v>
      </c>
      <c r="F625">
        <f>SUM(Table1_1[[#This Row],[Price (INR)]]*Table1_1[[#This Row],[Quantity Sold]])</f>
        <v>22315.58</v>
      </c>
      <c r="G625">
        <v>22315.58</v>
      </c>
      <c r="H625" s="1">
        <v>45543</v>
      </c>
      <c r="I625" t="s">
        <v>16</v>
      </c>
      <c r="J625">
        <v>2.6</v>
      </c>
      <c r="K625" t="str">
        <f>IF(Table1_1[[#This Row],[Quantity Sold]]&gt;=3,"BULK ORDER","REGULAR ORDER")</f>
        <v>REGULAR ORDER</v>
      </c>
      <c r="L625" t="str">
        <f>IF(Table1_1[[#This Row],[Customer Rating]]&gt;=4.5,"EXCELLENT",IF(Table1_1[[#This Row],[Customer Rating]]&lt;=4,"GOOD","AVERAGE"))</f>
        <v>GOOD</v>
      </c>
    </row>
    <row r="626" spans="1:12" x14ac:dyDescent="0.3">
      <c r="A626" t="s">
        <v>903</v>
      </c>
      <c r="B626" t="s">
        <v>1079</v>
      </c>
      <c r="C626" t="s">
        <v>1057</v>
      </c>
      <c r="D626">
        <v>6494.62</v>
      </c>
      <c r="E626">
        <v>5</v>
      </c>
      <c r="F626">
        <f>SUM(Table1_1[[#This Row],[Price (INR)]]*Table1_1[[#This Row],[Quantity Sold]])</f>
        <v>32473.1</v>
      </c>
      <c r="G626">
        <v>32473.1</v>
      </c>
      <c r="H626" s="1">
        <v>45539</v>
      </c>
      <c r="I626" t="s">
        <v>16</v>
      </c>
      <c r="J626">
        <v>2.6</v>
      </c>
      <c r="K626" t="str">
        <f>IF(Table1_1[[#This Row],[Quantity Sold]]&gt;=3,"BULK ORDER","REGULAR ORDER")</f>
        <v>BULK ORDER</v>
      </c>
      <c r="L626" t="str">
        <f>IF(Table1_1[[#This Row],[Customer Rating]]&gt;=4.5,"EXCELLENT",IF(Table1_1[[#This Row],[Customer Rating]]&lt;=4,"GOOD","AVERAGE"))</f>
        <v>GOOD</v>
      </c>
    </row>
    <row r="627" spans="1:12" x14ac:dyDescent="0.3">
      <c r="A627" t="s">
        <v>51</v>
      </c>
      <c r="B627" t="s">
        <v>1064</v>
      </c>
      <c r="C627" t="s">
        <v>1053</v>
      </c>
      <c r="D627">
        <v>44061.25</v>
      </c>
      <c r="E627">
        <v>4</v>
      </c>
      <c r="F627">
        <f>SUM(Table1_1[[#This Row],[Price (INR)]]*Table1_1[[#This Row],[Quantity Sold]])</f>
        <v>176245</v>
      </c>
      <c r="G627">
        <v>176245</v>
      </c>
      <c r="H627" s="1">
        <v>45404</v>
      </c>
      <c r="I627" t="s">
        <v>42</v>
      </c>
      <c r="J627">
        <v>2.5</v>
      </c>
      <c r="K627" t="str">
        <f>IF(Table1_1[[#This Row],[Quantity Sold]]&gt;=3,"BULK ORDER","REGULAR ORDER")</f>
        <v>BULK ORDER</v>
      </c>
      <c r="L627" t="str">
        <f>IF(Table1_1[[#This Row],[Customer Rating]]&gt;=4.5,"EXCELLENT",IF(Table1_1[[#This Row],[Customer Rating]]&lt;=4,"GOOD","AVERAGE"))</f>
        <v>GOOD</v>
      </c>
    </row>
    <row r="628" spans="1:12" x14ac:dyDescent="0.3">
      <c r="A628" t="s">
        <v>63</v>
      </c>
      <c r="B628" t="s">
        <v>1050</v>
      </c>
      <c r="C628" t="s">
        <v>1051</v>
      </c>
      <c r="D628">
        <v>38927.620000000003</v>
      </c>
      <c r="E628">
        <v>4</v>
      </c>
      <c r="F628">
        <f>SUM(Table1_1[[#This Row],[Price (INR)]]*Table1_1[[#This Row],[Quantity Sold]])</f>
        <v>155710.48000000001</v>
      </c>
      <c r="G628">
        <v>155710.48000000001</v>
      </c>
      <c r="H628" s="1">
        <v>45528</v>
      </c>
      <c r="I628" t="s">
        <v>1059</v>
      </c>
      <c r="J628">
        <v>2.5</v>
      </c>
      <c r="K628" t="str">
        <f>IF(Table1_1[[#This Row],[Quantity Sold]]&gt;=3,"BULK ORDER","REGULAR ORDER")</f>
        <v>BULK ORDER</v>
      </c>
      <c r="L628" t="str">
        <f>IF(Table1_1[[#This Row],[Customer Rating]]&gt;=4.5,"EXCELLENT",IF(Table1_1[[#This Row],[Customer Rating]]&lt;=4,"GOOD","AVERAGE"))</f>
        <v>GOOD</v>
      </c>
    </row>
    <row r="629" spans="1:12" x14ac:dyDescent="0.3">
      <c r="A629" t="s">
        <v>109</v>
      </c>
      <c r="B629" t="s">
        <v>1073</v>
      </c>
      <c r="C629" t="s">
        <v>1053</v>
      </c>
      <c r="D629">
        <v>4225.6899999999996</v>
      </c>
      <c r="E629">
        <v>4</v>
      </c>
      <c r="F629">
        <f>SUM(Table1_1[[#This Row],[Price (INR)]]*Table1_1[[#This Row],[Quantity Sold]])</f>
        <v>16902.759999999998</v>
      </c>
      <c r="G629">
        <v>16902.759999999998</v>
      </c>
      <c r="H629" s="1">
        <v>45418</v>
      </c>
      <c r="I629" t="s">
        <v>1068</v>
      </c>
      <c r="J629">
        <v>2.5</v>
      </c>
      <c r="K629" t="str">
        <f>IF(Table1_1[[#This Row],[Quantity Sold]]&gt;=3,"BULK ORDER","REGULAR ORDER")</f>
        <v>BULK ORDER</v>
      </c>
      <c r="L629" t="str">
        <f>IF(Table1_1[[#This Row],[Customer Rating]]&gt;=4.5,"EXCELLENT",IF(Table1_1[[#This Row],[Customer Rating]]&lt;=4,"GOOD","AVERAGE"))</f>
        <v>GOOD</v>
      </c>
    </row>
    <row r="630" spans="1:12" x14ac:dyDescent="0.3">
      <c r="A630" t="s">
        <v>132</v>
      </c>
      <c r="B630" t="s">
        <v>1075</v>
      </c>
      <c r="C630" t="s">
        <v>1053</v>
      </c>
      <c r="D630">
        <v>25752.65</v>
      </c>
      <c r="E630">
        <v>3</v>
      </c>
      <c r="F630">
        <f>SUM(Table1_1[[#This Row],[Price (INR)]]*Table1_1[[#This Row],[Quantity Sold]])</f>
        <v>77257.950000000012</v>
      </c>
      <c r="G630">
        <v>77257.95</v>
      </c>
      <c r="H630" s="1">
        <v>45471</v>
      </c>
      <c r="I630" t="s">
        <v>1071</v>
      </c>
      <c r="J630">
        <v>2.5</v>
      </c>
      <c r="K630" t="str">
        <f>IF(Table1_1[[#This Row],[Quantity Sold]]&gt;=3,"BULK ORDER","REGULAR ORDER")</f>
        <v>BULK ORDER</v>
      </c>
      <c r="L630" t="str">
        <f>IF(Table1_1[[#This Row],[Customer Rating]]&gt;=4.5,"EXCELLENT",IF(Table1_1[[#This Row],[Customer Rating]]&lt;=4,"GOOD","AVERAGE"))</f>
        <v>GOOD</v>
      </c>
    </row>
    <row r="631" spans="1:12" x14ac:dyDescent="0.3">
      <c r="A631" t="s">
        <v>140</v>
      </c>
      <c r="B631" t="s">
        <v>1072</v>
      </c>
      <c r="C631" t="s">
        <v>1057</v>
      </c>
      <c r="D631">
        <v>8877.51</v>
      </c>
      <c r="E631">
        <v>5</v>
      </c>
      <c r="F631">
        <f>SUM(Table1_1[[#This Row],[Price (INR)]]*Table1_1[[#This Row],[Quantity Sold]])</f>
        <v>44387.55</v>
      </c>
      <c r="G631">
        <v>44387.55</v>
      </c>
      <c r="H631" s="1">
        <v>45443</v>
      </c>
      <c r="I631" t="s">
        <v>16</v>
      </c>
      <c r="J631">
        <v>2.5</v>
      </c>
      <c r="K631" t="str">
        <f>IF(Table1_1[[#This Row],[Quantity Sold]]&gt;=3,"BULK ORDER","REGULAR ORDER")</f>
        <v>BULK ORDER</v>
      </c>
      <c r="L631" t="str">
        <f>IF(Table1_1[[#This Row],[Customer Rating]]&gt;=4.5,"EXCELLENT",IF(Table1_1[[#This Row],[Customer Rating]]&lt;=4,"GOOD","AVERAGE"))</f>
        <v>GOOD</v>
      </c>
    </row>
    <row r="632" spans="1:12" x14ac:dyDescent="0.3">
      <c r="A632" t="s">
        <v>172</v>
      </c>
      <c r="B632" t="s">
        <v>1064</v>
      </c>
      <c r="C632" t="s">
        <v>1053</v>
      </c>
      <c r="D632">
        <v>49687.49</v>
      </c>
      <c r="E632">
        <v>2</v>
      </c>
      <c r="F632">
        <f>SUM(Table1_1[[#This Row],[Price (INR)]]*Table1_1[[#This Row],[Quantity Sold]])</f>
        <v>99374.98</v>
      </c>
      <c r="G632">
        <v>99374.98</v>
      </c>
      <c r="H632" s="1">
        <v>45414</v>
      </c>
      <c r="I632" t="s">
        <v>16</v>
      </c>
      <c r="J632">
        <v>2.5</v>
      </c>
      <c r="K632" t="str">
        <f>IF(Table1_1[[#This Row],[Quantity Sold]]&gt;=3,"BULK ORDER","REGULAR ORDER")</f>
        <v>REGULAR ORDER</v>
      </c>
      <c r="L632" t="str">
        <f>IF(Table1_1[[#This Row],[Customer Rating]]&gt;=4.5,"EXCELLENT",IF(Table1_1[[#This Row],[Customer Rating]]&lt;=4,"GOOD","AVERAGE"))</f>
        <v>GOOD</v>
      </c>
    </row>
    <row r="633" spans="1:12" x14ac:dyDescent="0.3">
      <c r="A633" t="s">
        <v>219</v>
      </c>
      <c r="B633" t="s">
        <v>1047</v>
      </c>
      <c r="C633" t="s">
        <v>1048</v>
      </c>
      <c r="D633">
        <v>34879.4</v>
      </c>
      <c r="E633">
        <v>3</v>
      </c>
      <c r="F633">
        <f>SUM(Table1_1[[#This Row],[Price (INR)]]*Table1_1[[#This Row],[Quantity Sold]])</f>
        <v>104638.20000000001</v>
      </c>
      <c r="G633">
        <v>104638.2</v>
      </c>
      <c r="H633" s="1">
        <v>45394</v>
      </c>
      <c r="I633" t="s">
        <v>16</v>
      </c>
      <c r="J633">
        <v>2.5</v>
      </c>
      <c r="K633" t="str">
        <f>IF(Table1_1[[#This Row],[Quantity Sold]]&gt;=3,"BULK ORDER","REGULAR ORDER")</f>
        <v>BULK ORDER</v>
      </c>
      <c r="L633" t="str">
        <f>IF(Table1_1[[#This Row],[Customer Rating]]&gt;=4.5,"EXCELLENT",IF(Table1_1[[#This Row],[Customer Rating]]&lt;=4,"GOOD","AVERAGE"))</f>
        <v>GOOD</v>
      </c>
    </row>
    <row r="634" spans="1:12" x14ac:dyDescent="0.3">
      <c r="A634" t="s">
        <v>237</v>
      </c>
      <c r="B634" t="s">
        <v>1060</v>
      </c>
      <c r="C634" t="s">
        <v>1051</v>
      </c>
      <c r="D634">
        <v>1507.01</v>
      </c>
      <c r="E634">
        <v>3</v>
      </c>
      <c r="F634">
        <f>SUM(Table1_1[[#This Row],[Price (INR)]]*Table1_1[[#This Row],[Quantity Sold]])</f>
        <v>4521.03</v>
      </c>
      <c r="G634">
        <v>4521.03</v>
      </c>
      <c r="H634" s="1">
        <v>45506</v>
      </c>
      <c r="I634" t="s">
        <v>1071</v>
      </c>
      <c r="J634">
        <v>2.5</v>
      </c>
      <c r="K634" t="str">
        <f>IF(Table1_1[[#This Row],[Quantity Sold]]&gt;=3,"BULK ORDER","REGULAR ORDER")</f>
        <v>BULK ORDER</v>
      </c>
      <c r="L634" t="str">
        <f>IF(Table1_1[[#This Row],[Customer Rating]]&gt;=4.5,"EXCELLENT",IF(Table1_1[[#This Row],[Customer Rating]]&lt;=4,"GOOD","AVERAGE"))</f>
        <v>GOOD</v>
      </c>
    </row>
    <row r="635" spans="1:12" x14ac:dyDescent="0.3">
      <c r="A635" t="s">
        <v>249</v>
      </c>
      <c r="B635" t="s">
        <v>1061</v>
      </c>
      <c r="C635" t="s">
        <v>1057</v>
      </c>
      <c r="D635">
        <v>5258.29</v>
      </c>
      <c r="E635">
        <v>5</v>
      </c>
      <c r="F635">
        <f>SUM(Table1_1[[#This Row],[Price (INR)]]*Table1_1[[#This Row],[Quantity Sold]])</f>
        <v>26291.45</v>
      </c>
      <c r="G635">
        <v>26291.45</v>
      </c>
      <c r="H635" s="1">
        <v>45527</v>
      </c>
      <c r="I635" t="s">
        <v>1059</v>
      </c>
      <c r="J635">
        <v>2.5</v>
      </c>
      <c r="K635" t="str">
        <f>IF(Table1_1[[#This Row],[Quantity Sold]]&gt;=3,"BULK ORDER","REGULAR ORDER")</f>
        <v>BULK ORDER</v>
      </c>
      <c r="L635" t="str">
        <f>IF(Table1_1[[#This Row],[Customer Rating]]&gt;=4.5,"EXCELLENT",IF(Table1_1[[#This Row],[Customer Rating]]&lt;=4,"GOOD","AVERAGE"))</f>
        <v>GOOD</v>
      </c>
    </row>
    <row r="636" spans="1:12" x14ac:dyDescent="0.3">
      <c r="A636" t="s">
        <v>260</v>
      </c>
      <c r="B636" t="s">
        <v>1069</v>
      </c>
      <c r="C636" t="s">
        <v>1048</v>
      </c>
      <c r="D636">
        <v>36645.35</v>
      </c>
      <c r="E636">
        <v>3</v>
      </c>
      <c r="F636">
        <f>SUM(Table1_1[[#This Row],[Price (INR)]]*Table1_1[[#This Row],[Quantity Sold]])</f>
        <v>109936.04999999999</v>
      </c>
      <c r="G636">
        <v>109936.05</v>
      </c>
      <c r="H636" s="1">
        <v>45652</v>
      </c>
      <c r="I636" t="s">
        <v>1049</v>
      </c>
      <c r="J636">
        <v>2.5</v>
      </c>
      <c r="K636" t="str">
        <f>IF(Table1_1[[#This Row],[Quantity Sold]]&gt;=3,"BULK ORDER","REGULAR ORDER")</f>
        <v>BULK ORDER</v>
      </c>
      <c r="L636" t="str">
        <f>IF(Table1_1[[#This Row],[Customer Rating]]&gt;=4.5,"EXCELLENT",IF(Table1_1[[#This Row],[Customer Rating]]&lt;=4,"GOOD","AVERAGE"))</f>
        <v>GOOD</v>
      </c>
    </row>
    <row r="637" spans="1:12" x14ac:dyDescent="0.3">
      <c r="A637" t="s">
        <v>362</v>
      </c>
      <c r="B637" t="s">
        <v>1054</v>
      </c>
      <c r="C637" t="s">
        <v>1055</v>
      </c>
      <c r="D637">
        <v>27749.19</v>
      </c>
      <c r="E637">
        <v>4</v>
      </c>
      <c r="F637">
        <f>SUM(Table1_1[[#This Row],[Price (INR)]]*Table1_1[[#This Row],[Quantity Sold]])</f>
        <v>110996.76</v>
      </c>
      <c r="G637">
        <v>110996.76</v>
      </c>
      <c r="H637" s="1">
        <v>45679</v>
      </c>
      <c r="I637" t="s">
        <v>1059</v>
      </c>
      <c r="J637">
        <v>2.5</v>
      </c>
      <c r="K637" t="str">
        <f>IF(Table1_1[[#This Row],[Quantity Sold]]&gt;=3,"BULK ORDER","REGULAR ORDER")</f>
        <v>BULK ORDER</v>
      </c>
      <c r="L637" t="str">
        <f>IF(Table1_1[[#This Row],[Customer Rating]]&gt;=4.5,"EXCELLENT",IF(Table1_1[[#This Row],[Customer Rating]]&lt;=4,"GOOD","AVERAGE"))</f>
        <v>GOOD</v>
      </c>
    </row>
    <row r="638" spans="1:12" x14ac:dyDescent="0.3">
      <c r="A638" t="s">
        <v>369</v>
      </c>
      <c r="B638" t="s">
        <v>1052</v>
      </c>
      <c r="C638" t="s">
        <v>1053</v>
      </c>
      <c r="D638">
        <v>36560.32</v>
      </c>
      <c r="E638">
        <v>5</v>
      </c>
      <c r="F638">
        <f>SUM(Table1_1[[#This Row],[Price (INR)]]*Table1_1[[#This Row],[Quantity Sold]])</f>
        <v>182801.6</v>
      </c>
      <c r="G638">
        <v>182801.6</v>
      </c>
      <c r="H638" s="1">
        <v>45658</v>
      </c>
      <c r="I638" t="s">
        <v>1071</v>
      </c>
      <c r="J638">
        <v>2.5</v>
      </c>
      <c r="K638" t="str">
        <f>IF(Table1_1[[#This Row],[Quantity Sold]]&gt;=3,"BULK ORDER","REGULAR ORDER")</f>
        <v>BULK ORDER</v>
      </c>
      <c r="L638" t="str">
        <f>IF(Table1_1[[#This Row],[Customer Rating]]&gt;=4.5,"EXCELLENT",IF(Table1_1[[#This Row],[Customer Rating]]&lt;=4,"GOOD","AVERAGE"))</f>
        <v>GOOD</v>
      </c>
    </row>
    <row r="639" spans="1:12" x14ac:dyDescent="0.3">
      <c r="A639" t="s">
        <v>453</v>
      </c>
      <c r="B639" t="s">
        <v>1076</v>
      </c>
      <c r="C639" t="s">
        <v>1055</v>
      </c>
      <c r="D639">
        <v>28391.65</v>
      </c>
      <c r="E639">
        <v>3</v>
      </c>
      <c r="F639">
        <f>SUM(Table1_1[[#This Row],[Price (INR)]]*Table1_1[[#This Row],[Quantity Sold]])</f>
        <v>85174.950000000012</v>
      </c>
      <c r="G639">
        <v>85174.95</v>
      </c>
      <c r="H639" s="1">
        <v>45637</v>
      </c>
      <c r="I639" t="s">
        <v>1049</v>
      </c>
      <c r="J639">
        <v>2.5</v>
      </c>
      <c r="K639" t="str">
        <f>IF(Table1_1[[#This Row],[Quantity Sold]]&gt;=3,"BULK ORDER","REGULAR ORDER")</f>
        <v>BULK ORDER</v>
      </c>
      <c r="L639" t="str">
        <f>IF(Table1_1[[#This Row],[Customer Rating]]&gt;=4.5,"EXCELLENT",IF(Table1_1[[#This Row],[Customer Rating]]&lt;=4,"GOOD","AVERAGE"))</f>
        <v>GOOD</v>
      </c>
    </row>
    <row r="640" spans="1:12" x14ac:dyDescent="0.3">
      <c r="A640" t="s">
        <v>500</v>
      </c>
      <c r="B640" t="s">
        <v>1063</v>
      </c>
      <c r="C640" t="s">
        <v>1055</v>
      </c>
      <c r="D640">
        <v>9761.64</v>
      </c>
      <c r="E640">
        <v>3</v>
      </c>
      <c r="F640">
        <f>SUM(Table1_1[[#This Row],[Price (INR)]]*Table1_1[[#This Row],[Quantity Sold]])</f>
        <v>29284.92</v>
      </c>
      <c r="G640">
        <v>29284.92</v>
      </c>
      <c r="H640" s="1">
        <v>45531</v>
      </c>
      <c r="I640" t="s">
        <v>1059</v>
      </c>
      <c r="J640">
        <v>2.5</v>
      </c>
      <c r="K640" t="str">
        <f>IF(Table1_1[[#This Row],[Quantity Sold]]&gt;=3,"BULK ORDER","REGULAR ORDER")</f>
        <v>BULK ORDER</v>
      </c>
      <c r="L640" t="str">
        <f>IF(Table1_1[[#This Row],[Customer Rating]]&gt;=4.5,"EXCELLENT",IF(Table1_1[[#This Row],[Customer Rating]]&lt;=4,"GOOD","AVERAGE"))</f>
        <v>GOOD</v>
      </c>
    </row>
    <row r="641" spans="1:12" x14ac:dyDescent="0.3">
      <c r="A641" t="s">
        <v>526</v>
      </c>
      <c r="B641" t="s">
        <v>1078</v>
      </c>
      <c r="C641" t="s">
        <v>1048</v>
      </c>
      <c r="D641">
        <v>19661.09</v>
      </c>
      <c r="E641">
        <v>4</v>
      </c>
      <c r="F641">
        <f>SUM(Table1_1[[#This Row],[Price (INR)]]*Table1_1[[#This Row],[Quantity Sold]])</f>
        <v>78644.36</v>
      </c>
      <c r="G641">
        <v>78644.36</v>
      </c>
      <c r="H641" s="1">
        <v>45444</v>
      </c>
      <c r="I641" t="s">
        <v>1071</v>
      </c>
      <c r="J641">
        <v>2.5</v>
      </c>
      <c r="K641" t="str">
        <f>IF(Table1_1[[#This Row],[Quantity Sold]]&gt;=3,"BULK ORDER","REGULAR ORDER")</f>
        <v>BULK ORDER</v>
      </c>
      <c r="L641" t="str">
        <f>IF(Table1_1[[#This Row],[Customer Rating]]&gt;=4.5,"EXCELLENT",IF(Table1_1[[#This Row],[Customer Rating]]&lt;=4,"GOOD","AVERAGE"))</f>
        <v>GOOD</v>
      </c>
    </row>
    <row r="642" spans="1:12" x14ac:dyDescent="0.3">
      <c r="A642" t="s">
        <v>557</v>
      </c>
      <c r="B642" t="s">
        <v>1065</v>
      </c>
      <c r="C642" t="s">
        <v>1053</v>
      </c>
      <c r="D642">
        <v>49861.17</v>
      </c>
      <c r="E642">
        <v>3</v>
      </c>
      <c r="F642">
        <f>SUM(Table1_1[[#This Row],[Price (INR)]]*Table1_1[[#This Row],[Quantity Sold]])</f>
        <v>149583.51</v>
      </c>
      <c r="G642">
        <v>149583.51</v>
      </c>
      <c r="H642" s="1">
        <v>45559</v>
      </c>
      <c r="I642" t="s">
        <v>16</v>
      </c>
      <c r="J642">
        <v>2.5</v>
      </c>
      <c r="K642" t="str">
        <f>IF(Table1_1[[#This Row],[Quantity Sold]]&gt;=3,"BULK ORDER","REGULAR ORDER")</f>
        <v>BULK ORDER</v>
      </c>
      <c r="L642" t="str">
        <f>IF(Table1_1[[#This Row],[Customer Rating]]&gt;=4.5,"EXCELLENT",IF(Table1_1[[#This Row],[Customer Rating]]&lt;=4,"GOOD","AVERAGE"))</f>
        <v>GOOD</v>
      </c>
    </row>
    <row r="643" spans="1:12" x14ac:dyDescent="0.3">
      <c r="A643" t="s">
        <v>571</v>
      </c>
      <c r="B643" t="s">
        <v>1050</v>
      </c>
      <c r="C643" t="s">
        <v>1051</v>
      </c>
      <c r="D643">
        <v>8734.44</v>
      </c>
      <c r="E643">
        <v>1</v>
      </c>
      <c r="F643">
        <f>SUM(Table1_1[[#This Row],[Price (INR)]]*Table1_1[[#This Row],[Quantity Sold]])</f>
        <v>8734.44</v>
      </c>
      <c r="G643">
        <v>8734.44</v>
      </c>
      <c r="H643" s="1">
        <v>45591</v>
      </c>
      <c r="I643" t="s">
        <v>1049</v>
      </c>
      <c r="J643">
        <v>2.5</v>
      </c>
      <c r="K643" t="str">
        <f>IF(Table1_1[[#This Row],[Quantity Sold]]&gt;=3,"BULK ORDER","REGULAR ORDER")</f>
        <v>REGULAR ORDER</v>
      </c>
      <c r="L643" t="str">
        <f>IF(Table1_1[[#This Row],[Customer Rating]]&gt;=4.5,"EXCELLENT",IF(Table1_1[[#This Row],[Customer Rating]]&lt;=4,"GOOD","AVERAGE"))</f>
        <v>GOOD</v>
      </c>
    </row>
    <row r="644" spans="1:12" x14ac:dyDescent="0.3">
      <c r="A644" t="s">
        <v>620</v>
      </c>
      <c r="B644" t="s">
        <v>1078</v>
      </c>
      <c r="C644" t="s">
        <v>1048</v>
      </c>
      <c r="D644">
        <v>8005.02</v>
      </c>
      <c r="E644">
        <v>5</v>
      </c>
      <c r="F644">
        <f>SUM(Table1_1[[#This Row],[Price (INR)]]*Table1_1[[#This Row],[Quantity Sold]])</f>
        <v>40025.100000000006</v>
      </c>
      <c r="G644">
        <v>40025.1</v>
      </c>
      <c r="H644" s="1">
        <v>45422</v>
      </c>
      <c r="I644" t="s">
        <v>16</v>
      </c>
      <c r="J644">
        <v>2.5</v>
      </c>
      <c r="K644" t="str">
        <f>IF(Table1_1[[#This Row],[Quantity Sold]]&gt;=3,"BULK ORDER","REGULAR ORDER")</f>
        <v>BULK ORDER</v>
      </c>
      <c r="L644" t="str">
        <f>IF(Table1_1[[#This Row],[Customer Rating]]&gt;=4.5,"EXCELLENT",IF(Table1_1[[#This Row],[Customer Rating]]&lt;=4,"GOOD","AVERAGE"))</f>
        <v>GOOD</v>
      </c>
    </row>
    <row r="645" spans="1:12" x14ac:dyDescent="0.3">
      <c r="A645" t="s">
        <v>705</v>
      </c>
      <c r="B645" t="s">
        <v>1069</v>
      </c>
      <c r="C645" t="s">
        <v>1048</v>
      </c>
      <c r="D645">
        <v>30878.47</v>
      </c>
      <c r="E645">
        <v>5</v>
      </c>
      <c r="F645">
        <f>SUM(Table1_1[[#This Row],[Price (INR)]]*Table1_1[[#This Row],[Quantity Sold]])</f>
        <v>154392.35</v>
      </c>
      <c r="G645">
        <v>154392.35</v>
      </c>
      <c r="H645" s="1">
        <v>45484</v>
      </c>
      <c r="I645" t="s">
        <v>16</v>
      </c>
      <c r="J645">
        <v>2.5</v>
      </c>
      <c r="K645" t="str">
        <f>IF(Table1_1[[#This Row],[Quantity Sold]]&gt;=3,"BULK ORDER","REGULAR ORDER")</f>
        <v>BULK ORDER</v>
      </c>
      <c r="L645" t="str">
        <f>IF(Table1_1[[#This Row],[Customer Rating]]&gt;=4.5,"EXCELLENT",IF(Table1_1[[#This Row],[Customer Rating]]&lt;=4,"GOOD","AVERAGE"))</f>
        <v>GOOD</v>
      </c>
    </row>
    <row r="646" spans="1:12" x14ac:dyDescent="0.3">
      <c r="A646" t="s">
        <v>708</v>
      </c>
      <c r="B646" t="s">
        <v>1065</v>
      </c>
      <c r="C646" t="s">
        <v>1053</v>
      </c>
      <c r="D646">
        <v>46933.96</v>
      </c>
      <c r="E646">
        <v>1</v>
      </c>
      <c r="F646">
        <f>SUM(Table1_1[[#This Row],[Price (INR)]]*Table1_1[[#This Row],[Quantity Sold]])</f>
        <v>46933.96</v>
      </c>
      <c r="G646">
        <v>46933.96</v>
      </c>
      <c r="H646" s="1">
        <v>45446</v>
      </c>
      <c r="I646" t="s">
        <v>1049</v>
      </c>
      <c r="J646">
        <v>2.5</v>
      </c>
      <c r="K646" t="str">
        <f>IF(Table1_1[[#This Row],[Quantity Sold]]&gt;=3,"BULK ORDER","REGULAR ORDER")</f>
        <v>REGULAR ORDER</v>
      </c>
      <c r="L646" t="str">
        <f>IF(Table1_1[[#This Row],[Customer Rating]]&gt;=4.5,"EXCELLENT",IF(Table1_1[[#This Row],[Customer Rating]]&lt;=4,"GOOD","AVERAGE"))</f>
        <v>GOOD</v>
      </c>
    </row>
    <row r="647" spans="1:12" x14ac:dyDescent="0.3">
      <c r="A647" t="s">
        <v>717</v>
      </c>
      <c r="B647" t="s">
        <v>1066</v>
      </c>
      <c r="C647" t="s">
        <v>1055</v>
      </c>
      <c r="D647">
        <v>23806.639999999999</v>
      </c>
      <c r="E647">
        <v>1</v>
      </c>
      <c r="F647">
        <f>SUM(Table1_1[[#This Row],[Price (INR)]]*Table1_1[[#This Row],[Quantity Sold]])</f>
        <v>23806.639999999999</v>
      </c>
      <c r="G647">
        <v>23806.639999999999</v>
      </c>
      <c r="H647" s="1">
        <v>45353</v>
      </c>
      <c r="I647" t="s">
        <v>1049</v>
      </c>
      <c r="J647">
        <v>2.5</v>
      </c>
      <c r="K647" t="str">
        <f>IF(Table1_1[[#This Row],[Quantity Sold]]&gt;=3,"BULK ORDER","REGULAR ORDER")</f>
        <v>REGULAR ORDER</v>
      </c>
      <c r="L647" t="str">
        <f>IF(Table1_1[[#This Row],[Customer Rating]]&gt;=4.5,"EXCELLENT",IF(Table1_1[[#This Row],[Customer Rating]]&lt;=4,"GOOD","AVERAGE"))</f>
        <v>GOOD</v>
      </c>
    </row>
    <row r="648" spans="1:12" x14ac:dyDescent="0.3">
      <c r="A648" t="s">
        <v>745</v>
      </c>
      <c r="B648" t="s">
        <v>1063</v>
      </c>
      <c r="C648" t="s">
        <v>1055</v>
      </c>
      <c r="D648">
        <v>25115.71</v>
      </c>
      <c r="E648">
        <v>2</v>
      </c>
      <c r="F648">
        <f>SUM(Table1_1[[#This Row],[Price (INR)]]*Table1_1[[#This Row],[Quantity Sold]])</f>
        <v>50231.42</v>
      </c>
      <c r="G648">
        <v>50231.42</v>
      </c>
      <c r="H648" s="1">
        <v>45522</v>
      </c>
      <c r="I648" t="s">
        <v>1059</v>
      </c>
      <c r="J648">
        <v>2.5</v>
      </c>
      <c r="K648" t="str">
        <f>IF(Table1_1[[#This Row],[Quantity Sold]]&gt;=3,"BULK ORDER","REGULAR ORDER")</f>
        <v>REGULAR ORDER</v>
      </c>
      <c r="L648" t="str">
        <f>IF(Table1_1[[#This Row],[Customer Rating]]&gt;=4.5,"EXCELLENT",IF(Table1_1[[#This Row],[Customer Rating]]&lt;=4,"GOOD","AVERAGE"))</f>
        <v>GOOD</v>
      </c>
    </row>
    <row r="649" spans="1:12" x14ac:dyDescent="0.3">
      <c r="A649" t="s">
        <v>816</v>
      </c>
      <c r="B649" t="s">
        <v>1061</v>
      </c>
      <c r="C649" t="s">
        <v>1057</v>
      </c>
      <c r="D649">
        <v>13879</v>
      </c>
      <c r="E649">
        <v>1</v>
      </c>
      <c r="F649">
        <f>SUM(Table1_1[[#This Row],[Price (INR)]]*Table1_1[[#This Row],[Quantity Sold]])</f>
        <v>13879</v>
      </c>
      <c r="G649">
        <v>13879</v>
      </c>
      <c r="H649" s="1">
        <v>45455</v>
      </c>
      <c r="I649" t="s">
        <v>42</v>
      </c>
      <c r="J649">
        <v>2.5</v>
      </c>
      <c r="K649" t="str">
        <f>IF(Table1_1[[#This Row],[Quantity Sold]]&gt;=3,"BULK ORDER","REGULAR ORDER")</f>
        <v>REGULAR ORDER</v>
      </c>
      <c r="L649" t="str">
        <f>IF(Table1_1[[#This Row],[Customer Rating]]&gt;=4.5,"EXCELLENT",IF(Table1_1[[#This Row],[Customer Rating]]&lt;=4,"GOOD","AVERAGE"))</f>
        <v>GOOD</v>
      </c>
    </row>
    <row r="650" spans="1:12" x14ac:dyDescent="0.3">
      <c r="A650" t="s">
        <v>858</v>
      </c>
      <c r="B650" t="s">
        <v>1061</v>
      </c>
      <c r="C650" t="s">
        <v>1057</v>
      </c>
      <c r="D650">
        <v>9213.5499999999993</v>
      </c>
      <c r="E650">
        <v>4</v>
      </c>
      <c r="F650">
        <f>SUM(Table1_1[[#This Row],[Price (INR)]]*Table1_1[[#This Row],[Quantity Sold]])</f>
        <v>36854.199999999997</v>
      </c>
      <c r="G650">
        <v>36854.199999999997</v>
      </c>
      <c r="H650" s="1">
        <v>45490</v>
      </c>
      <c r="I650" t="s">
        <v>42</v>
      </c>
      <c r="J650">
        <v>2.5</v>
      </c>
      <c r="K650" t="str">
        <f>IF(Table1_1[[#This Row],[Quantity Sold]]&gt;=3,"BULK ORDER","REGULAR ORDER")</f>
        <v>BULK ORDER</v>
      </c>
      <c r="L650" t="str">
        <f>IF(Table1_1[[#This Row],[Customer Rating]]&gt;=4.5,"EXCELLENT",IF(Table1_1[[#This Row],[Customer Rating]]&lt;=4,"GOOD","AVERAGE"))</f>
        <v>GOOD</v>
      </c>
    </row>
    <row r="651" spans="1:12" x14ac:dyDescent="0.3">
      <c r="A651" t="s">
        <v>884</v>
      </c>
      <c r="B651" t="s">
        <v>1066</v>
      </c>
      <c r="C651" t="s">
        <v>1055</v>
      </c>
      <c r="D651">
        <v>32664.01</v>
      </c>
      <c r="E651">
        <v>2</v>
      </c>
      <c r="F651">
        <f>SUM(Table1_1[[#This Row],[Price (INR)]]*Table1_1[[#This Row],[Quantity Sold]])</f>
        <v>65328.02</v>
      </c>
      <c r="G651">
        <v>65328.02</v>
      </c>
      <c r="H651" s="1">
        <v>45373</v>
      </c>
      <c r="I651" t="s">
        <v>1071</v>
      </c>
      <c r="J651">
        <v>2.5</v>
      </c>
      <c r="K651" t="str">
        <f>IF(Table1_1[[#This Row],[Quantity Sold]]&gt;=3,"BULK ORDER","REGULAR ORDER")</f>
        <v>REGULAR ORDER</v>
      </c>
      <c r="L651" t="str">
        <f>IF(Table1_1[[#This Row],[Customer Rating]]&gt;=4.5,"EXCELLENT",IF(Table1_1[[#This Row],[Customer Rating]]&lt;=4,"GOOD","AVERAGE"))</f>
        <v>GOOD</v>
      </c>
    </row>
    <row r="652" spans="1:12" x14ac:dyDescent="0.3">
      <c r="A652" t="s">
        <v>944</v>
      </c>
      <c r="B652" t="s">
        <v>1067</v>
      </c>
      <c r="C652" t="s">
        <v>1048</v>
      </c>
      <c r="D652">
        <v>31922.03</v>
      </c>
      <c r="E652">
        <v>1</v>
      </c>
      <c r="F652">
        <f>SUM(Table1_1[[#This Row],[Price (INR)]]*Table1_1[[#This Row],[Quantity Sold]])</f>
        <v>31922.03</v>
      </c>
      <c r="G652">
        <v>31922.03</v>
      </c>
      <c r="H652" s="1">
        <v>45433</v>
      </c>
      <c r="I652" t="s">
        <v>1071</v>
      </c>
      <c r="J652">
        <v>2.5</v>
      </c>
      <c r="K652" t="str">
        <f>IF(Table1_1[[#This Row],[Quantity Sold]]&gt;=3,"BULK ORDER","REGULAR ORDER")</f>
        <v>REGULAR ORDER</v>
      </c>
      <c r="L652" t="str">
        <f>IF(Table1_1[[#This Row],[Customer Rating]]&gt;=4.5,"EXCELLENT",IF(Table1_1[[#This Row],[Customer Rating]]&lt;=4,"GOOD","AVERAGE"))</f>
        <v>GOOD</v>
      </c>
    </row>
    <row r="653" spans="1:12" x14ac:dyDescent="0.3">
      <c r="A653" t="s">
        <v>1034</v>
      </c>
      <c r="B653" t="s">
        <v>1047</v>
      </c>
      <c r="C653" t="s">
        <v>1048</v>
      </c>
      <c r="D653">
        <v>35948.160000000003</v>
      </c>
      <c r="E653">
        <v>5</v>
      </c>
      <c r="F653">
        <f>SUM(Table1_1[[#This Row],[Price (INR)]]*Table1_1[[#This Row],[Quantity Sold]])</f>
        <v>179740.80000000002</v>
      </c>
      <c r="G653">
        <v>179740.79999999999</v>
      </c>
      <c r="H653" s="1">
        <v>45595</v>
      </c>
      <c r="I653" t="s">
        <v>1059</v>
      </c>
      <c r="J653">
        <v>2.5</v>
      </c>
      <c r="K653" t="str">
        <f>IF(Table1_1[[#This Row],[Quantity Sold]]&gt;=3,"BULK ORDER","REGULAR ORDER")</f>
        <v>BULK ORDER</v>
      </c>
      <c r="L653" t="str">
        <f>IF(Table1_1[[#This Row],[Customer Rating]]&gt;=4.5,"EXCELLENT",IF(Table1_1[[#This Row],[Customer Rating]]&lt;=4,"GOOD","AVERAGE"))</f>
        <v>GOOD</v>
      </c>
    </row>
    <row r="654" spans="1:12" x14ac:dyDescent="0.3">
      <c r="A654" t="s">
        <v>1039</v>
      </c>
      <c r="B654" t="s">
        <v>1060</v>
      </c>
      <c r="C654" t="s">
        <v>1051</v>
      </c>
      <c r="D654">
        <v>11479.89</v>
      </c>
      <c r="E654">
        <v>3</v>
      </c>
      <c r="F654">
        <f>SUM(Table1_1[[#This Row],[Price (INR)]]*Table1_1[[#This Row],[Quantity Sold]])</f>
        <v>34439.67</v>
      </c>
      <c r="G654">
        <v>34439.67</v>
      </c>
      <c r="H654" s="1">
        <v>45503</v>
      </c>
      <c r="I654" t="s">
        <v>1071</v>
      </c>
      <c r="J654">
        <v>2.5</v>
      </c>
      <c r="K654" t="str">
        <f>IF(Table1_1[[#This Row],[Quantity Sold]]&gt;=3,"BULK ORDER","REGULAR ORDER")</f>
        <v>BULK ORDER</v>
      </c>
      <c r="L654" t="str">
        <f>IF(Table1_1[[#This Row],[Customer Rating]]&gt;=4.5,"EXCELLENT",IF(Table1_1[[#This Row],[Customer Rating]]&lt;=4,"GOOD","AVERAGE"))</f>
        <v>GOOD</v>
      </c>
    </row>
    <row r="655" spans="1:12" x14ac:dyDescent="0.3">
      <c r="A655" t="s">
        <v>31</v>
      </c>
      <c r="B655" t="s">
        <v>1061</v>
      </c>
      <c r="C655" t="s">
        <v>1057</v>
      </c>
      <c r="D655">
        <v>24818.59</v>
      </c>
      <c r="E655">
        <v>3</v>
      </c>
      <c r="F655">
        <f>SUM(Table1_1[[#This Row],[Price (INR)]]*Table1_1[[#This Row],[Quantity Sold]])</f>
        <v>74455.77</v>
      </c>
      <c r="G655">
        <v>74455.77</v>
      </c>
      <c r="H655" s="1">
        <v>45653</v>
      </c>
      <c r="I655" t="s">
        <v>1049</v>
      </c>
      <c r="J655">
        <v>2.4</v>
      </c>
      <c r="K655" t="str">
        <f>IF(Table1_1[[#This Row],[Quantity Sold]]&gt;=3,"BULK ORDER","REGULAR ORDER")</f>
        <v>BULK ORDER</v>
      </c>
      <c r="L655" t="str">
        <f>IF(Table1_1[[#This Row],[Customer Rating]]&gt;=4.5,"EXCELLENT",IF(Table1_1[[#This Row],[Customer Rating]]&lt;=4,"GOOD","AVERAGE"))</f>
        <v>GOOD</v>
      </c>
    </row>
    <row r="656" spans="1:12" x14ac:dyDescent="0.3">
      <c r="A656" t="s">
        <v>86</v>
      </c>
      <c r="B656" t="s">
        <v>1054</v>
      </c>
      <c r="C656" t="s">
        <v>1055</v>
      </c>
      <c r="D656">
        <v>33443.32</v>
      </c>
      <c r="E656">
        <v>5</v>
      </c>
      <c r="F656">
        <f>SUM(Table1_1[[#This Row],[Price (INR)]]*Table1_1[[#This Row],[Quantity Sold]])</f>
        <v>167216.6</v>
      </c>
      <c r="G656">
        <v>167216.6</v>
      </c>
      <c r="H656" s="1">
        <v>45337</v>
      </c>
      <c r="I656" t="s">
        <v>16</v>
      </c>
      <c r="J656">
        <v>2.4</v>
      </c>
      <c r="K656" t="str">
        <f>IF(Table1_1[[#This Row],[Quantity Sold]]&gt;=3,"BULK ORDER","REGULAR ORDER")</f>
        <v>BULK ORDER</v>
      </c>
      <c r="L656" t="str">
        <f>IF(Table1_1[[#This Row],[Customer Rating]]&gt;=4.5,"EXCELLENT",IF(Table1_1[[#This Row],[Customer Rating]]&lt;=4,"GOOD","AVERAGE"))</f>
        <v>GOOD</v>
      </c>
    </row>
    <row r="657" spans="1:12" x14ac:dyDescent="0.3">
      <c r="A657" t="s">
        <v>91</v>
      </c>
      <c r="B657" t="s">
        <v>1050</v>
      </c>
      <c r="C657" t="s">
        <v>1051</v>
      </c>
      <c r="D657">
        <v>18607.689999999999</v>
      </c>
      <c r="E657">
        <v>5</v>
      </c>
      <c r="F657">
        <f>SUM(Table1_1[[#This Row],[Price (INR)]]*Table1_1[[#This Row],[Quantity Sold]])</f>
        <v>93038.45</v>
      </c>
      <c r="G657">
        <v>93038.45</v>
      </c>
      <c r="H657" s="1">
        <v>45545</v>
      </c>
      <c r="I657" t="s">
        <v>42</v>
      </c>
      <c r="J657">
        <v>2.4</v>
      </c>
      <c r="K657" t="str">
        <f>IF(Table1_1[[#This Row],[Quantity Sold]]&gt;=3,"BULK ORDER","REGULAR ORDER")</f>
        <v>BULK ORDER</v>
      </c>
      <c r="L657" t="str">
        <f>IF(Table1_1[[#This Row],[Customer Rating]]&gt;=4.5,"EXCELLENT",IF(Table1_1[[#This Row],[Customer Rating]]&lt;=4,"GOOD","AVERAGE"))</f>
        <v>GOOD</v>
      </c>
    </row>
    <row r="658" spans="1:12" x14ac:dyDescent="0.3">
      <c r="A658" t="s">
        <v>121</v>
      </c>
      <c r="B658" t="s">
        <v>1076</v>
      </c>
      <c r="C658" t="s">
        <v>1055</v>
      </c>
      <c r="D658">
        <v>34161.440000000002</v>
      </c>
      <c r="E658">
        <v>1</v>
      </c>
      <c r="F658">
        <f>SUM(Table1_1[[#This Row],[Price (INR)]]*Table1_1[[#This Row],[Quantity Sold]])</f>
        <v>34161.440000000002</v>
      </c>
      <c r="G658">
        <v>34161.440000000002</v>
      </c>
      <c r="H658" s="1">
        <v>45473</v>
      </c>
      <c r="I658" t="s">
        <v>1059</v>
      </c>
      <c r="J658">
        <v>2.4</v>
      </c>
      <c r="K658" t="str">
        <f>IF(Table1_1[[#This Row],[Quantity Sold]]&gt;=3,"BULK ORDER","REGULAR ORDER")</f>
        <v>REGULAR ORDER</v>
      </c>
      <c r="L658" t="str">
        <f>IF(Table1_1[[#This Row],[Customer Rating]]&gt;=4.5,"EXCELLENT",IF(Table1_1[[#This Row],[Customer Rating]]&lt;=4,"GOOD","AVERAGE"))</f>
        <v>GOOD</v>
      </c>
    </row>
    <row r="659" spans="1:12" x14ac:dyDescent="0.3">
      <c r="A659" t="s">
        <v>129</v>
      </c>
      <c r="B659" t="s">
        <v>1050</v>
      </c>
      <c r="C659" t="s">
        <v>1051</v>
      </c>
      <c r="D659">
        <v>40069.300000000003</v>
      </c>
      <c r="E659">
        <v>3</v>
      </c>
      <c r="F659">
        <f>SUM(Table1_1[[#This Row],[Price (INR)]]*Table1_1[[#This Row],[Quantity Sold]])</f>
        <v>120207.90000000001</v>
      </c>
      <c r="G659">
        <v>120207.9</v>
      </c>
      <c r="H659" s="1">
        <v>45592</v>
      </c>
      <c r="I659" t="s">
        <v>1049</v>
      </c>
      <c r="J659">
        <v>2.4</v>
      </c>
      <c r="K659" t="str">
        <f>IF(Table1_1[[#This Row],[Quantity Sold]]&gt;=3,"BULK ORDER","REGULAR ORDER")</f>
        <v>BULK ORDER</v>
      </c>
      <c r="L659" t="str">
        <f>IF(Table1_1[[#This Row],[Customer Rating]]&gt;=4.5,"EXCELLENT",IF(Table1_1[[#This Row],[Customer Rating]]&lt;=4,"GOOD","AVERAGE"))</f>
        <v>GOOD</v>
      </c>
    </row>
    <row r="660" spans="1:12" x14ac:dyDescent="0.3">
      <c r="A660" t="s">
        <v>143</v>
      </c>
      <c r="B660" t="s">
        <v>1047</v>
      </c>
      <c r="C660" t="s">
        <v>1048</v>
      </c>
      <c r="D660">
        <v>48157.93</v>
      </c>
      <c r="E660">
        <v>1</v>
      </c>
      <c r="F660">
        <f>SUM(Table1_1[[#This Row],[Price (INR)]]*Table1_1[[#This Row],[Quantity Sold]])</f>
        <v>48157.93</v>
      </c>
      <c r="G660">
        <v>48157.93</v>
      </c>
      <c r="H660" s="1">
        <v>45540</v>
      </c>
      <c r="I660" t="s">
        <v>42</v>
      </c>
      <c r="J660">
        <v>2.4</v>
      </c>
      <c r="K660" t="str">
        <f>IF(Table1_1[[#This Row],[Quantity Sold]]&gt;=3,"BULK ORDER","REGULAR ORDER")</f>
        <v>REGULAR ORDER</v>
      </c>
      <c r="L660" t="str">
        <f>IF(Table1_1[[#This Row],[Customer Rating]]&gt;=4.5,"EXCELLENT",IF(Table1_1[[#This Row],[Customer Rating]]&lt;=4,"GOOD","AVERAGE"))</f>
        <v>GOOD</v>
      </c>
    </row>
    <row r="661" spans="1:12" x14ac:dyDescent="0.3">
      <c r="A661" t="s">
        <v>166</v>
      </c>
      <c r="B661" t="s">
        <v>1076</v>
      </c>
      <c r="C661" t="s">
        <v>1055</v>
      </c>
      <c r="D661">
        <v>28688.25</v>
      </c>
      <c r="E661">
        <v>3</v>
      </c>
      <c r="F661">
        <f>SUM(Table1_1[[#This Row],[Price (INR)]]*Table1_1[[#This Row],[Quantity Sold]])</f>
        <v>86064.75</v>
      </c>
      <c r="G661">
        <v>86064.75</v>
      </c>
      <c r="H661" s="1">
        <v>45439</v>
      </c>
      <c r="I661" t="s">
        <v>16</v>
      </c>
      <c r="J661">
        <v>2.4</v>
      </c>
      <c r="K661" t="str">
        <f>IF(Table1_1[[#This Row],[Quantity Sold]]&gt;=3,"BULK ORDER","REGULAR ORDER")</f>
        <v>BULK ORDER</v>
      </c>
      <c r="L661" t="str">
        <f>IF(Table1_1[[#This Row],[Customer Rating]]&gt;=4.5,"EXCELLENT",IF(Table1_1[[#This Row],[Customer Rating]]&lt;=4,"GOOD","AVERAGE"))</f>
        <v>GOOD</v>
      </c>
    </row>
    <row r="662" spans="1:12" x14ac:dyDescent="0.3">
      <c r="A662" t="s">
        <v>211</v>
      </c>
      <c r="B662" t="s">
        <v>1073</v>
      </c>
      <c r="C662" t="s">
        <v>1053</v>
      </c>
      <c r="D662">
        <v>32590.46</v>
      </c>
      <c r="E662">
        <v>2</v>
      </c>
      <c r="F662">
        <f>SUM(Table1_1[[#This Row],[Price (INR)]]*Table1_1[[#This Row],[Quantity Sold]])</f>
        <v>65180.92</v>
      </c>
      <c r="G662">
        <v>65180.92</v>
      </c>
      <c r="H662" s="1">
        <v>45393</v>
      </c>
      <c r="I662" t="s">
        <v>1071</v>
      </c>
      <c r="J662">
        <v>2.4</v>
      </c>
      <c r="K662" t="str">
        <f>IF(Table1_1[[#This Row],[Quantity Sold]]&gt;=3,"BULK ORDER","REGULAR ORDER")</f>
        <v>REGULAR ORDER</v>
      </c>
      <c r="L662" t="str">
        <f>IF(Table1_1[[#This Row],[Customer Rating]]&gt;=4.5,"EXCELLENT",IF(Table1_1[[#This Row],[Customer Rating]]&lt;=4,"GOOD","AVERAGE"))</f>
        <v>GOOD</v>
      </c>
    </row>
    <row r="663" spans="1:12" x14ac:dyDescent="0.3">
      <c r="A663" t="s">
        <v>236</v>
      </c>
      <c r="B663" t="s">
        <v>1056</v>
      </c>
      <c r="C663" t="s">
        <v>1057</v>
      </c>
      <c r="D663">
        <v>4524.63</v>
      </c>
      <c r="E663">
        <v>3</v>
      </c>
      <c r="F663">
        <f>SUM(Table1_1[[#This Row],[Price (INR)]]*Table1_1[[#This Row],[Quantity Sold]])</f>
        <v>13573.89</v>
      </c>
      <c r="G663">
        <v>13573.89</v>
      </c>
      <c r="H663" s="1">
        <v>45645</v>
      </c>
      <c r="I663" t="s">
        <v>16</v>
      </c>
      <c r="J663">
        <v>2.4</v>
      </c>
      <c r="K663" t="str">
        <f>IF(Table1_1[[#This Row],[Quantity Sold]]&gt;=3,"BULK ORDER","REGULAR ORDER")</f>
        <v>BULK ORDER</v>
      </c>
      <c r="L663" t="str">
        <f>IF(Table1_1[[#This Row],[Customer Rating]]&gt;=4.5,"EXCELLENT",IF(Table1_1[[#This Row],[Customer Rating]]&lt;=4,"GOOD","AVERAGE"))</f>
        <v>GOOD</v>
      </c>
    </row>
    <row r="664" spans="1:12" x14ac:dyDescent="0.3">
      <c r="A664" t="s">
        <v>403</v>
      </c>
      <c r="B664" t="s">
        <v>1079</v>
      </c>
      <c r="C664" t="s">
        <v>1057</v>
      </c>
      <c r="D664">
        <v>11914.15</v>
      </c>
      <c r="E664">
        <v>2</v>
      </c>
      <c r="F664">
        <f>SUM(Table1_1[[#This Row],[Price (INR)]]*Table1_1[[#This Row],[Quantity Sold]])</f>
        <v>23828.3</v>
      </c>
      <c r="G664">
        <v>23828.3</v>
      </c>
      <c r="H664" s="1">
        <v>45453</v>
      </c>
      <c r="I664" t="s">
        <v>1059</v>
      </c>
      <c r="J664">
        <v>2.4</v>
      </c>
      <c r="K664" t="str">
        <f>IF(Table1_1[[#This Row],[Quantity Sold]]&gt;=3,"BULK ORDER","REGULAR ORDER")</f>
        <v>REGULAR ORDER</v>
      </c>
      <c r="L664" t="str">
        <f>IF(Table1_1[[#This Row],[Customer Rating]]&gt;=4.5,"EXCELLENT",IF(Table1_1[[#This Row],[Customer Rating]]&lt;=4,"GOOD","AVERAGE"))</f>
        <v>GOOD</v>
      </c>
    </row>
    <row r="665" spans="1:12" x14ac:dyDescent="0.3">
      <c r="A665" t="s">
        <v>460</v>
      </c>
      <c r="B665" t="s">
        <v>1052</v>
      </c>
      <c r="C665" t="s">
        <v>1053</v>
      </c>
      <c r="D665">
        <v>39931.75</v>
      </c>
      <c r="E665">
        <v>4</v>
      </c>
      <c r="F665">
        <f>SUM(Table1_1[[#This Row],[Price (INR)]]*Table1_1[[#This Row],[Quantity Sold]])</f>
        <v>159727</v>
      </c>
      <c r="G665">
        <v>159727</v>
      </c>
      <c r="H665" s="1">
        <v>45401</v>
      </c>
      <c r="I665" t="s">
        <v>1068</v>
      </c>
      <c r="J665">
        <v>2.4</v>
      </c>
      <c r="K665" t="str">
        <f>IF(Table1_1[[#This Row],[Quantity Sold]]&gt;=3,"BULK ORDER","REGULAR ORDER")</f>
        <v>BULK ORDER</v>
      </c>
      <c r="L665" t="str">
        <f>IF(Table1_1[[#This Row],[Customer Rating]]&gt;=4.5,"EXCELLENT",IF(Table1_1[[#This Row],[Customer Rating]]&lt;=4,"GOOD","AVERAGE"))</f>
        <v>GOOD</v>
      </c>
    </row>
    <row r="666" spans="1:12" x14ac:dyDescent="0.3">
      <c r="A666" t="s">
        <v>461</v>
      </c>
      <c r="B666" t="s">
        <v>1076</v>
      </c>
      <c r="C666" t="s">
        <v>1055</v>
      </c>
      <c r="D666">
        <v>20760.439999999999</v>
      </c>
      <c r="E666">
        <v>4</v>
      </c>
      <c r="F666">
        <f>SUM(Table1_1[[#This Row],[Price (INR)]]*Table1_1[[#This Row],[Quantity Sold]])</f>
        <v>83041.759999999995</v>
      </c>
      <c r="G666">
        <v>83041.759999999995</v>
      </c>
      <c r="H666" s="1">
        <v>45361</v>
      </c>
      <c r="I666" t="s">
        <v>42</v>
      </c>
      <c r="J666">
        <v>2.4</v>
      </c>
      <c r="K666" t="str">
        <f>IF(Table1_1[[#This Row],[Quantity Sold]]&gt;=3,"BULK ORDER","REGULAR ORDER")</f>
        <v>BULK ORDER</v>
      </c>
      <c r="L666" t="str">
        <f>IF(Table1_1[[#This Row],[Customer Rating]]&gt;=4.5,"EXCELLENT",IF(Table1_1[[#This Row],[Customer Rating]]&lt;=4,"GOOD","AVERAGE"))</f>
        <v>GOOD</v>
      </c>
    </row>
    <row r="667" spans="1:12" x14ac:dyDescent="0.3">
      <c r="A667" t="s">
        <v>483</v>
      </c>
      <c r="B667" t="s">
        <v>1072</v>
      </c>
      <c r="C667" t="s">
        <v>1057</v>
      </c>
      <c r="D667">
        <v>37890.559999999998</v>
      </c>
      <c r="E667">
        <v>1</v>
      </c>
      <c r="F667">
        <f>SUM(Table1_1[[#This Row],[Price (INR)]]*Table1_1[[#This Row],[Quantity Sold]])</f>
        <v>37890.559999999998</v>
      </c>
      <c r="G667">
        <v>37890.559999999998</v>
      </c>
      <c r="H667" s="1">
        <v>45473</v>
      </c>
      <c r="I667" t="s">
        <v>42</v>
      </c>
      <c r="J667">
        <v>2.4</v>
      </c>
      <c r="K667" t="str">
        <f>IF(Table1_1[[#This Row],[Quantity Sold]]&gt;=3,"BULK ORDER","REGULAR ORDER")</f>
        <v>REGULAR ORDER</v>
      </c>
      <c r="L667" t="str">
        <f>IF(Table1_1[[#This Row],[Customer Rating]]&gt;=4.5,"EXCELLENT",IF(Table1_1[[#This Row],[Customer Rating]]&lt;=4,"GOOD","AVERAGE"))</f>
        <v>GOOD</v>
      </c>
    </row>
    <row r="668" spans="1:12" x14ac:dyDescent="0.3">
      <c r="A668" t="s">
        <v>502</v>
      </c>
      <c r="B668" t="s">
        <v>1074</v>
      </c>
      <c r="C668" t="s">
        <v>1055</v>
      </c>
      <c r="D668">
        <v>8902.26</v>
      </c>
      <c r="E668">
        <v>5</v>
      </c>
      <c r="F668">
        <f>SUM(Table1_1[[#This Row],[Price (INR)]]*Table1_1[[#This Row],[Quantity Sold]])</f>
        <v>44511.3</v>
      </c>
      <c r="G668">
        <v>44511.3</v>
      </c>
      <c r="H668" s="1">
        <v>45665</v>
      </c>
      <c r="I668" t="s">
        <v>1049</v>
      </c>
      <c r="J668">
        <v>2.4</v>
      </c>
      <c r="K668" t="str">
        <f>IF(Table1_1[[#This Row],[Quantity Sold]]&gt;=3,"BULK ORDER","REGULAR ORDER")</f>
        <v>BULK ORDER</v>
      </c>
      <c r="L668" t="str">
        <f>IF(Table1_1[[#This Row],[Customer Rating]]&gt;=4.5,"EXCELLENT",IF(Table1_1[[#This Row],[Customer Rating]]&lt;=4,"GOOD","AVERAGE"))</f>
        <v>GOOD</v>
      </c>
    </row>
    <row r="669" spans="1:12" x14ac:dyDescent="0.3">
      <c r="A669" t="s">
        <v>562</v>
      </c>
      <c r="B669" t="s">
        <v>1063</v>
      </c>
      <c r="C669" t="s">
        <v>1055</v>
      </c>
      <c r="D669">
        <v>45801.19</v>
      </c>
      <c r="E669">
        <v>5</v>
      </c>
      <c r="F669">
        <f>SUM(Table1_1[[#This Row],[Price (INR)]]*Table1_1[[#This Row],[Quantity Sold]])</f>
        <v>229005.95</v>
      </c>
      <c r="G669">
        <v>229005.95</v>
      </c>
      <c r="H669" s="1">
        <v>45589</v>
      </c>
      <c r="I669" t="s">
        <v>1068</v>
      </c>
      <c r="J669">
        <v>2.4</v>
      </c>
      <c r="K669" t="str">
        <f>IF(Table1_1[[#This Row],[Quantity Sold]]&gt;=3,"BULK ORDER","REGULAR ORDER")</f>
        <v>BULK ORDER</v>
      </c>
      <c r="L669" t="str">
        <f>IF(Table1_1[[#This Row],[Customer Rating]]&gt;=4.5,"EXCELLENT",IF(Table1_1[[#This Row],[Customer Rating]]&lt;=4,"GOOD","AVERAGE"))</f>
        <v>GOOD</v>
      </c>
    </row>
    <row r="670" spans="1:12" x14ac:dyDescent="0.3">
      <c r="A670" t="s">
        <v>703</v>
      </c>
      <c r="B670" t="s">
        <v>1076</v>
      </c>
      <c r="C670" t="s">
        <v>1055</v>
      </c>
      <c r="D670">
        <v>34358.78</v>
      </c>
      <c r="E670">
        <v>3</v>
      </c>
      <c r="F670">
        <f>SUM(Table1_1[[#This Row],[Price (INR)]]*Table1_1[[#This Row],[Quantity Sold]])</f>
        <v>103076.34</v>
      </c>
      <c r="G670">
        <v>103076.34</v>
      </c>
      <c r="H670" s="1">
        <v>45563</v>
      </c>
      <c r="I670" t="s">
        <v>1071</v>
      </c>
      <c r="J670">
        <v>2.4</v>
      </c>
      <c r="K670" t="str">
        <f>IF(Table1_1[[#This Row],[Quantity Sold]]&gt;=3,"BULK ORDER","REGULAR ORDER")</f>
        <v>BULK ORDER</v>
      </c>
      <c r="L670" t="str">
        <f>IF(Table1_1[[#This Row],[Customer Rating]]&gt;=4.5,"EXCELLENT",IF(Table1_1[[#This Row],[Customer Rating]]&lt;=4,"GOOD","AVERAGE"))</f>
        <v>GOOD</v>
      </c>
    </row>
    <row r="671" spans="1:12" x14ac:dyDescent="0.3">
      <c r="A671" t="s">
        <v>750</v>
      </c>
      <c r="B671" t="s">
        <v>1069</v>
      </c>
      <c r="C671" t="s">
        <v>1048</v>
      </c>
      <c r="D671">
        <v>34446.42</v>
      </c>
      <c r="E671">
        <v>3</v>
      </c>
      <c r="F671">
        <f>SUM(Table1_1[[#This Row],[Price (INR)]]*Table1_1[[#This Row],[Quantity Sold]])</f>
        <v>103339.26</v>
      </c>
      <c r="G671">
        <v>103339.26</v>
      </c>
      <c r="H671" s="1">
        <v>45349</v>
      </c>
      <c r="I671" t="s">
        <v>16</v>
      </c>
      <c r="J671">
        <v>2.4</v>
      </c>
      <c r="K671" t="str">
        <f>IF(Table1_1[[#This Row],[Quantity Sold]]&gt;=3,"BULK ORDER","REGULAR ORDER")</f>
        <v>BULK ORDER</v>
      </c>
      <c r="L671" t="str">
        <f>IF(Table1_1[[#This Row],[Customer Rating]]&gt;=4.5,"EXCELLENT",IF(Table1_1[[#This Row],[Customer Rating]]&lt;=4,"GOOD","AVERAGE"))</f>
        <v>GOOD</v>
      </c>
    </row>
    <row r="672" spans="1:12" x14ac:dyDescent="0.3">
      <c r="A672" t="s">
        <v>782</v>
      </c>
      <c r="B672" t="s">
        <v>1054</v>
      </c>
      <c r="C672" t="s">
        <v>1055</v>
      </c>
      <c r="D672">
        <v>2519.1799999999998</v>
      </c>
      <c r="E672">
        <v>1</v>
      </c>
      <c r="F672">
        <f>SUM(Table1_1[[#This Row],[Price (INR)]]*Table1_1[[#This Row],[Quantity Sold]])</f>
        <v>2519.1799999999998</v>
      </c>
      <c r="G672">
        <v>2519.1799999999998</v>
      </c>
      <c r="H672" s="1">
        <v>45627</v>
      </c>
      <c r="I672" t="s">
        <v>1071</v>
      </c>
      <c r="J672">
        <v>2.4</v>
      </c>
      <c r="K672" t="str">
        <f>IF(Table1_1[[#This Row],[Quantity Sold]]&gt;=3,"BULK ORDER","REGULAR ORDER")</f>
        <v>REGULAR ORDER</v>
      </c>
      <c r="L672" t="str">
        <f>IF(Table1_1[[#This Row],[Customer Rating]]&gt;=4.5,"EXCELLENT",IF(Table1_1[[#This Row],[Customer Rating]]&lt;=4,"GOOD","AVERAGE"))</f>
        <v>GOOD</v>
      </c>
    </row>
    <row r="673" spans="1:12" x14ac:dyDescent="0.3">
      <c r="A673" t="s">
        <v>789</v>
      </c>
      <c r="B673" t="s">
        <v>1070</v>
      </c>
      <c r="C673" t="s">
        <v>1051</v>
      </c>
      <c r="D673">
        <v>25059.360000000001</v>
      </c>
      <c r="E673">
        <v>5</v>
      </c>
      <c r="F673">
        <f>SUM(Table1_1[[#This Row],[Price (INR)]]*Table1_1[[#This Row],[Quantity Sold]])</f>
        <v>125296.8</v>
      </c>
      <c r="G673">
        <v>125296.8</v>
      </c>
      <c r="H673" s="1">
        <v>45358</v>
      </c>
      <c r="I673" t="s">
        <v>16</v>
      </c>
      <c r="J673">
        <v>2.4</v>
      </c>
      <c r="K673" t="str">
        <f>IF(Table1_1[[#This Row],[Quantity Sold]]&gt;=3,"BULK ORDER","REGULAR ORDER")</f>
        <v>BULK ORDER</v>
      </c>
      <c r="L673" t="str">
        <f>IF(Table1_1[[#This Row],[Customer Rating]]&gt;=4.5,"EXCELLENT",IF(Table1_1[[#This Row],[Customer Rating]]&lt;=4,"GOOD","AVERAGE"))</f>
        <v>GOOD</v>
      </c>
    </row>
    <row r="674" spans="1:12" x14ac:dyDescent="0.3">
      <c r="A674" t="s">
        <v>823</v>
      </c>
      <c r="B674" t="s">
        <v>1072</v>
      </c>
      <c r="C674" t="s">
        <v>1057</v>
      </c>
      <c r="D674">
        <v>46315.8</v>
      </c>
      <c r="E674">
        <v>3</v>
      </c>
      <c r="F674">
        <f>SUM(Table1_1[[#This Row],[Price (INR)]]*Table1_1[[#This Row],[Quantity Sold]])</f>
        <v>138947.40000000002</v>
      </c>
      <c r="G674">
        <v>138947.4</v>
      </c>
      <c r="H674" s="1">
        <v>45436</v>
      </c>
      <c r="I674" t="s">
        <v>1059</v>
      </c>
      <c r="J674">
        <v>2.4</v>
      </c>
      <c r="K674" t="str">
        <f>IF(Table1_1[[#This Row],[Quantity Sold]]&gt;=3,"BULK ORDER","REGULAR ORDER")</f>
        <v>BULK ORDER</v>
      </c>
      <c r="L674" t="str">
        <f>IF(Table1_1[[#This Row],[Customer Rating]]&gt;=4.5,"EXCELLENT",IF(Table1_1[[#This Row],[Customer Rating]]&lt;=4,"GOOD","AVERAGE"))</f>
        <v>GOOD</v>
      </c>
    </row>
    <row r="675" spans="1:12" x14ac:dyDescent="0.3">
      <c r="A675" t="s">
        <v>876</v>
      </c>
      <c r="B675" t="s">
        <v>1061</v>
      </c>
      <c r="C675" t="s">
        <v>1057</v>
      </c>
      <c r="D675">
        <v>47284.54</v>
      </c>
      <c r="E675">
        <v>5</v>
      </c>
      <c r="F675">
        <f>SUM(Table1_1[[#This Row],[Price (INR)]]*Table1_1[[#This Row],[Quantity Sold]])</f>
        <v>236422.7</v>
      </c>
      <c r="G675">
        <v>236422.7</v>
      </c>
      <c r="H675" s="1">
        <v>45352</v>
      </c>
      <c r="I675" t="s">
        <v>1071</v>
      </c>
      <c r="J675">
        <v>2.4</v>
      </c>
      <c r="K675" t="str">
        <f>IF(Table1_1[[#This Row],[Quantity Sold]]&gt;=3,"BULK ORDER","REGULAR ORDER")</f>
        <v>BULK ORDER</v>
      </c>
      <c r="L675" t="str">
        <f>IF(Table1_1[[#This Row],[Customer Rating]]&gt;=4.5,"EXCELLENT",IF(Table1_1[[#This Row],[Customer Rating]]&lt;=4,"GOOD","AVERAGE"))</f>
        <v>GOOD</v>
      </c>
    </row>
    <row r="676" spans="1:12" x14ac:dyDescent="0.3">
      <c r="A676" t="s">
        <v>1041</v>
      </c>
      <c r="B676" t="s">
        <v>1064</v>
      </c>
      <c r="C676" t="s">
        <v>1053</v>
      </c>
      <c r="D676">
        <v>32799.51</v>
      </c>
      <c r="E676">
        <v>2</v>
      </c>
      <c r="F676">
        <f>SUM(Table1_1[[#This Row],[Price (INR)]]*Table1_1[[#This Row],[Quantity Sold]])</f>
        <v>65599.02</v>
      </c>
      <c r="G676">
        <v>65599.02</v>
      </c>
      <c r="H676" s="1">
        <v>45644</v>
      </c>
      <c r="I676" t="s">
        <v>1059</v>
      </c>
      <c r="J676">
        <v>2.4</v>
      </c>
      <c r="K676" t="str">
        <f>IF(Table1_1[[#This Row],[Quantity Sold]]&gt;=3,"BULK ORDER","REGULAR ORDER")</f>
        <v>REGULAR ORDER</v>
      </c>
      <c r="L676" t="str">
        <f>IF(Table1_1[[#This Row],[Customer Rating]]&gt;=4.5,"EXCELLENT",IF(Table1_1[[#This Row],[Customer Rating]]&lt;=4,"GOOD","AVERAGE"))</f>
        <v>GOOD</v>
      </c>
    </row>
    <row r="677" spans="1:12" x14ac:dyDescent="0.3">
      <c r="A677" t="s">
        <v>37</v>
      </c>
      <c r="B677" t="s">
        <v>1064</v>
      </c>
      <c r="C677" t="s">
        <v>1053</v>
      </c>
      <c r="D677">
        <v>46409.57</v>
      </c>
      <c r="E677">
        <v>5</v>
      </c>
      <c r="F677">
        <f>SUM(Table1_1[[#This Row],[Price (INR)]]*Table1_1[[#This Row],[Quantity Sold]])</f>
        <v>232047.85</v>
      </c>
      <c r="G677">
        <v>232047.85</v>
      </c>
      <c r="H677" s="1">
        <v>45696</v>
      </c>
      <c r="I677" t="s">
        <v>16</v>
      </c>
      <c r="J677">
        <v>2.2999999999999998</v>
      </c>
      <c r="K677" t="str">
        <f>IF(Table1_1[[#This Row],[Quantity Sold]]&gt;=3,"BULK ORDER","REGULAR ORDER")</f>
        <v>BULK ORDER</v>
      </c>
      <c r="L677" t="str">
        <f>IF(Table1_1[[#This Row],[Customer Rating]]&gt;=4.5,"EXCELLENT",IF(Table1_1[[#This Row],[Customer Rating]]&lt;=4,"GOOD","AVERAGE"))</f>
        <v>GOOD</v>
      </c>
    </row>
    <row r="678" spans="1:12" x14ac:dyDescent="0.3">
      <c r="A678" t="s">
        <v>49</v>
      </c>
      <c r="B678" t="s">
        <v>1069</v>
      </c>
      <c r="C678" t="s">
        <v>1048</v>
      </c>
      <c r="D678">
        <v>20817.46</v>
      </c>
      <c r="E678">
        <v>2</v>
      </c>
      <c r="F678">
        <f>SUM(Table1_1[[#This Row],[Price (INR)]]*Table1_1[[#This Row],[Quantity Sold]])</f>
        <v>41634.92</v>
      </c>
      <c r="G678">
        <v>41634.92</v>
      </c>
      <c r="H678" s="1">
        <v>45381</v>
      </c>
      <c r="I678" t="s">
        <v>1049</v>
      </c>
      <c r="J678">
        <v>2.2999999999999998</v>
      </c>
      <c r="K678" t="str">
        <f>IF(Table1_1[[#This Row],[Quantity Sold]]&gt;=3,"BULK ORDER","REGULAR ORDER")</f>
        <v>REGULAR ORDER</v>
      </c>
      <c r="L678" t="str">
        <f>IF(Table1_1[[#This Row],[Customer Rating]]&gt;=4.5,"EXCELLENT",IF(Table1_1[[#This Row],[Customer Rating]]&lt;=4,"GOOD","AVERAGE"))</f>
        <v>GOOD</v>
      </c>
    </row>
    <row r="679" spans="1:12" x14ac:dyDescent="0.3">
      <c r="A679" t="s">
        <v>64</v>
      </c>
      <c r="B679" t="s">
        <v>1058</v>
      </c>
      <c r="C679" t="s">
        <v>1057</v>
      </c>
      <c r="D679">
        <v>28978.47</v>
      </c>
      <c r="E679">
        <v>4</v>
      </c>
      <c r="F679">
        <f>SUM(Table1_1[[#This Row],[Price (INR)]]*Table1_1[[#This Row],[Quantity Sold]])</f>
        <v>115913.88</v>
      </c>
      <c r="G679">
        <v>115913.88</v>
      </c>
      <c r="H679" s="1">
        <v>45494</v>
      </c>
      <c r="I679" t="s">
        <v>16</v>
      </c>
      <c r="J679">
        <v>2.2999999999999998</v>
      </c>
      <c r="K679" t="str">
        <f>IF(Table1_1[[#This Row],[Quantity Sold]]&gt;=3,"BULK ORDER","REGULAR ORDER")</f>
        <v>BULK ORDER</v>
      </c>
      <c r="L679" t="str">
        <f>IF(Table1_1[[#This Row],[Customer Rating]]&gt;=4.5,"EXCELLENT",IF(Table1_1[[#This Row],[Customer Rating]]&lt;=4,"GOOD","AVERAGE"))</f>
        <v>GOOD</v>
      </c>
    </row>
    <row r="680" spans="1:12" x14ac:dyDescent="0.3">
      <c r="A680" t="s">
        <v>88</v>
      </c>
      <c r="B680" t="s">
        <v>1073</v>
      </c>
      <c r="C680" t="s">
        <v>1053</v>
      </c>
      <c r="D680">
        <v>11187.38</v>
      </c>
      <c r="E680">
        <v>4</v>
      </c>
      <c r="F680">
        <f>SUM(Table1_1[[#This Row],[Price (INR)]]*Table1_1[[#This Row],[Quantity Sold]])</f>
        <v>44749.52</v>
      </c>
      <c r="G680">
        <v>44749.52</v>
      </c>
      <c r="H680" s="1">
        <v>45465</v>
      </c>
      <c r="I680" t="s">
        <v>1059</v>
      </c>
      <c r="J680">
        <v>2.2999999999999998</v>
      </c>
      <c r="K680" t="str">
        <f>IF(Table1_1[[#This Row],[Quantity Sold]]&gt;=3,"BULK ORDER","REGULAR ORDER")</f>
        <v>BULK ORDER</v>
      </c>
      <c r="L680" t="str">
        <f>IF(Table1_1[[#This Row],[Customer Rating]]&gt;=4.5,"EXCELLENT",IF(Table1_1[[#This Row],[Customer Rating]]&lt;=4,"GOOD","AVERAGE"))</f>
        <v>GOOD</v>
      </c>
    </row>
    <row r="681" spans="1:12" x14ac:dyDescent="0.3">
      <c r="A681" t="s">
        <v>173</v>
      </c>
      <c r="B681" t="s">
        <v>1074</v>
      </c>
      <c r="C681" t="s">
        <v>1055</v>
      </c>
      <c r="D681">
        <v>11289.42</v>
      </c>
      <c r="E681">
        <v>3</v>
      </c>
      <c r="F681">
        <f>SUM(Table1_1[[#This Row],[Price (INR)]]*Table1_1[[#This Row],[Quantity Sold]])</f>
        <v>33868.26</v>
      </c>
      <c r="G681">
        <v>33868.26</v>
      </c>
      <c r="H681" s="1">
        <v>45514</v>
      </c>
      <c r="I681" t="s">
        <v>16</v>
      </c>
      <c r="J681">
        <v>2.2999999999999998</v>
      </c>
      <c r="K681" t="str">
        <f>IF(Table1_1[[#This Row],[Quantity Sold]]&gt;=3,"BULK ORDER","REGULAR ORDER")</f>
        <v>BULK ORDER</v>
      </c>
      <c r="L681" t="str">
        <f>IF(Table1_1[[#This Row],[Customer Rating]]&gt;=4.5,"EXCELLENT",IF(Table1_1[[#This Row],[Customer Rating]]&lt;=4,"GOOD","AVERAGE"))</f>
        <v>GOOD</v>
      </c>
    </row>
    <row r="682" spans="1:12" x14ac:dyDescent="0.3">
      <c r="A682" t="s">
        <v>214</v>
      </c>
      <c r="B682" t="s">
        <v>1075</v>
      </c>
      <c r="C682" t="s">
        <v>1053</v>
      </c>
      <c r="D682">
        <v>28246.25</v>
      </c>
      <c r="E682">
        <v>2</v>
      </c>
      <c r="F682">
        <f>SUM(Table1_1[[#This Row],[Price (INR)]]*Table1_1[[#This Row],[Quantity Sold]])</f>
        <v>56492.5</v>
      </c>
      <c r="G682">
        <v>56492.5</v>
      </c>
      <c r="H682" s="1">
        <v>45446</v>
      </c>
      <c r="I682" t="s">
        <v>1071</v>
      </c>
      <c r="J682">
        <v>2.2999999999999998</v>
      </c>
      <c r="K682" t="str">
        <f>IF(Table1_1[[#This Row],[Quantity Sold]]&gt;=3,"BULK ORDER","REGULAR ORDER")</f>
        <v>REGULAR ORDER</v>
      </c>
      <c r="L682" t="str">
        <f>IF(Table1_1[[#This Row],[Customer Rating]]&gt;=4.5,"EXCELLENT",IF(Table1_1[[#This Row],[Customer Rating]]&lt;=4,"GOOD","AVERAGE"))</f>
        <v>GOOD</v>
      </c>
    </row>
    <row r="683" spans="1:12" x14ac:dyDescent="0.3">
      <c r="A683" t="s">
        <v>235</v>
      </c>
      <c r="B683" t="s">
        <v>1077</v>
      </c>
      <c r="C683" t="s">
        <v>1048</v>
      </c>
      <c r="D683">
        <v>49088.13</v>
      </c>
      <c r="E683">
        <v>4</v>
      </c>
      <c r="F683">
        <f>SUM(Table1_1[[#This Row],[Price (INR)]]*Table1_1[[#This Row],[Quantity Sold]])</f>
        <v>196352.52</v>
      </c>
      <c r="G683">
        <v>196352.52</v>
      </c>
      <c r="H683" s="1">
        <v>45357</v>
      </c>
      <c r="I683" t="s">
        <v>1059</v>
      </c>
      <c r="J683">
        <v>2.2999999999999998</v>
      </c>
      <c r="K683" t="str">
        <f>IF(Table1_1[[#This Row],[Quantity Sold]]&gt;=3,"BULK ORDER","REGULAR ORDER")</f>
        <v>BULK ORDER</v>
      </c>
      <c r="L683" t="str">
        <f>IF(Table1_1[[#This Row],[Customer Rating]]&gt;=4.5,"EXCELLENT",IF(Table1_1[[#This Row],[Customer Rating]]&lt;=4,"GOOD","AVERAGE"))</f>
        <v>GOOD</v>
      </c>
    </row>
    <row r="684" spans="1:12" x14ac:dyDescent="0.3">
      <c r="A684" t="s">
        <v>259</v>
      </c>
      <c r="B684" t="s">
        <v>1074</v>
      </c>
      <c r="C684" t="s">
        <v>1055</v>
      </c>
      <c r="D684">
        <v>24818.77</v>
      </c>
      <c r="E684">
        <v>4</v>
      </c>
      <c r="F684">
        <f>SUM(Table1_1[[#This Row],[Price (INR)]]*Table1_1[[#This Row],[Quantity Sold]])</f>
        <v>99275.08</v>
      </c>
      <c r="G684">
        <v>99275.08</v>
      </c>
      <c r="H684" s="1">
        <v>45610</v>
      </c>
      <c r="I684" t="s">
        <v>1049</v>
      </c>
      <c r="J684">
        <v>2.2999999999999998</v>
      </c>
      <c r="K684" t="str">
        <f>IF(Table1_1[[#This Row],[Quantity Sold]]&gt;=3,"BULK ORDER","REGULAR ORDER")</f>
        <v>BULK ORDER</v>
      </c>
      <c r="L684" t="str">
        <f>IF(Table1_1[[#This Row],[Customer Rating]]&gt;=4.5,"EXCELLENT",IF(Table1_1[[#This Row],[Customer Rating]]&lt;=4,"GOOD","AVERAGE"))</f>
        <v>GOOD</v>
      </c>
    </row>
    <row r="685" spans="1:12" x14ac:dyDescent="0.3">
      <c r="A685" t="s">
        <v>345</v>
      </c>
      <c r="B685" t="s">
        <v>1076</v>
      </c>
      <c r="C685" t="s">
        <v>1055</v>
      </c>
      <c r="D685">
        <v>26615.919999999998</v>
      </c>
      <c r="E685">
        <v>2</v>
      </c>
      <c r="F685">
        <f>SUM(Table1_1[[#This Row],[Price (INR)]]*Table1_1[[#This Row],[Quantity Sold]])</f>
        <v>53231.839999999997</v>
      </c>
      <c r="G685">
        <v>53231.839999999997</v>
      </c>
      <c r="H685" s="1">
        <v>45464</v>
      </c>
      <c r="I685" t="s">
        <v>42</v>
      </c>
      <c r="J685">
        <v>2.2999999999999998</v>
      </c>
      <c r="K685" t="str">
        <f>IF(Table1_1[[#This Row],[Quantity Sold]]&gt;=3,"BULK ORDER","REGULAR ORDER")</f>
        <v>REGULAR ORDER</v>
      </c>
      <c r="L685" t="str">
        <f>IF(Table1_1[[#This Row],[Customer Rating]]&gt;=4.5,"EXCELLENT",IF(Table1_1[[#This Row],[Customer Rating]]&lt;=4,"GOOD","AVERAGE"))</f>
        <v>GOOD</v>
      </c>
    </row>
    <row r="686" spans="1:12" x14ac:dyDescent="0.3">
      <c r="A686" t="s">
        <v>438</v>
      </c>
      <c r="B686" t="s">
        <v>1073</v>
      </c>
      <c r="C686" t="s">
        <v>1053</v>
      </c>
      <c r="D686">
        <v>7043.51</v>
      </c>
      <c r="E686">
        <v>4</v>
      </c>
      <c r="F686">
        <f>SUM(Table1_1[[#This Row],[Price (INR)]]*Table1_1[[#This Row],[Quantity Sold]])</f>
        <v>28174.04</v>
      </c>
      <c r="G686">
        <v>28174.04</v>
      </c>
      <c r="H686" s="1">
        <v>45363</v>
      </c>
      <c r="I686" t="s">
        <v>16</v>
      </c>
      <c r="J686">
        <v>2.2999999999999998</v>
      </c>
      <c r="K686" t="str">
        <f>IF(Table1_1[[#This Row],[Quantity Sold]]&gt;=3,"BULK ORDER","REGULAR ORDER")</f>
        <v>BULK ORDER</v>
      </c>
      <c r="L686" t="str">
        <f>IF(Table1_1[[#This Row],[Customer Rating]]&gt;=4.5,"EXCELLENT",IF(Table1_1[[#This Row],[Customer Rating]]&lt;=4,"GOOD","AVERAGE"))</f>
        <v>GOOD</v>
      </c>
    </row>
    <row r="687" spans="1:12" x14ac:dyDescent="0.3">
      <c r="A687" t="s">
        <v>446</v>
      </c>
      <c r="B687" t="s">
        <v>1058</v>
      </c>
      <c r="C687" t="s">
        <v>1057</v>
      </c>
      <c r="D687">
        <v>5500.92</v>
      </c>
      <c r="E687">
        <v>3</v>
      </c>
      <c r="F687">
        <f>SUM(Table1_1[[#This Row],[Price (INR)]]*Table1_1[[#This Row],[Quantity Sold]])</f>
        <v>16502.760000000002</v>
      </c>
      <c r="G687">
        <v>16502.759999999998</v>
      </c>
      <c r="H687" s="1">
        <v>45500</v>
      </c>
      <c r="I687" t="s">
        <v>1049</v>
      </c>
      <c r="J687">
        <v>2.2999999999999998</v>
      </c>
      <c r="K687" t="str">
        <f>IF(Table1_1[[#This Row],[Quantity Sold]]&gt;=3,"BULK ORDER","REGULAR ORDER")</f>
        <v>BULK ORDER</v>
      </c>
      <c r="L687" t="str">
        <f>IF(Table1_1[[#This Row],[Customer Rating]]&gt;=4.5,"EXCELLENT",IF(Table1_1[[#This Row],[Customer Rating]]&lt;=4,"GOOD","AVERAGE"))</f>
        <v>GOOD</v>
      </c>
    </row>
    <row r="688" spans="1:12" x14ac:dyDescent="0.3">
      <c r="A688" t="s">
        <v>586</v>
      </c>
      <c r="B688" t="s">
        <v>1079</v>
      </c>
      <c r="C688" t="s">
        <v>1057</v>
      </c>
      <c r="D688">
        <v>2435.9699999999998</v>
      </c>
      <c r="E688">
        <v>1</v>
      </c>
      <c r="F688">
        <f>SUM(Table1_1[[#This Row],[Price (INR)]]*Table1_1[[#This Row],[Quantity Sold]])</f>
        <v>2435.9699999999998</v>
      </c>
      <c r="G688">
        <v>2435.9699999999998</v>
      </c>
      <c r="H688" s="1">
        <v>45381</v>
      </c>
      <c r="I688" t="s">
        <v>1068</v>
      </c>
      <c r="J688">
        <v>2.2999999999999998</v>
      </c>
      <c r="K688" t="str">
        <f>IF(Table1_1[[#This Row],[Quantity Sold]]&gt;=3,"BULK ORDER","REGULAR ORDER")</f>
        <v>REGULAR ORDER</v>
      </c>
      <c r="L688" t="str">
        <f>IF(Table1_1[[#This Row],[Customer Rating]]&gt;=4.5,"EXCELLENT",IF(Table1_1[[#This Row],[Customer Rating]]&lt;=4,"GOOD","AVERAGE"))</f>
        <v>GOOD</v>
      </c>
    </row>
    <row r="689" spans="1:12" x14ac:dyDescent="0.3">
      <c r="A689" t="s">
        <v>668</v>
      </c>
      <c r="B689" t="s">
        <v>1070</v>
      </c>
      <c r="C689" t="s">
        <v>1051</v>
      </c>
      <c r="D689">
        <v>18161.009999999998</v>
      </c>
      <c r="E689">
        <v>4</v>
      </c>
      <c r="F689">
        <f>SUM(Table1_1[[#This Row],[Price (INR)]]*Table1_1[[#This Row],[Quantity Sold]])</f>
        <v>72644.039999999994</v>
      </c>
      <c r="G689">
        <v>72644.039999999994</v>
      </c>
      <c r="H689" s="1">
        <v>45486</v>
      </c>
      <c r="I689" t="s">
        <v>1068</v>
      </c>
      <c r="J689">
        <v>2.2999999999999998</v>
      </c>
      <c r="K689" t="str">
        <f>IF(Table1_1[[#This Row],[Quantity Sold]]&gt;=3,"BULK ORDER","REGULAR ORDER")</f>
        <v>BULK ORDER</v>
      </c>
      <c r="L689" t="str">
        <f>IF(Table1_1[[#This Row],[Customer Rating]]&gt;=4.5,"EXCELLENT",IF(Table1_1[[#This Row],[Customer Rating]]&lt;=4,"GOOD","AVERAGE"))</f>
        <v>GOOD</v>
      </c>
    </row>
    <row r="690" spans="1:12" x14ac:dyDescent="0.3">
      <c r="A690" t="s">
        <v>735</v>
      </c>
      <c r="B690" t="s">
        <v>1070</v>
      </c>
      <c r="C690" t="s">
        <v>1051</v>
      </c>
      <c r="D690">
        <v>16038</v>
      </c>
      <c r="E690">
        <v>5</v>
      </c>
      <c r="F690">
        <f>SUM(Table1_1[[#This Row],[Price (INR)]]*Table1_1[[#This Row],[Quantity Sold]])</f>
        <v>80190</v>
      </c>
      <c r="G690">
        <v>80190</v>
      </c>
      <c r="H690" s="1">
        <v>45646</v>
      </c>
      <c r="I690" t="s">
        <v>1068</v>
      </c>
      <c r="J690">
        <v>2.2999999999999998</v>
      </c>
      <c r="K690" t="str">
        <f>IF(Table1_1[[#This Row],[Quantity Sold]]&gt;=3,"BULK ORDER","REGULAR ORDER")</f>
        <v>BULK ORDER</v>
      </c>
      <c r="L690" t="str">
        <f>IF(Table1_1[[#This Row],[Customer Rating]]&gt;=4.5,"EXCELLENT",IF(Table1_1[[#This Row],[Customer Rating]]&lt;=4,"GOOD","AVERAGE"))</f>
        <v>GOOD</v>
      </c>
    </row>
    <row r="691" spans="1:12" x14ac:dyDescent="0.3">
      <c r="A691" t="s">
        <v>790</v>
      </c>
      <c r="B691" t="s">
        <v>1079</v>
      </c>
      <c r="C691" t="s">
        <v>1057</v>
      </c>
      <c r="D691">
        <v>47795.34</v>
      </c>
      <c r="E691">
        <v>1</v>
      </c>
      <c r="F691">
        <f>SUM(Table1_1[[#This Row],[Price (INR)]]*Table1_1[[#This Row],[Quantity Sold]])</f>
        <v>47795.34</v>
      </c>
      <c r="G691">
        <v>47795.34</v>
      </c>
      <c r="H691" s="1">
        <v>45639</v>
      </c>
      <c r="I691" t="s">
        <v>42</v>
      </c>
      <c r="J691">
        <v>2.2999999999999998</v>
      </c>
      <c r="K691" t="str">
        <f>IF(Table1_1[[#This Row],[Quantity Sold]]&gt;=3,"BULK ORDER","REGULAR ORDER")</f>
        <v>REGULAR ORDER</v>
      </c>
      <c r="L691" t="str">
        <f>IF(Table1_1[[#This Row],[Customer Rating]]&gt;=4.5,"EXCELLENT",IF(Table1_1[[#This Row],[Customer Rating]]&lt;=4,"GOOD","AVERAGE"))</f>
        <v>GOOD</v>
      </c>
    </row>
    <row r="692" spans="1:12" x14ac:dyDescent="0.3">
      <c r="A692" t="s">
        <v>826</v>
      </c>
      <c r="B692" t="s">
        <v>1067</v>
      </c>
      <c r="C692" t="s">
        <v>1048</v>
      </c>
      <c r="D692">
        <v>47666.18</v>
      </c>
      <c r="E692">
        <v>1</v>
      </c>
      <c r="F692">
        <f>SUM(Table1_1[[#This Row],[Price (INR)]]*Table1_1[[#This Row],[Quantity Sold]])</f>
        <v>47666.18</v>
      </c>
      <c r="G692">
        <v>47666.18</v>
      </c>
      <c r="H692" s="1">
        <v>45334</v>
      </c>
      <c r="I692" t="s">
        <v>16</v>
      </c>
      <c r="J692">
        <v>2.2999999999999998</v>
      </c>
      <c r="K692" t="str">
        <f>IF(Table1_1[[#This Row],[Quantity Sold]]&gt;=3,"BULK ORDER","REGULAR ORDER")</f>
        <v>REGULAR ORDER</v>
      </c>
      <c r="L692" t="str">
        <f>IF(Table1_1[[#This Row],[Customer Rating]]&gt;=4.5,"EXCELLENT",IF(Table1_1[[#This Row],[Customer Rating]]&lt;=4,"GOOD","AVERAGE"))</f>
        <v>GOOD</v>
      </c>
    </row>
    <row r="693" spans="1:12" x14ac:dyDescent="0.3">
      <c r="A693" t="s">
        <v>828</v>
      </c>
      <c r="B693" t="s">
        <v>1079</v>
      </c>
      <c r="C693" t="s">
        <v>1057</v>
      </c>
      <c r="D693">
        <v>41671.06</v>
      </c>
      <c r="E693">
        <v>2</v>
      </c>
      <c r="F693">
        <f>SUM(Table1_1[[#This Row],[Price (INR)]]*Table1_1[[#This Row],[Quantity Sold]])</f>
        <v>83342.12</v>
      </c>
      <c r="G693">
        <v>83342.12</v>
      </c>
      <c r="H693" s="1">
        <v>45689</v>
      </c>
      <c r="I693" t="s">
        <v>16</v>
      </c>
      <c r="J693">
        <v>2.2999999999999998</v>
      </c>
      <c r="K693" t="str">
        <f>IF(Table1_1[[#This Row],[Quantity Sold]]&gt;=3,"BULK ORDER","REGULAR ORDER")</f>
        <v>REGULAR ORDER</v>
      </c>
      <c r="L693" t="str">
        <f>IF(Table1_1[[#This Row],[Customer Rating]]&gt;=4.5,"EXCELLENT",IF(Table1_1[[#This Row],[Customer Rating]]&lt;=4,"GOOD","AVERAGE"))</f>
        <v>GOOD</v>
      </c>
    </row>
    <row r="694" spans="1:12" x14ac:dyDescent="0.3">
      <c r="A694" t="s">
        <v>872</v>
      </c>
      <c r="B694" t="s">
        <v>1054</v>
      </c>
      <c r="C694" t="s">
        <v>1055</v>
      </c>
      <c r="D694">
        <v>14290.07</v>
      </c>
      <c r="E694">
        <v>5</v>
      </c>
      <c r="F694">
        <f>SUM(Table1_1[[#This Row],[Price (INR)]]*Table1_1[[#This Row],[Quantity Sold]])</f>
        <v>71450.350000000006</v>
      </c>
      <c r="G694">
        <v>71450.350000000006</v>
      </c>
      <c r="H694" s="1">
        <v>45638</v>
      </c>
      <c r="I694" t="s">
        <v>1049</v>
      </c>
      <c r="J694">
        <v>2.2999999999999998</v>
      </c>
      <c r="K694" t="str">
        <f>IF(Table1_1[[#This Row],[Quantity Sold]]&gt;=3,"BULK ORDER","REGULAR ORDER")</f>
        <v>BULK ORDER</v>
      </c>
      <c r="L694" t="str">
        <f>IF(Table1_1[[#This Row],[Customer Rating]]&gt;=4.5,"EXCELLENT",IF(Table1_1[[#This Row],[Customer Rating]]&lt;=4,"GOOD","AVERAGE"))</f>
        <v>GOOD</v>
      </c>
    </row>
    <row r="695" spans="1:12" x14ac:dyDescent="0.3">
      <c r="A695" t="s">
        <v>885</v>
      </c>
      <c r="B695" t="s">
        <v>1061</v>
      </c>
      <c r="C695" t="s">
        <v>1057</v>
      </c>
      <c r="D695">
        <v>14359.56</v>
      </c>
      <c r="E695">
        <v>3</v>
      </c>
      <c r="F695">
        <f>SUM(Table1_1[[#This Row],[Price (INR)]]*Table1_1[[#This Row],[Quantity Sold]])</f>
        <v>43078.68</v>
      </c>
      <c r="G695">
        <v>43078.68</v>
      </c>
      <c r="H695" s="1">
        <v>45482</v>
      </c>
      <c r="I695" t="s">
        <v>1049</v>
      </c>
      <c r="J695">
        <v>2.2999999999999998</v>
      </c>
      <c r="K695" t="str">
        <f>IF(Table1_1[[#This Row],[Quantity Sold]]&gt;=3,"BULK ORDER","REGULAR ORDER")</f>
        <v>BULK ORDER</v>
      </c>
      <c r="L695" t="str">
        <f>IF(Table1_1[[#This Row],[Customer Rating]]&gt;=4.5,"EXCELLENT",IF(Table1_1[[#This Row],[Customer Rating]]&lt;=4,"GOOD","AVERAGE"))</f>
        <v>GOOD</v>
      </c>
    </row>
    <row r="696" spans="1:12" x14ac:dyDescent="0.3">
      <c r="A696" t="s">
        <v>949</v>
      </c>
      <c r="B696" t="s">
        <v>1074</v>
      </c>
      <c r="C696" t="s">
        <v>1055</v>
      </c>
      <c r="D696">
        <v>2926.8</v>
      </c>
      <c r="E696">
        <v>4</v>
      </c>
      <c r="F696">
        <f>SUM(Table1_1[[#This Row],[Price (INR)]]*Table1_1[[#This Row],[Quantity Sold]])</f>
        <v>11707.2</v>
      </c>
      <c r="G696">
        <v>11707.2</v>
      </c>
      <c r="H696" s="1">
        <v>45341</v>
      </c>
      <c r="I696" t="s">
        <v>1068</v>
      </c>
      <c r="J696">
        <v>2.2999999999999998</v>
      </c>
      <c r="K696" t="str">
        <f>IF(Table1_1[[#This Row],[Quantity Sold]]&gt;=3,"BULK ORDER","REGULAR ORDER")</f>
        <v>BULK ORDER</v>
      </c>
      <c r="L696" t="str">
        <f>IF(Table1_1[[#This Row],[Customer Rating]]&gt;=4.5,"EXCELLENT",IF(Table1_1[[#This Row],[Customer Rating]]&lt;=4,"GOOD","AVERAGE"))</f>
        <v>GOOD</v>
      </c>
    </row>
    <row r="697" spans="1:12" x14ac:dyDescent="0.3">
      <c r="A697" t="s">
        <v>997</v>
      </c>
      <c r="B697" t="s">
        <v>1076</v>
      </c>
      <c r="C697" t="s">
        <v>1055</v>
      </c>
      <c r="D697">
        <v>46553.58</v>
      </c>
      <c r="E697">
        <v>3</v>
      </c>
      <c r="F697">
        <f>SUM(Table1_1[[#This Row],[Price (INR)]]*Table1_1[[#This Row],[Quantity Sold]])</f>
        <v>139660.74</v>
      </c>
      <c r="G697">
        <v>139660.74</v>
      </c>
      <c r="H697" s="1">
        <v>45661</v>
      </c>
      <c r="I697" t="s">
        <v>42</v>
      </c>
      <c r="J697">
        <v>2.2999999999999998</v>
      </c>
      <c r="K697" t="str">
        <f>IF(Table1_1[[#This Row],[Quantity Sold]]&gt;=3,"BULK ORDER","REGULAR ORDER")</f>
        <v>BULK ORDER</v>
      </c>
      <c r="L697" t="str">
        <f>IF(Table1_1[[#This Row],[Customer Rating]]&gt;=4.5,"EXCELLENT",IF(Table1_1[[#This Row],[Customer Rating]]&lt;=4,"GOOD","AVERAGE"))</f>
        <v>GOOD</v>
      </c>
    </row>
    <row r="698" spans="1:12" x14ac:dyDescent="0.3">
      <c r="A698" t="s">
        <v>65</v>
      </c>
      <c r="B698" t="s">
        <v>1065</v>
      </c>
      <c r="C698" t="s">
        <v>1053</v>
      </c>
      <c r="D698">
        <v>21293.42</v>
      </c>
      <c r="E698">
        <v>5</v>
      </c>
      <c r="F698">
        <f>SUM(Table1_1[[#This Row],[Price (INR)]]*Table1_1[[#This Row],[Quantity Sold]])</f>
        <v>106467.09999999999</v>
      </c>
      <c r="G698">
        <v>106467.1</v>
      </c>
      <c r="H698" s="1">
        <v>45398</v>
      </c>
      <c r="I698" t="s">
        <v>1059</v>
      </c>
      <c r="J698">
        <v>2.2000000000000002</v>
      </c>
      <c r="K698" t="str">
        <f>IF(Table1_1[[#This Row],[Quantity Sold]]&gt;=3,"BULK ORDER","REGULAR ORDER")</f>
        <v>BULK ORDER</v>
      </c>
      <c r="L698" t="str">
        <f>IF(Table1_1[[#This Row],[Customer Rating]]&gt;=4.5,"EXCELLENT",IF(Table1_1[[#This Row],[Customer Rating]]&lt;=4,"GOOD","AVERAGE"))</f>
        <v>GOOD</v>
      </c>
    </row>
    <row r="699" spans="1:12" x14ac:dyDescent="0.3">
      <c r="A699" t="s">
        <v>95</v>
      </c>
      <c r="B699" t="s">
        <v>1067</v>
      </c>
      <c r="C699" t="s">
        <v>1048</v>
      </c>
      <c r="D699">
        <v>7757.2</v>
      </c>
      <c r="E699">
        <v>5</v>
      </c>
      <c r="F699">
        <f>SUM(Table1_1[[#This Row],[Price (INR)]]*Table1_1[[#This Row],[Quantity Sold]])</f>
        <v>38786</v>
      </c>
      <c r="G699">
        <v>38786</v>
      </c>
      <c r="H699" s="1">
        <v>45618</v>
      </c>
      <c r="I699" t="s">
        <v>1059</v>
      </c>
      <c r="J699">
        <v>2.2000000000000002</v>
      </c>
      <c r="K699" t="str">
        <f>IF(Table1_1[[#This Row],[Quantity Sold]]&gt;=3,"BULK ORDER","REGULAR ORDER")</f>
        <v>BULK ORDER</v>
      </c>
      <c r="L699" t="str">
        <f>IF(Table1_1[[#This Row],[Customer Rating]]&gt;=4.5,"EXCELLENT",IF(Table1_1[[#This Row],[Customer Rating]]&lt;=4,"GOOD","AVERAGE"))</f>
        <v>GOOD</v>
      </c>
    </row>
    <row r="700" spans="1:12" x14ac:dyDescent="0.3">
      <c r="A700" t="s">
        <v>376</v>
      </c>
      <c r="B700" t="s">
        <v>1050</v>
      </c>
      <c r="C700" t="s">
        <v>1051</v>
      </c>
      <c r="D700">
        <v>35305.39</v>
      </c>
      <c r="E700">
        <v>1</v>
      </c>
      <c r="F700">
        <f>SUM(Table1_1[[#This Row],[Price (INR)]]*Table1_1[[#This Row],[Quantity Sold]])</f>
        <v>35305.39</v>
      </c>
      <c r="G700">
        <v>35305.39</v>
      </c>
      <c r="H700" s="1">
        <v>45453</v>
      </c>
      <c r="I700" t="s">
        <v>16</v>
      </c>
      <c r="J700">
        <v>2.2000000000000002</v>
      </c>
      <c r="K700" t="str">
        <f>IF(Table1_1[[#This Row],[Quantity Sold]]&gt;=3,"BULK ORDER","REGULAR ORDER")</f>
        <v>REGULAR ORDER</v>
      </c>
      <c r="L700" t="str">
        <f>IF(Table1_1[[#This Row],[Customer Rating]]&gt;=4.5,"EXCELLENT",IF(Table1_1[[#This Row],[Customer Rating]]&lt;=4,"GOOD","AVERAGE"))</f>
        <v>GOOD</v>
      </c>
    </row>
    <row r="701" spans="1:12" x14ac:dyDescent="0.3">
      <c r="A701" t="s">
        <v>474</v>
      </c>
      <c r="B701" t="s">
        <v>1056</v>
      </c>
      <c r="C701" t="s">
        <v>1057</v>
      </c>
      <c r="D701">
        <v>5804.38</v>
      </c>
      <c r="E701">
        <v>2</v>
      </c>
      <c r="F701">
        <f>SUM(Table1_1[[#This Row],[Price (INR)]]*Table1_1[[#This Row],[Quantity Sold]])</f>
        <v>11608.76</v>
      </c>
      <c r="G701">
        <v>11608.76</v>
      </c>
      <c r="H701" s="1">
        <v>45428</v>
      </c>
      <c r="I701" t="s">
        <v>42</v>
      </c>
      <c r="J701">
        <v>2.2000000000000002</v>
      </c>
      <c r="K701" t="str">
        <f>IF(Table1_1[[#This Row],[Quantity Sold]]&gt;=3,"BULK ORDER","REGULAR ORDER")</f>
        <v>REGULAR ORDER</v>
      </c>
      <c r="L701" t="str">
        <f>IF(Table1_1[[#This Row],[Customer Rating]]&gt;=4.5,"EXCELLENT",IF(Table1_1[[#This Row],[Customer Rating]]&lt;=4,"GOOD","AVERAGE"))</f>
        <v>GOOD</v>
      </c>
    </row>
    <row r="702" spans="1:12" x14ac:dyDescent="0.3">
      <c r="A702" t="s">
        <v>560</v>
      </c>
      <c r="B702" t="s">
        <v>1065</v>
      </c>
      <c r="C702" t="s">
        <v>1053</v>
      </c>
      <c r="D702">
        <v>25542.71</v>
      </c>
      <c r="E702">
        <v>1</v>
      </c>
      <c r="F702">
        <f>SUM(Table1_1[[#This Row],[Price (INR)]]*Table1_1[[#This Row],[Quantity Sold]])</f>
        <v>25542.71</v>
      </c>
      <c r="G702">
        <v>25542.71</v>
      </c>
      <c r="H702" s="1">
        <v>45640</v>
      </c>
      <c r="I702" t="s">
        <v>16</v>
      </c>
      <c r="J702">
        <v>2.2000000000000002</v>
      </c>
      <c r="K702" t="str">
        <f>IF(Table1_1[[#This Row],[Quantity Sold]]&gt;=3,"BULK ORDER","REGULAR ORDER")</f>
        <v>REGULAR ORDER</v>
      </c>
      <c r="L702" t="str">
        <f>IF(Table1_1[[#This Row],[Customer Rating]]&gt;=4.5,"EXCELLENT",IF(Table1_1[[#This Row],[Customer Rating]]&lt;=4,"GOOD","AVERAGE"))</f>
        <v>GOOD</v>
      </c>
    </row>
    <row r="703" spans="1:12" x14ac:dyDescent="0.3">
      <c r="A703" t="s">
        <v>602</v>
      </c>
      <c r="B703" t="s">
        <v>1076</v>
      </c>
      <c r="C703" t="s">
        <v>1055</v>
      </c>
      <c r="D703">
        <v>39008.370000000003</v>
      </c>
      <c r="E703">
        <v>3</v>
      </c>
      <c r="F703">
        <f>SUM(Table1_1[[#This Row],[Price (INR)]]*Table1_1[[#This Row],[Quantity Sold]])</f>
        <v>117025.11000000002</v>
      </c>
      <c r="G703">
        <v>117025.11</v>
      </c>
      <c r="H703" s="1">
        <v>45556</v>
      </c>
      <c r="I703" t="s">
        <v>1071</v>
      </c>
      <c r="J703">
        <v>2.2000000000000002</v>
      </c>
      <c r="K703" t="str">
        <f>IF(Table1_1[[#This Row],[Quantity Sold]]&gt;=3,"BULK ORDER","REGULAR ORDER")</f>
        <v>BULK ORDER</v>
      </c>
      <c r="L703" t="str">
        <f>IF(Table1_1[[#This Row],[Customer Rating]]&gt;=4.5,"EXCELLENT",IF(Table1_1[[#This Row],[Customer Rating]]&lt;=4,"GOOD","AVERAGE"))</f>
        <v>GOOD</v>
      </c>
    </row>
    <row r="704" spans="1:12" x14ac:dyDescent="0.3">
      <c r="A704" t="s">
        <v>616</v>
      </c>
      <c r="B704" t="s">
        <v>1060</v>
      </c>
      <c r="C704" t="s">
        <v>1051</v>
      </c>
      <c r="D704">
        <v>4800.26</v>
      </c>
      <c r="E704">
        <v>5</v>
      </c>
      <c r="F704">
        <f>SUM(Table1_1[[#This Row],[Price (INR)]]*Table1_1[[#This Row],[Quantity Sold]])</f>
        <v>24001.300000000003</v>
      </c>
      <c r="G704">
        <v>24001.3</v>
      </c>
      <c r="H704" s="1">
        <v>45374</v>
      </c>
      <c r="I704" t="s">
        <v>16</v>
      </c>
      <c r="J704">
        <v>2.2000000000000002</v>
      </c>
      <c r="K704" t="str">
        <f>IF(Table1_1[[#This Row],[Quantity Sold]]&gt;=3,"BULK ORDER","REGULAR ORDER")</f>
        <v>BULK ORDER</v>
      </c>
      <c r="L704" t="str">
        <f>IF(Table1_1[[#This Row],[Customer Rating]]&gt;=4.5,"EXCELLENT",IF(Table1_1[[#This Row],[Customer Rating]]&lt;=4,"GOOD","AVERAGE"))</f>
        <v>GOOD</v>
      </c>
    </row>
    <row r="705" spans="1:12" x14ac:dyDescent="0.3">
      <c r="A705" t="s">
        <v>688</v>
      </c>
      <c r="B705" t="s">
        <v>1075</v>
      </c>
      <c r="C705" t="s">
        <v>1053</v>
      </c>
      <c r="D705">
        <v>18747.939999999999</v>
      </c>
      <c r="E705">
        <v>1</v>
      </c>
      <c r="F705">
        <f>SUM(Table1_1[[#This Row],[Price (INR)]]*Table1_1[[#This Row],[Quantity Sold]])</f>
        <v>18747.939999999999</v>
      </c>
      <c r="G705">
        <v>18747.939999999999</v>
      </c>
      <c r="H705" s="1">
        <v>45596</v>
      </c>
      <c r="I705" t="s">
        <v>1071</v>
      </c>
      <c r="J705">
        <v>2.2000000000000002</v>
      </c>
      <c r="K705" t="str">
        <f>IF(Table1_1[[#This Row],[Quantity Sold]]&gt;=3,"BULK ORDER","REGULAR ORDER")</f>
        <v>REGULAR ORDER</v>
      </c>
      <c r="L705" t="str">
        <f>IF(Table1_1[[#This Row],[Customer Rating]]&gt;=4.5,"EXCELLENT",IF(Table1_1[[#This Row],[Customer Rating]]&lt;=4,"GOOD","AVERAGE"))</f>
        <v>GOOD</v>
      </c>
    </row>
    <row r="706" spans="1:12" x14ac:dyDescent="0.3">
      <c r="A706" t="s">
        <v>691</v>
      </c>
      <c r="B706" t="s">
        <v>1074</v>
      </c>
      <c r="C706" t="s">
        <v>1055</v>
      </c>
      <c r="D706">
        <v>23249.27</v>
      </c>
      <c r="E706">
        <v>3</v>
      </c>
      <c r="F706">
        <f>SUM(Table1_1[[#This Row],[Price (INR)]]*Table1_1[[#This Row],[Quantity Sold]])</f>
        <v>69747.81</v>
      </c>
      <c r="G706">
        <v>69747.81</v>
      </c>
      <c r="H706" s="1">
        <v>45563</v>
      </c>
      <c r="I706" t="s">
        <v>1068</v>
      </c>
      <c r="J706">
        <v>2.2000000000000002</v>
      </c>
      <c r="K706" t="str">
        <f>IF(Table1_1[[#This Row],[Quantity Sold]]&gt;=3,"BULK ORDER","REGULAR ORDER")</f>
        <v>BULK ORDER</v>
      </c>
      <c r="L706" t="str">
        <f>IF(Table1_1[[#This Row],[Customer Rating]]&gt;=4.5,"EXCELLENT",IF(Table1_1[[#This Row],[Customer Rating]]&lt;=4,"GOOD","AVERAGE"))</f>
        <v>GOOD</v>
      </c>
    </row>
    <row r="707" spans="1:12" x14ac:dyDescent="0.3">
      <c r="A707" t="s">
        <v>804</v>
      </c>
      <c r="B707" t="s">
        <v>1067</v>
      </c>
      <c r="C707" t="s">
        <v>1048</v>
      </c>
      <c r="D707">
        <v>2136.9899999999998</v>
      </c>
      <c r="E707">
        <v>1</v>
      </c>
      <c r="F707">
        <f>SUM(Table1_1[[#This Row],[Price (INR)]]*Table1_1[[#This Row],[Quantity Sold]])</f>
        <v>2136.9899999999998</v>
      </c>
      <c r="G707">
        <v>2136.9899999999998</v>
      </c>
      <c r="H707" s="1">
        <v>45542</v>
      </c>
      <c r="I707" t="s">
        <v>1071</v>
      </c>
      <c r="J707">
        <v>2.2000000000000002</v>
      </c>
      <c r="K707" t="str">
        <f>IF(Table1_1[[#This Row],[Quantity Sold]]&gt;=3,"BULK ORDER","REGULAR ORDER")</f>
        <v>REGULAR ORDER</v>
      </c>
      <c r="L707" t="str">
        <f>IF(Table1_1[[#This Row],[Customer Rating]]&gt;=4.5,"EXCELLENT",IF(Table1_1[[#This Row],[Customer Rating]]&lt;=4,"GOOD","AVERAGE"))</f>
        <v>GOOD</v>
      </c>
    </row>
    <row r="708" spans="1:12" x14ac:dyDescent="0.3">
      <c r="A708" t="s">
        <v>841</v>
      </c>
      <c r="B708" t="s">
        <v>1050</v>
      </c>
      <c r="C708" t="s">
        <v>1051</v>
      </c>
      <c r="D708">
        <v>27532.48</v>
      </c>
      <c r="E708">
        <v>4</v>
      </c>
      <c r="F708">
        <f>SUM(Table1_1[[#This Row],[Price (INR)]]*Table1_1[[#This Row],[Quantity Sold]])</f>
        <v>110129.92</v>
      </c>
      <c r="G708">
        <v>110129.92</v>
      </c>
      <c r="H708" s="1">
        <v>45391</v>
      </c>
      <c r="I708" t="s">
        <v>16</v>
      </c>
      <c r="J708">
        <v>2.2000000000000002</v>
      </c>
      <c r="K708" t="str">
        <f>IF(Table1_1[[#This Row],[Quantity Sold]]&gt;=3,"BULK ORDER","REGULAR ORDER")</f>
        <v>BULK ORDER</v>
      </c>
      <c r="L708" t="str">
        <f>IF(Table1_1[[#This Row],[Customer Rating]]&gt;=4.5,"EXCELLENT",IF(Table1_1[[#This Row],[Customer Rating]]&lt;=4,"GOOD","AVERAGE"))</f>
        <v>GOOD</v>
      </c>
    </row>
    <row r="709" spans="1:12" x14ac:dyDescent="0.3">
      <c r="A709" t="s">
        <v>862</v>
      </c>
      <c r="B709" t="s">
        <v>1066</v>
      </c>
      <c r="C709" t="s">
        <v>1055</v>
      </c>
      <c r="D709">
        <v>46526.93</v>
      </c>
      <c r="E709">
        <v>5</v>
      </c>
      <c r="F709">
        <f>SUM(Table1_1[[#This Row],[Price (INR)]]*Table1_1[[#This Row],[Quantity Sold]])</f>
        <v>232634.65</v>
      </c>
      <c r="G709">
        <v>232634.65</v>
      </c>
      <c r="H709" s="1">
        <v>45646</v>
      </c>
      <c r="I709" t="s">
        <v>1071</v>
      </c>
      <c r="J709">
        <v>2.2000000000000002</v>
      </c>
      <c r="K709" t="str">
        <f>IF(Table1_1[[#This Row],[Quantity Sold]]&gt;=3,"BULK ORDER","REGULAR ORDER")</f>
        <v>BULK ORDER</v>
      </c>
      <c r="L709" t="str">
        <f>IF(Table1_1[[#This Row],[Customer Rating]]&gt;=4.5,"EXCELLENT",IF(Table1_1[[#This Row],[Customer Rating]]&lt;=4,"GOOD","AVERAGE"))</f>
        <v>GOOD</v>
      </c>
    </row>
    <row r="710" spans="1:12" x14ac:dyDescent="0.3">
      <c r="A710" t="s">
        <v>909</v>
      </c>
      <c r="B710" t="s">
        <v>1066</v>
      </c>
      <c r="C710" t="s">
        <v>1055</v>
      </c>
      <c r="D710">
        <v>32950.949999999997</v>
      </c>
      <c r="E710">
        <v>5</v>
      </c>
      <c r="F710">
        <f>SUM(Table1_1[[#This Row],[Price (INR)]]*Table1_1[[#This Row],[Quantity Sold]])</f>
        <v>164754.75</v>
      </c>
      <c r="G710">
        <v>164754.75</v>
      </c>
      <c r="H710" s="1">
        <v>45499</v>
      </c>
      <c r="I710" t="s">
        <v>1071</v>
      </c>
      <c r="J710">
        <v>2.2000000000000002</v>
      </c>
      <c r="K710" t="str">
        <f>IF(Table1_1[[#This Row],[Quantity Sold]]&gt;=3,"BULK ORDER","REGULAR ORDER")</f>
        <v>BULK ORDER</v>
      </c>
      <c r="L710" t="str">
        <f>IF(Table1_1[[#This Row],[Customer Rating]]&gt;=4.5,"EXCELLENT",IF(Table1_1[[#This Row],[Customer Rating]]&lt;=4,"GOOD","AVERAGE"))</f>
        <v>GOOD</v>
      </c>
    </row>
    <row r="711" spans="1:12" x14ac:dyDescent="0.3">
      <c r="A711" t="s">
        <v>931</v>
      </c>
      <c r="B711" t="s">
        <v>1079</v>
      </c>
      <c r="C711" t="s">
        <v>1057</v>
      </c>
      <c r="D711">
        <v>17308.52</v>
      </c>
      <c r="E711">
        <v>1</v>
      </c>
      <c r="F711">
        <f>SUM(Table1_1[[#This Row],[Price (INR)]]*Table1_1[[#This Row],[Quantity Sold]])</f>
        <v>17308.52</v>
      </c>
      <c r="G711">
        <v>17308.52</v>
      </c>
      <c r="H711" s="1">
        <v>45594</v>
      </c>
      <c r="I711" t="s">
        <v>1071</v>
      </c>
      <c r="J711">
        <v>2.2000000000000002</v>
      </c>
      <c r="K711" t="str">
        <f>IF(Table1_1[[#This Row],[Quantity Sold]]&gt;=3,"BULK ORDER","REGULAR ORDER")</f>
        <v>REGULAR ORDER</v>
      </c>
      <c r="L711" t="str">
        <f>IF(Table1_1[[#This Row],[Customer Rating]]&gt;=4.5,"EXCELLENT",IF(Table1_1[[#This Row],[Customer Rating]]&lt;=4,"GOOD","AVERAGE"))</f>
        <v>GOOD</v>
      </c>
    </row>
    <row r="712" spans="1:12" x14ac:dyDescent="0.3">
      <c r="A712" t="s">
        <v>1038</v>
      </c>
      <c r="B712" t="s">
        <v>1058</v>
      </c>
      <c r="C712" t="s">
        <v>1057</v>
      </c>
      <c r="D712">
        <v>5815.52</v>
      </c>
      <c r="E712">
        <v>4</v>
      </c>
      <c r="F712">
        <f>SUM(Table1_1[[#This Row],[Price (INR)]]*Table1_1[[#This Row],[Quantity Sold]])</f>
        <v>23262.080000000002</v>
      </c>
      <c r="G712">
        <v>23262.080000000002</v>
      </c>
      <c r="H712" s="1">
        <v>45577</v>
      </c>
      <c r="I712" t="s">
        <v>16</v>
      </c>
      <c r="J712">
        <v>2.2000000000000002</v>
      </c>
      <c r="K712" t="str">
        <f>IF(Table1_1[[#This Row],[Quantity Sold]]&gt;=3,"BULK ORDER","REGULAR ORDER")</f>
        <v>BULK ORDER</v>
      </c>
      <c r="L712" t="str">
        <f>IF(Table1_1[[#This Row],[Customer Rating]]&gt;=4.5,"EXCELLENT",IF(Table1_1[[#This Row],[Customer Rating]]&lt;=4,"GOOD","AVERAGE"))</f>
        <v>GOOD</v>
      </c>
    </row>
    <row r="713" spans="1:12" x14ac:dyDescent="0.3">
      <c r="A713" t="s">
        <v>142</v>
      </c>
      <c r="B713" t="s">
        <v>1054</v>
      </c>
      <c r="C713" t="s">
        <v>1055</v>
      </c>
      <c r="D713">
        <v>19375.759999999998</v>
      </c>
      <c r="E713">
        <v>2</v>
      </c>
      <c r="F713">
        <f>SUM(Table1_1[[#This Row],[Price (INR)]]*Table1_1[[#This Row],[Quantity Sold]])</f>
        <v>38751.519999999997</v>
      </c>
      <c r="G713">
        <v>38751.519999999997</v>
      </c>
      <c r="H713" s="1">
        <v>45632</v>
      </c>
      <c r="I713" t="s">
        <v>1068</v>
      </c>
      <c r="J713">
        <v>2.1</v>
      </c>
      <c r="K713" t="str">
        <f>IF(Table1_1[[#This Row],[Quantity Sold]]&gt;=3,"BULK ORDER","REGULAR ORDER")</f>
        <v>REGULAR ORDER</v>
      </c>
      <c r="L713" t="str">
        <f>IF(Table1_1[[#This Row],[Customer Rating]]&gt;=4.5,"EXCELLENT",IF(Table1_1[[#This Row],[Customer Rating]]&lt;=4,"GOOD","AVERAGE"))</f>
        <v>GOOD</v>
      </c>
    </row>
    <row r="714" spans="1:12" x14ac:dyDescent="0.3">
      <c r="A714" t="s">
        <v>159</v>
      </c>
      <c r="B714" t="s">
        <v>1062</v>
      </c>
      <c r="C714" t="s">
        <v>1051</v>
      </c>
      <c r="D714">
        <v>26219.99</v>
      </c>
      <c r="E714">
        <v>4</v>
      </c>
      <c r="F714">
        <f>SUM(Table1_1[[#This Row],[Price (INR)]]*Table1_1[[#This Row],[Quantity Sold]])</f>
        <v>104879.96</v>
      </c>
      <c r="G714">
        <v>104879.96</v>
      </c>
      <c r="H714" s="1">
        <v>45365</v>
      </c>
      <c r="I714" t="s">
        <v>1049</v>
      </c>
      <c r="J714">
        <v>2.1</v>
      </c>
      <c r="K714" t="str">
        <f>IF(Table1_1[[#This Row],[Quantity Sold]]&gt;=3,"BULK ORDER","REGULAR ORDER")</f>
        <v>BULK ORDER</v>
      </c>
      <c r="L714" t="str">
        <f>IF(Table1_1[[#This Row],[Customer Rating]]&gt;=4.5,"EXCELLENT",IF(Table1_1[[#This Row],[Customer Rating]]&lt;=4,"GOOD","AVERAGE"))</f>
        <v>GOOD</v>
      </c>
    </row>
    <row r="715" spans="1:12" x14ac:dyDescent="0.3">
      <c r="A715" t="s">
        <v>195</v>
      </c>
      <c r="B715" t="s">
        <v>1077</v>
      </c>
      <c r="C715" t="s">
        <v>1048</v>
      </c>
      <c r="D715">
        <v>16596.580000000002</v>
      </c>
      <c r="E715">
        <v>5</v>
      </c>
      <c r="F715">
        <f>SUM(Table1_1[[#This Row],[Price (INR)]]*Table1_1[[#This Row],[Quantity Sold]])</f>
        <v>82982.900000000009</v>
      </c>
      <c r="G715">
        <v>82982.899999999994</v>
      </c>
      <c r="H715" s="1">
        <v>45690</v>
      </c>
      <c r="I715" t="s">
        <v>16</v>
      </c>
      <c r="J715">
        <v>2.1</v>
      </c>
      <c r="K715" t="str">
        <f>IF(Table1_1[[#This Row],[Quantity Sold]]&gt;=3,"BULK ORDER","REGULAR ORDER")</f>
        <v>BULK ORDER</v>
      </c>
      <c r="L715" t="str">
        <f>IF(Table1_1[[#This Row],[Customer Rating]]&gt;=4.5,"EXCELLENT",IF(Table1_1[[#This Row],[Customer Rating]]&lt;=4,"GOOD","AVERAGE"))</f>
        <v>GOOD</v>
      </c>
    </row>
    <row r="716" spans="1:12" x14ac:dyDescent="0.3">
      <c r="A716" t="s">
        <v>217</v>
      </c>
      <c r="B716" t="s">
        <v>1078</v>
      </c>
      <c r="C716" t="s">
        <v>1048</v>
      </c>
      <c r="D716">
        <v>12214.72</v>
      </c>
      <c r="E716">
        <v>5</v>
      </c>
      <c r="F716">
        <f>SUM(Table1_1[[#This Row],[Price (INR)]]*Table1_1[[#This Row],[Quantity Sold]])</f>
        <v>61073.599999999999</v>
      </c>
      <c r="G716">
        <v>61073.599999999999</v>
      </c>
      <c r="H716" s="1">
        <v>45671</v>
      </c>
      <c r="I716" t="s">
        <v>16</v>
      </c>
      <c r="J716">
        <v>2.1</v>
      </c>
      <c r="K716" t="str">
        <f>IF(Table1_1[[#This Row],[Quantity Sold]]&gt;=3,"BULK ORDER","REGULAR ORDER")</f>
        <v>BULK ORDER</v>
      </c>
      <c r="L716" t="str">
        <f>IF(Table1_1[[#This Row],[Customer Rating]]&gt;=4.5,"EXCELLENT",IF(Table1_1[[#This Row],[Customer Rating]]&lt;=4,"GOOD","AVERAGE"))</f>
        <v>GOOD</v>
      </c>
    </row>
    <row r="717" spans="1:12" x14ac:dyDescent="0.3">
      <c r="A717" t="s">
        <v>356</v>
      </c>
      <c r="B717" t="s">
        <v>1077</v>
      </c>
      <c r="C717" t="s">
        <v>1048</v>
      </c>
      <c r="D717">
        <v>10176.11</v>
      </c>
      <c r="E717">
        <v>5</v>
      </c>
      <c r="F717">
        <f>SUM(Table1_1[[#This Row],[Price (INR)]]*Table1_1[[#This Row],[Quantity Sold]])</f>
        <v>50880.55</v>
      </c>
      <c r="G717">
        <v>50880.55</v>
      </c>
      <c r="H717" s="1">
        <v>45521</v>
      </c>
      <c r="I717" t="s">
        <v>1071</v>
      </c>
      <c r="J717">
        <v>2.1</v>
      </c>
      <c r="K717" t="str">
        <f>IF(Table1_1[[#This Row],[Quantity Sold]]&gt;=3,"BULK ORDER","REGULAR ORDER")</f>
        <v>BULK ORDER</v>
      </c>
      <c r="L717" t="str">
        <f>IF(Table1_1[[#This Row],[Customer Rating]]&gt;=4.5,"EXCELLENT",IF(Table1_1[[#This Row],[Customer Rating]]&lt;=4,"GOOD","AVERAGE"))</f>
        <v>GOOD</v>
      </c>
    </row>
    <row r="718" spans="1:12" x14ac:dyDescent="0.3">
      <c r="A718" t="s">
        <v>385</v>
      </c>
      <c r="B718" t="s">
        <v>1074</v>
      </c>
      <c r="C718" t="s">
        <v>1055</v>
      </c>
      <c r="D718">
        <v>4277.1499999999996</v>
      </c>
      <c r="E718">
        <v>4</v>
      </c>
      <c r="F718">
        <f>SUM(Table1_1[[#This Row],[Price (INR)]]*Table1_1[[#This Row],[Quantity Sold]])</f>
        <v>17108.599999999999</v>
      </c>
      <c r="G718">
        <v>17108.599999999999</v>
      </c>
      <c r="H718" s="1">
        <v>45516</v>
      </c>
      <c r="I718" t="s">
        <v>42</v>
      </c>
      <c r="J718">
        <v>2.1</v>
      </c>
      <c r="K718" t="str">
        <f>IF(Table1_1[[#This Row],[Quantity Sold]]&gt;=3,"BULK ORDER","REGULAR ORDER")</f>
        <v>BULK ORDER</v>
      </c>
      <c r="L718" t="str">
        <f>IF(Table1_1[[#This Row],[Customer Rating]]&gt;=4.5,"EXCELLENT",IF(Table1_1[[#This Row],[Customer Rating]]&lt;=4,"GOOD","AVERAGE"))</f>
        <v>GOOD</v>
      </c>
    </row>
    <row r="719" spans="1:12" x14ac:dyDescent="0.3">
      <c r="A719" t="s">
        <v>514</v>
      </c>
      <c r="B719" t="s">
        <v>1070</v>
      </c>
      <c r="C719" t="s">
        <v>1051</v>
      </c>
      <c r="D719">
        <v>36666.620000000003</v>
      </c>
      <c r="E719">
        <v>4</v>
      </c>
      <c r="F719">
        <f>SUM(Table1_1[[#This Row],[Price (INR)]]*Table1_1[[#This Row],[Quantity Sold]])</f>
        <v>146666.48000000001</v>
      </c>
      <c r="G719">
        <v>146666.48000000001</v>
      </c>
      <c r="H719" s="1">
        <v>45563</v>
      </c>
      <c r="I719" t="s">
        <v>1071</v>
      </c>
      <c r="J719">
        <v>2.1</v>
      </c>
      <c r="K719" t="str">
        <f>IF(Table1_1[[#This Row],[Quantity Sold]]&gt;=3,"BULK ORDER","REGULAR ORDER")</f>
        <v>BULK ORDER</v>
      </c>
      <c r="L719" t="str">
        <f>IF(Table1_1[[#This Row],[Customer Rating]]&gt;=4.5,"EXCELLENT",IF(Table1_1[[#This Row],[Customer Rating]]&lt;=4,"GOOD","AVERAGE"))</f>
        <v>GOOD</v>
      </c>
    </row>
    <row r="720" spans="1:12" x14ac:dyDescent="0.3">
      <c r="A720" t="s">
        <v>595</v>
      </c>
      <c r="B720" t="s">
        <v>1074</v>
      </c>
      <c r="C720" t="s">
        <v>1055</v>
      </c>
      <c r="D720">
        <v>35821.160000000003</v>
      </c>
      <c r="E720">
        <v>4</v>
      </c>
      <c r="F720">
        <f>SUM(Table1_1[[#This Row],[Price (INR)]]*Table1_1[[#This Row],[Quantity Sold]])</f>
        <v>143284.64000000001</v>
      </c>
      <c r="G720">
        <v>143284.64000000001</v>
      </c>
      <c r="H720" s="1">
        <v>45695</v>
      </c>
      <c r="I720" t="s">
        <v>1049</v>
      </c>
      <c r="J720">
        <v>2.1</v>
      </c>
      <c r="K720" t="str">
        <f>IF(Table1_1[[#This Row],[Quantity Sold]]&gt;=3,"BULK ORDER","REGULAR ORDER")</f>
        <v>BULK ORDER</v>
      </c>
      <c r="L720" t="str">
        <f>IF(Table1_1[[#This Row],[Customer Rating]]&gt;=4.5,"EXCELLENT",IF(Table1_1[[#This Row],[Customer Rating]]&lt;=4,"GOOD","AVERAGE"))</f>
        <v>GOOD</v>
      </c>
    </row>
    <row r="721" spans="1:12" x14ac:dyDescent="0.3">
      <c r="A721" t="s">
        <v>608</v>
      </c>
      <c r="B721" t="s">
        <v>1062</v>
      </c>
      <c r="C721" t="s">
        <v>1051</v>
      </c>
      <c r="D721">
        <v>38023.86</v>
      </c>
      <c r="E721">
        <v>5</v>
      </c>
      <c r="F721">
        <f>SUM(Table1_1[[#This Row],[Price (INR)]]*Table1_1[[#This Row],[Quantity Sold]])</f>
        <v>190119.3</v>
      </c>
      <c r="G721">
        <v>190119.3</v>
      </c>
      <c r="H721" s="1">
        <v>45495</v>
      </c>
      <c r="I721" t="s">
        <v>1068</v>
      </c>
      <c r="J721">
        <v>2.1</v>
      </c>
      <c r="K721" t="str">
        <f>IF(Table1_1[[#This Row],[Quantity Sold]]&gt;=3,"BULK ORDER","REGULAR ORDER")</f>
        <v>BULK ORDER</v>
      </c>
      <c r="L721" t="str">
        <f>IF(Table1_1[[#This Row],[Customer Rating]]&gt;=4.5,"EXCELLENT",IF(Table1_1[[#This Row],[Customer Rating]]&lt;=4,"GOOD","AVERAGE"))</f>
        <v>GOOD</v>
      </c>
    </row>
    <row r="722" spans="1:12" x14ac:dyDescent="0.3">
      <c r="A722" t="s">
        <v>707</v>
      </c>
      <c r="B722" t="s">
        <v>1050</v>
      </c>
      <c r="C722" t="s">
        <v>1051</v>
      </c>
      <c r="D722">
        <v>15282.31</v>
      </c>
      <c r="E722">
        <v>4</v>
      </c>
      <c r="F722">
        <f>SUM(Table1_1[[#This Row],[Price (INR)]]*Table1_1[[#This Row],[Quantity Sold]])</f>
        <v>61129.24</v>
      </c>
      <c r="G722">
        <v>61129.24</v>
      </c>
      <c r="H722" s="1">
        <v>45460</v>
      </c>
      <c r="I722" t="s">
        <v>1071</v>
      </c>
      <c r="J722">
        <v>2.1</v>
      </c>
      <c r="K722" t="str">
        <f>IF(Table1_1[[#This Row],[Quantity Sold]]&gt;=3,"BULK ORDER","REGULAR ORDER")</f>
        <v>BULK ORDER</v>
      </c>
      <c r="L722" t="str">
        <f>IF(Table1_1[[#This Row],[Customer Rating]]&gt;=4.5,"EXCELLENT",IF(Table1_1[[#This Row],[Customer Rating]]&lt;=4,"GOOD","AVERAGE"))</f>
        <v>GOOD</v>
      </c>
    </row>
    <row r="723" spans="1:12" x14ac:dyDescent="0.3">
      <c r="A723" t="s">
        <v>830</v>
      </c>
      <c r="B723" t="s">
        <v>1065</v>
      </c>
      <c r="C723" t="s">
        <v>1053</v>
      </c>
      <c r="D723">
        <v>6767.81</v>
      </c>
      <c r="E723">
        <v>1</v>
      </c>
      <c r="F723">
        <f>SUM(Table1_1[[#This Row],[Price (INR)]]*Table1_1[[#This Row],[Quantity Sold]])</f>
        <v>6767.81</v>
      </c>
      <c r="G723">
        <v>6767.81</v>
      </c>
      <c r="H723" s="1">
        <v>45653</v>
      </c>
      <c r="I723" t="s">
        <v>42</v>
      </c>
      <c r="J723">
        <v>2.1</v>
      </c>
      <c r="K723" t="str">
        <f>IF(Table1_1[[#This Row],[Quantity Sold]]&gt;=3,"BULK ORDER","REGULAR ORDER")</f>
        <v>REGULAR ORDER</v>
      </c>
      <c r="L723" t="str">
        <f>IF(Table1_1[[#This Row],[Customer Rating]]&gt;=4.5,"EXCELLENT",IF(Table1_1[[#This Row],[Customer Rating]]&lt;=4,"GOOD","AVERAGE"))</f>
        <v>GOOD</v>
      </c>
    </row>
    <row r="724" spans="1:12" x14ac:dyDescent="0.3">
      <c r="A724" t="s">
        <v>833</v>
      </c>
      <c r="B724" t="s">
        <v>1050</v>
      </c>
      <c r="C724" t="s">
        <v>1051</v>
      </c>
      <c r="D724">
        <v>28972.11</v>
      </c>
      <c r="E724">
        <v>2</v>
      </c>
      <c r="F724">
        <f>SUM(Table1_1[[#This Row],[Price (INR)]]*Table1_1[[#This Row],[Quantity Sold]])</f>
        <v>57944.22</v>
      </c>
      <c r="G724">
        <v>57944.22</v>
      </c>
      <c r="H724" s="1">
        <v>45505</v>
      </c>
      <c r="I724" t="s">
        <v>1068</v>
      </c>
      <c r="J724">
        <v>2.1</v>
      </c>
      <c r="K724" t="str">
        <f>IF(Table1_1[[#This Row],[Quantity Sold]]&gt;=3,"BULK ORDER","REGULAR ORDER")</f>
        <v>REGULAR ORDER</v>
      </c>
      <c r="L724" t="str">
        <f>IF(Table1_1[[#This Row],[Customer Rating]]&gt;=4.5,"EXCELLENT",IF(Table1_1[[#This Row],[Customer Rating]]&lt;=4,"GOOD","AVERAGE"))</f>
        <v>GOOD</v>
      </c>
    </row>
    <row r="725" spans="1:12" x14ac:dyDescent="0.3">
      <c r="A725" t="s">
        <v>845</v>
      </c>
      <c r="B725" t="s">
        <v>1065</v>
      </c>
      <c r="C725" t="s">
        <v>1053</v>
      </c>
      <c r="D725">
        <v>31512.97</v>
      </c>
      <c r="E725">
        <v>2</v>
      </c>
      <c r="F725">
        <f>SUM(Table1_1[[#This Row],[Price (INR)]]*Table1_1[[#This Row],[Quantity Sold]])</f>
        <v>63025.94</v>
      </c>
      <c r="G725">
        <v>63025.94</v>
      </c>
      <c r="H725" s="1">
        <v>45644</v>
      </c>
      <c r="I725" t="s">
        <v>42</v>
      </c>
      <c r="J725">
        <v>2.1</v>
      </c>
      <c r="K725" t="str">
        <f>IF(Table1_1[[#This Row],[Quantity Sold]]&gt;=3,"BULK ORDER","REGULAR ORDER")</f>
        <v>REGULAR ORDER</v>
      </c>
      <c r="L725" t="str">
        <f>IF(Table1_1[[#This Row],[Customer Rating]]&gt;=4.5,"EXCELLENT",IF(Table1_1[[#This Row],[Customer Rating]]&lt;=4,"GOOD","AVERAGE"))</f>
        <v>GOOD</v>
      </c>
    </row>
    <row r="726" spans="1:12" x14ac:dyDescent="0.3">
      <c r="A726" t="s">
        <v>870</v>
      </c>
      <c r="B726" t="s">
        <v>1062</v>
      </c>
      <c r="C726" t="s">
        <v>1051</v>
      </c>
      <c r="D726">
        <v>41996.61</v>
      </c>
      <c r="E726">
        <v>2</v>
      </c>
      <c r="F726">
        <f>SUM(Table1_1[[#This Row],[Price (INR)]]*Table1_1[[#This Row],[Quantity Sold]])</f>
        <v>83993.22</v>
      </c>
      <c r="G726">
        <v>83993.22</v>
      </c>
      <c r="H726" s="1">
        <v>45616</v>
      </c>
      <c r="I726" t="s">
        <v>42</v>
      </c>
      <c r="J726">
        <v>2.1</v>
      </c>
      <c r="K726" t="str">
        <f>IF(Table1_1[[#This Row],[Quantity Sold]]&gt;=3,"BULK ORDER","REGULAR ORDER")</f>
        <v>REGULAR ORDER</v>
      </c>
      <c r="L726" t="str">
        <f>IF(Table1_1[[#This Row],[Customer Rating]]&gt;=4.5,"EXCELLENT",IF(Table1_1[[#This Row],[Customer Rating]]&lt;=4,"GOOD","AVERAGE"))</f>
        <v>GOOD</v>
      </c>
    </row>
    <row r="727" spans="1:12" x14ac:dyDescent="0.3">
      <c r="A727" t="s">
        <v>886</v>
      </c>
      <c r="B727" t="s">
        <v>1060</v>
      </c>
      <c r="C727" t="s">
        <v>1051</v>
      </c>
      <c r="D727">
        <v>3632.93</v>
      </c>
      <c r="E727">
        <v>5</v>
      </c>
      <c r="F727">
        <f>SUM(Table1_1[[#This Row],[Price (INR)]]*Table1_1[[#This Row],[Quantity Sold]])</f>
        <v>18164.649999999998</v>
      </c>
      <c r="G727">
        <v>18164.650000000001</v>
      </c>
      <c r="H727" s="1">
        <v>45528</v>
      </c>
      <c r="I727" t="s">
        <v>1068</v>
      </c>
      <c r="J727">
        <v>2.1</v>
      </c>
      <c r="K727" t="str">
        <f>IF(Table1_1[[#This Row],[Quantity Sold]]&gt;=3,"BULK ORDER","REGULAR ORDER")</f>
        <v>BULK ORDER</v>
      </c>
      <c r="L727" t="str">
        <f>IF(Table1_1[[#This Row],[Customer Rating]]&gt;=4.5,"EXCELLENT",IF(Table1_1[[#This Row],[Customer Rating]]&lt;=4,"GOOD","AVERAGE"))</f>
        <v>GOOD</v>
      </c>
    </row>
    <row r="728" spans="1:12" x14ac:dyDescent="0.3">
      <c r="A728" t="s">
        <v>889</v>
      </c>
      <c r="B728" t="s">
        <v>1058</v>
      </c>
      <c r="C728" t="s">
        <v>1057</v>
      </c>
      <c r="D728">
        <v>15481.49</v>
      </c>
      <c r="E728">
        <v>3</v>
      </c>
      <c r="F728">
        <f>SUM(Table1_1[[#This Row],[Price (INR)]]*Table1_1[[#This Row],[Quantity Sold]])</f>
        <v>46444.47</v>
      </c>
      <c r="G728">
        <v>46444.47</v>
      </c>
      <c r="H728" s="1">
        <v>45432</v>
      </c>
      <c r="I728" t="s">
        <v>1059</v>
      </c>
      <c r="J728">
        <v>2.1</v>
      </c>
      <c r="K728" t="str">
        <f>IF(Table1_1[[#This Row],[Quantity Sold]]&gt;=3,"BULK ORDER","REGULAR ORDER")</f>
        <v>BULK ORDER</v>
      </c>
      <c r="L728" t="str">
        <f>IF(Table1_1[[#This Row],[Customer Rating]]&gt;=4.5,"EXCELLENT",IF(Table1_1[[#This Row],[Customer Rating]]&lt;=4,"GOOD","AVERAGE"))</f>
        <v>GOOD</v>
      </c>
    </row>
    <row r="729" spans="1:12" x14ac:dyDescent="0.3">
      <c r="A729" t="s">
        <v>897</v>
      </c>
      <c r="B729" t="s">
        <v>1058</v>
      </c>
      <c r="C729" t="s">
        <v>1057</v>
      </c>
      <c r="D729">
        <v>787.27</v>
      </c>
      <c r="E729">
        <v>3</v>
      </c>
      <c r="F729">
        <f>SUM(Table1_1[[#This Row],[Price (INR)]]*Table1_1[[#This Row],[Quantity Sold]])</f>
        <v>2361.81</v>
      </c>
      <c r="G729">
        <v>2361.81</v>
      </c>
      <c r="H729" s="1">
        <v>45388</v>
      </c>
      <c r="I729" t="s">
        <v>16</v>
      </c>
      <c r="J729">
        <v>2.1</v>
      </c>
      <c r="K729" t="str">
        <f>IF(Table1_1[[#This Row],[Quantity Sold]]&gt;=3,"BULK ORDER","REGULAR ORDER")</f>
        <v>BULK ORDER</v>
      </c>
      <c r="L729" t="str">
        <f>IF(Table1_1[[#This Row],[Customer Rating]]&gt;=4.5,"EXCELLENT",IF(Table1_1[[#This Row],[Customer Rating]]&lt;=4,"GOOD","AVERAGE"))</f>
        <v>GOOD</v>
      </c>
    </row>
    <row r="730" spans="1:12" x14ac:dyDescent="0.3">
      <c r="A730" t="s">
        <v>968</v>
      </c>
      <c r="B730" t="s">
        <v>1062</v>
      </c>
      <c r="C730" t="s">
        <v>1051</v>
      </c>
      <c r="D730">
        <v>23939.919999999998</v>
      </c>
      <c r="E730">
        <v>3</v>
      </c>
      <c r="F730">
        <f>SUM(Table1_1[[#This Row],[Price (INR)]]*Table1_1[[#This Row],[Quantity Sold]])</f>
        <v>71819.759999999995</v>
      </c>
      <c r="G730">
        <v>71819.759999999995</v>
      </c>
      <c r="H730" s="1">
        <v>45636</v>
      </c>
      <c r="I730" t="s">
        <v>1071</v>
      </c>
      <c r="J730">
        <v>2.1</v>
      </c>
      <c r="K730" t="str">
        <f>IF(Table1_1[[#This Row],[Quantity Sold]]&gt;=3,"BULK ORDER","REGULAR ORDER")</f>
        <v>BULK ORDER</v>
      </c>
      <c r="L730" t="str">
        <f>IF(Table1_1[[#This Row],[Customer Rating]]&gt;=4.5,"EXCELLENT",IF(Table1_1[[#This Row],[Customer Rating]]&lt;=4,"GOOD","AVERAGE"))</f>
        <v>GOOD</v>
      </c>
    </row>
    <row r="731" spans="1:12" x14ac:dyDescent="0.3">
      <c r="A731" t="s">
        <v>1027</v>
      </c>
      <c r="B731" t="s">
        <v>1067</v>
      </c>
      <c r="C731" t="s">
        <v>1048</v>
      </c>
      <c r="D731">
        <v>5412.9</v>
      </c>
      <c r="E731">
        <v>5</v>
      </c>
      <c r="F731">
        <f>SUM(Table1_1[[#This Row],[Price (INR)]]*Table1_1[[#This Row],[Quantity Sold]])</f>
        <v>27064.5</v>
      </c>
      <c r="G731">
        <v>27064.5</v>
      </c>
      <c r="H731" s="1">
        <v>45473</v>
      </c>
      <c r="I731" t="s">
        <v>42</v>
      </c>
      <c r="J731">
        <v>2.1</v>
      </c>
      <c r="K731" t="str">
        <f>IF(Table1_1[[#This Row],[Quantity Sold]]&gt;=3,"BULK ORDER","REGULAR ORDER")</f>
        <v>BULK ORDER</v>
      </c>
      <c r="L731" t="str">
        <f>IF(Table1_1[[#This Row],[Customer Rating]]&gt;=4.5,"EXCELLENT",IF(Table1_1[[#This Row],[Customer Rating]]&lt;=4,"GOOD","AVERAGE"))</f>
        <v>GOOD</v>
      </c>
    </row>
    <row r="732" spans="1:12" x14ac:dyDescent="0.3">
      <c r="A732" t="s">
        <v>1036</v>
      </c>
      <c r="B732" t="s">
        <v>1058</v>
      </c>
      <c r="C732" t="s">
        <v>1057</v>
      </c>
      <c r="D732">
        <v>6075.65</v>
      </c>
      <c r="E732">
        <v>2</v>
      </c>
      <c r="F732">
        <f>SUM(Table1_1[[#This Row],[Price (INR)]]*Table1_1[[#This Row],[Quantity Sold]])</f>
        <v>12151.3</v>
      </c>
      <c r="G732">
        <v>12151.3</v>
      </c>
      <c r="H732" s="1">
        <v>45357</v>
      </c>
      <c r="I732" t="s">
        <v>1068</v>
      </c>
      <c r="J732">
        <v>2.1</v>
      </c>
      <c r="K732" t="str">
        <f>IF(Table1_1[[#This Row],[Quantity Sold]]&gt;=3,"BULK ORDER","REGULAR ORDER")</f>
        <v>REGULAR ORDER</v>
      </c>
      <c r="L732" t="str">
        <f>IF(Table1_1[[#This Row],[Customer Rating]]&gt;=4.5,"EXCELLENT",IF(Table1_1[[#This Row],[Customer Rating]]&lt;=4,"GOOD","AVERAGE"))</f>
        <v>GOOD</v>
      </c>
    </row>
    <row r="733" spans="1:12" x14ac:dyDescent="0.3">
      <c r="A733" t="s">
        <v>29</v>
      </c>
      <c r="B733" t="s">
        <v>1060</v>
      </c>
      <c r="C733" t="s">
        <v>1051</v>
      </c>
      <c r="D733">
        <v>38647.72</v>
      </c>
      <c r="E733">
        <v>3</v>
      </c>
      <c r="F733">
        <f>SUM(Table1_1[[#This Row],[Price (INR)]]*Table1_1[[#This Row],[Quantity Sold]])</f>
        <v>115943.16</v>
      </c>
      <c r="G733">
        <v>115943.16</v>
      </c>
      <c r="H733" s="1">
        <v>45477</v>
      </c>
      <c r="I733" t="s">
        <v>1059</v>
      </c>
      <c r="J733">
        <v>2</v>
      </c>
      <c r="K733" t="str">
        <f>IF(Table1_1[[#This Row],[Quantity Sold]]&gt;=3,"BULK ORDER","REGULAR ORDER")</f>
        <v>BULK ORDER</v>
      </c>
      <c r="L733" t="str">
        <f>IF(Table1_1[[#This Row],[Customer Rating]]&gt;=4.5,"EXCELLENT",IF(Table1_1[[#This Row],[Customer Rating]]&lt;=4,"GOOD","AVERAGE"))</f>
        <v>GOOD</v>
      </c>
    </row>
    <row r="734" spans="1:12" x14ac:dyDescent="0.3">
      <c r="A734" t="s">
        <v>101</v>
      </c>
      <c r="B734" t="s">
        <v>1076</v>
      </c>
      <c r="C734" t="s">
        <v>1055</v>
      </c>
      <c r="D734">
        <v>38476.480000000003</v>
      </c>
      <c r="E734">
        <v>4</v>
      </c>
      <c r="F734">
        <f>SUM(Table1_1[[#This Row],[Price (INR)]]*Table1_1[[#This Row],[Quantity Sold]])</f>
        <v>153905.92000000001</v>
      </c>
      <c r="G734">
        <v>153905.92000000001</v>
      </c>
      <c r="H734" s="1">
        <v>45534</v>
      </c>
      <c r="I734" t="s">
        <v>1068</v>
      </c>
      <c r="J734">
        <v>2</v>
      </c>
      <c r="K734" t="str">
        <f>IF(Table1_1[[#This Row],[Quantity Sold]]&gt;=3,"BULK ORDER","REGULAR ORDER")</f>
        <v>BULK ORDER</v>
      </c>
      <c r="L734" t="str">
        <f>IF(Table1_1[[#This Row],[Customer Rating]]&gt;=4.5,"EXCELLENT",IF(Table1_1[[#This Row],[Customer Rating]]&lt;=4,"GOOD","AVERAGE"))</f>
        <v>GOOD</v>
      </c>
    </row>
    <row r="735" spans="1:12" x14ac:dyDescent="0.3">
      <c r="A735" t="s">
        <v>113</v>
      </c>
      <c r="B735" t="s">
        <v>1052</v>
      </c>
      <c r="C735" t="s">
        <v>1053</v>
      </c>
      <c r="D735">
        <v>23715.42</v>
      </c>
      <c r="E735">
        <v>4</v>
      </c>
      <c r="F735">
        <f>SUM(Table1_1[[#This Row],[Price (INR)]]*Table1_1[[#This Row],[Quantity Sold]])</f>
        <v>94861.68</v>
      </c>
      <c r="G735">
        <v>94861.68</v>
      </c>
      <c r="H735" s="1">
        <v>45375</v>
      </c>
      <c r="I735" t="s">
        <v>42</v>
      </c>
      <c r="J735">
        <v>2</v>
      </c>
      <c r="K735" t="str">
        <f>IF(Table1_1[[#This Row],[Quantity Sold]]&gt;=3,"BULK ORDER","REGULAR ORDER")</f>
        <v>BULK ORDER</v>
      </c>
      <c r="L735" t="str">
        <f>IF(Table1_1[[#This Row],[Customer Rating]]&gt;=4.5,"EXCELLENT",IF(Table1_1[[#This Row],[Customer Rating]]&lt;=4,"GOOD","AVERAGE"))</f>
        <v>GOOD</v>
      </c>
    </row>
    <row r="736" spans="1:12" x14ac:dyDescent="0.3">
      <c r="A736" t="s">
        <v>137</v>
      </c>
      <c r="B736" t="s">
        <v>1069</v>
      </c>
      <c r="C736" t="s">
        <v>1048</v>
      </c>
      <c r="D736">
        <v>26575.86</v>
      </c>
      <c r="E736">
        <v>2</v>
      </c>
      <c r="F736">
        <f>SUM(Table1_1[[#This Row],[Price (INR)]]*Table1_1[[#This Row],[Quantity Sold]])</f>
        <v>53151.72</v>
      </c>
      <c r="G736">
        <v>53151.72</v>
      </c>
      <c r="H736" s="1">
        <v>45435</v>
      </c>
      <c r="I736" t="s">
        <v>1059</v>
      </c>
      <c r="J736">
        <v>2</v>
      </c>
      <c r="K736" t="str">
        <f>IF(Table1_1[[#This Row],[Quantity Sold]]&gt;=3,"BULK ORDER","REGULAR ORDER")</f>
        <v>REGULAR ORDER</v>
      </c>
      <c r="L736" t="str">
        <f>IF(Table1_1[[#This Row],[Customer Rating]]&gt;=4.5,"EXCELLENT",IF(Table1_1[[#This Row],[Customer Rating]]&lt;=4,"GOOD","AVERAGE"))</f>
        <v>GOOD</v>
      </c>
    </row>
    <row r="737" spans="1:12" x14ac:dyDescent="0.3">
      <c r="A737" t="s">
        <v>201</v>
      </c>
      <c r="B737" t="s">
        <v>1054</v>
      </c>
      <c r="C737" t="s">
        <v>1055</v>
      </c>
      <c r="D737">
        <v>42409.26</v>
      </c>
      <c r="E737">
        <v>1</v>
      </c>
      <c r="F737">
        <f>SUM(Table1_1[[#This Row],[Price (INR)]]*Table1_1[[#This Row],[Quantity Sold]])</f>
        <v>42409.26</v>
      </c>
      <c r="G737">
        <v>42409.26</v>
      </c>
      <c r="H737" s="1">
        <v>45529</v>
      </c>
      <c r="I737" t="s">
        <v>1049</v>
      </c>
      <c r="J737">
        <v>2</v>
      </c>
      <c r="K737" t="str">
        <f>IF(Table1_1[[#This Row],[Quantity Sold]]&gt;=3,"BULK ORDER","REGULAR ORDER")</f>
        <v>REGULAR ORDER</v>
      </c>
      <c r="L737" t="str">
        <f>IF(Table1_1[[#This Row],[Customer Rating]]&gt;=4.5,"EXCELLENT",IF(Table1_1[[#This Row],[Customer Rating]]&lt;=4,"GOOD","AVERAGE"))</f>
        <v>GOOD</v>
      </c>
    </row>
    <row r="738" spans="1:12" x14ac:dyDescent="0.3">
      <c r="A738" t="s">
        <v>277</v>
      </c>
      <c r="B738" t="s">
        <v>1074</v>
      </c>
      <c r="C738" t="s">
        <v>1055</v>
      </c>
      <c r="D738">
        <v>5880.45</v>
      </c>
      <c r="E738">
        <v>1</v>
      </c>
      <c r="F738">
        <f>SUM(Table1_1[[#This Row],[Price (INR)]]*Table1_1[[#This Row],[Quantity Sold]])</f>
        <v>5880.45</v>
      </c>
      <c r="G738">
        <v>5880.45</v>
      </c>
      <c r="H738" s="1">
        <v>45544</v>
      </c>
      <c r="I738" t="s">
        <v>1071</v>
      </c>
      <c r="J738">
        <v>2</v>
      </c>
      <c r="K738" t="str">
        <f>IF(Table1_1[[#This Row],[Quantity Sold]]&gt;=3,"BULK ORDER","REGULAR ORDER")</f>
        <v>REGULAR ORDER</v>
      </c>
      <c r="L738" t="str">
        <f>IF(Table1_1[[#This Row],[Customer Rating]]&gt;=4.5,"EXCELLENT",IF(Table1_1[[#This Row],[Customer Rating]]&lt;=4,"GOOD","AVERAGE"))</f>
        <v>GOOD</v>
      </c>
    </row>
    <row r="739" spans="1:12" x14ac:dyDescent="0.3">
      <c r="A739" t="s">
        <v>294</v>
      </c>
      <c r="B739" t="s">
        <v>1078</v>
      </c>
      <c r="C739" t="s">
        <v>1048</v>
      </c>
      <c r="D739">
        <v>35629.550000000003</v>
      </c>
      <c r="E739">
        <v>2</v>
      </c>
      <c r="F739">
        <f>SUM(Table1_1[[#This Row],[Price (INR)]]*Table1_1[[#This Row],[Quantity Sold]])</f>
        <v>71259.100000000006</v>
      </c>
      <c r="G739">
        <v>71259.100000000006</v>
      </c>
      <c r="H739" s="1">
        <v>45689</v>
      </c>
      <c r="I739" t="s">
        <v>1059</v>
      </c>
      <c r="J739">
        <v>2</v>
      </c>
      <c r="K739" t="str">
        <f>IF(Table1_1[[#This Row],[Quantity Sold]]&gt;=3,"BULK ORDER","REGULAR ORDER")</f>
        <v>REGULAR ORDER</v>
      </c>
      <c r="L739" t="str">
        <f>IF(Table1_1[[#This Row],[Customer Rating]]&gt;=4.5,"EXCELLENT",IF(Table1_1[[#This Row],[Customer Rating]]&lt;=4,"GOOD","AVERAGE"))</f>
        <v>GOOD</v>
      </c>
    </row>
    <row r="740" spans="1:12" x14ac:dyDescent="0.3">
      <c r="A740" t="s">
        <v>297</v>
      </c>
      <c r="B740" t="s">
        <v>1058</v>
      </c>
      <c r="C740" t="s">
        <v>1057</v>
      </c>
      <c r="D740">
        <v>31759.49</v>
      </c>
      <c r="E740">
        <v>4</v>
      </c>
      <c r="F740">
        <f>SUM(Table1_1[[#This Row],[Price (INR)]]*Table1_1[[#This Row],[Quantity Sold]])</f>
        <v>127037.96</v>
      </c>
      <c r="G740">
        <v>127037.96</v>
      </c>
      <c r="H740" s="1">
        <v>45637</v>
      </c>
      <c r="I740" t="s">
        <v>16</v>
      </c>
      <c r="J740">
        <v>2</v>
      </c>
      <c r="K740" t="str">
        <f>IF(Table1_1[[#This Row],[Quantity Sold]]&gt;=3,"BULK ORDER","REGULAR ORDER")</f>
        <v>BULK ORDER</v>
      </c>
      <c r="L740" t="str">
        <f>IF(Table1_1[[#This Row],[Customer Rating]]&gt;=4.5,"EXCELLENT",IF(Table1_1[[#This Row],[Customer Rating]]&lt;=4,"GOOD","AVERAGE"))</f>
        <v>GOOD</v>
      </c>
    </row>
    <row r="741" spans="1:12" x14ac:dyDescent="0.3">
      <c r="A741" t="s">
        <v>328</v>
      </c>
      <c r="B741" t="s">
        <v>1054</v>
      </c>
      <c r="C741" t="s">
        <v>1055</v>
      </c>
      <c r="D741">
        <v>1517.63</v>
      </c>
      <c r="E741">
        <v>4</v>
      </c>
      <c r="F741">
        <f>SUM(Table1_1[[#This Row],[Price (INR)]]*Table1_1[[#This Row],[Quantity Sold]])</f>
        <v>6070.52</v>
      </c>
      <c r="G741">
        <v>6070.52</v>
      </c>
      <c r="H741" s="1">
        <v>45606</v>
      </c>
      <c r="I741" t="s">
        <v>42</v>
      </c>
      <c r="J741">
        <v>2</v>
      </c>
      <c r="K741" t="str">
        <f>IF(Table1_1[[#This Row],[Quantity Sold]]&gt;=3,"BULK ORDER","REGULAR ORDER")</f>
        <v>BULK ORDER</v>
      </c>
      <c r="L741" t="str">
        <f>IF(Table1_1[[#This Row],[Customer Rating]]&gt;=4.5,"EXCELLENT",IF(Table1_1[[#This Row],[Customer Rating]]&lt;=4,"GOOD","AVERAGE"))</f>
        <v>GOOD</v>
      </c>
    </row>
    <row r="742" spans="1:12" x14ac:dyDescent="0.3">
      <c r="A742" t="s">
        <v>333</v>
      </c>
      <c r="B742" t="s">
        <v>1066</v>
      </c>
      <c r="C742" t="s">
        <v>1055</v>
      </c>
      <c r="D742">
        <v>23625.05</v>
      </c>
      <c r="E742">
        <v>2</v>
      </c>
      <c r="F742">
        <f>SUM(Table1_1[[#This Row],[Price (INR)]]*Table1_1[[#This Row],[Quantity Sold]])</f>
        <v>47250.1</v>
      </c>
      <c r="G742">
        <v>47250.1</v>
      </c>
      <c r="H742" s="1">
        <v>45480</v>
      </c>
      <c r="I742" t="s">
        <v>1049</v>
      </c>
      <c r="J742">
        <v>2</v>
      </c>
      <c r="K742" t="str">
        <f>IF(Table1_1[[#This Row],[Quantity Sold]]&gt;=3,"BULK ORDER","REGULAR ORDER")</f>
        <v>REGULAR ORDER</v>
      </c>
      <c r="L742" t="str">
        <f>IF(Table1_1[[#This Row],[Customer Rating]]&gt;=4.5,"EXCELLENT",IF(Table1_1[[#This Row],[Customer Rating]]&lt;=4,"GOOD","AVERAGE"))</f>
        <v>GOOD</v>
      </c>
    </row>
    <row r="743" spans="1:12" x14ac:dyDescent="0.3">
      <c r="A743" t="s">
        <v>406</v>
      </c>
      <c r="B743" t="s">
        <v>1052</v>
      </c>
      <c r="C743" t="s">
        <v>1053</v>
      </c>
      <c r="D743">
        <v>2470.8200000000002</v>
      </c>
      <c r="E743">
        <v>4</v>
      </c>
      <c r="F743">
        <f>SUM(Table1_1[[#This Row],[Price (INR)]]*Table1_1[[#This Row],[Quantity Sold]])</f>
        <v>9883.2800000000007</v>
      </c>
      <c r="G743">
        <v>9883.2800000000007</v>
      </c>
      <c r="H743" s="1">
        <v>45438</v>
      </c>
      <c r="I743" t="s">
        <v>16</v>
      </c>
      <c r="J743">
        <v>2</v>
      </c>
      <c r="K743" t="str">
        <f>IF(Table1_1[[#This Row],[Quantity Sold]]&gt;=3,"BULK ORDER","REGULAR ORDER")</f>
        <v>BULK ORDER</v>
      </c>
      <c r="L743" t="str">
        <f>IF(Table1_1[[#This Row],[Customer Rating]]&gt;=4.5,"EXCELLENT",IF(Table1_1[[#This Row],[Customer Rating]]&lt;=4,"GOOD","AVERAGE"))</f>
        <v>GOOD</v>
      </c>
    </row>
    <row r="744" spans="1:12" x14ac:dyDescent="0.3">
      <c r="A744" t="s">
        <v>409</v>
      </c>
      <c r="B744" t="s">
        <v>1074</v>
      </c>
      <c r="C744" t="s">
        <v>1055</v>
      </c>
      <c r="D744">
        <v>23287.93</v>
      </c>
      <c r="E744">
        <v>4</v>
      </c>
      <c r="F744">
        <f>SUM(Table1_1[[#This Row],[Price (INR)]]*Table1_1[[#This Row],[Quantity Sold]])</f>
        <v>93151.72</v>
      </c>
      <c r="G744">
        <v>93151.72</v>
      </c>
      <c r="H744" s="1">
        <v>45518</v>
      </c>
      <c r="I744" t="s">
        <v>1049</v>
      </c>
      <c r="J744">
        <v>2</v>
      </c>
      <c r="K744" t="str">
        <f>IF(Table1_1[[#This Row],[Quantity Sold]]&gt;=3,"BULK ORDER","REGULAR ORDER")</f>
        <v>BULK ORDER</v>
      </c>
      <c r="L744" t="str">
        <f>IF(Table1_1[[#This Row],[Customer Rating]]&gt;=4.5,"EXCELLENT",IF(Table1_1[[#This Row],[Customer Rating]]&lt;=4,"GOOD","AVERAGE"))</f>
        <v>GOOD</v>
      </c>
    </row>
    <row r="745" spans="1:12" x14ac:dyDescent="0.3">
      <c r="A745" t="s">
        <v>411</v>
      </c>
      <c r="B745" t="s">
        <v>1047</v>
      </c>
      <c r="C745" t="s">
        <v>1048</v>
      </c>
      <c r="D745">
        <v>35304.99</v>
      </c>
      <c r="E745">
        <v>1</v>
      </c>
      <c r="F745">
        <f>SUM(Table1_1[[#This Row],[Price (INR)]]*Table1_1[[#This Row],[Quantity Sold]])</f>
        <v>35304.99</v>
      </c>
      <c r="G745">
        <v>35304.99</v>
      </c>
      <c r="H745" s="1">
        <v>45510</v>
      </c>
      <c r="I745" t="s">
        <v>42</v>
      </c>
      <c r="J745">
        <v>2</v>
      </c>
      <c r="K745" t="str">
        <f>IF(Table1_1[[#This Row],[Quantity Sold]]&gt;=3,"BULK ORDER","REGULAR ORDER")</f>
        <v>REGULAR ORDER</v>
      </c>
      <c r="L745" t="str">
        <f>IF(Table1_1[[#This Row],[Customer Rating]]&gt;=4.5,"EXCELLENT",IF(Table1_1[[#This Row],[Customer Rating]]&lt;=4,"GOOD","AVERAGE"))</f>
        <v>GOOD</v>
      </c>
    </row>
    <row r="746" spans="1:12" x14ac:dyDescent="0.3">
      <c r="A746" t="s">
        <v>424</v>
      </c>
      <c r="B746" t="s">
        <v>1047</v>
      </c>
      <c r="C746" t="s">
        <v>1048</v>
      </c>
      <c r="D746">
        <v>708.78</v>
      </c>
      <c r="E746">
        <v>4</v>
      </c>
      <c r="F746">
        <f>SUM(Table1_1[[#This Row],[Price (INR)]]*Table1_1[[#This Row],[Quantity Sold]])</f>
        <v>2835.12</v>
      </c>
      <c r="G746">
        <v>2835.12</v>
      </c>
      <c r="H746" s="1">
        <v>45625</v>
      </c>
      <c r="I746" t="s">
        <v>42</v>
      </c>
      <c r="J746">
        <v>2</v>
      </c>
      <c r="K746" t="str">
        <f>IF(Table1_1[[#This Row],[Quantity Sold]]&gt;=3,"BULK ORDER","REGULAR ORDER")</f>
        <v>BULK ORDER</v>
      </c>
      <c r="L746" t="str">
        <f>IF(Table1_1[[#This Row],[Customer Rating]]&gt;=4.5,"EXCELLENT",IF(Table1_1[[#This Row],[Customer Rating]]&lt;=4,"GOOD","AVERAGE"))</f>
        <v>GOOD</v>
      </c>
    </row>
    <row r="747" spans="1:12" x14ac:dyDescent="0.3">
      <c r="A747" t="s">
        <v>479</v>
      </c>
      <c r="B747" t="s">
        <v>1075</v>
      </c>
      <c r="C747" t="s">
        <v>1053</v>
      </c>
      <c r="D747">
        <v>16951.57</v>
      </c>
      <c r="E747">
        <v>5</v>
      </c>
      <c r="F747">
        <f>SUM(Table1_1[[#This Row],[Price (INR)]]*Table1_1[[#This Row],[Quantity Sold]])</f>
        <v>84757.85</v>
      </c>
      <c r="G747">
        <v>84757.85</v>
      </c>
      <c r="H747" s="1">
        <v>45379</v>
      </c>
      <c r="I747" t="s">
        <v>1059</v>
      </c>
      <c r="J747">
        <v>2</v>
      </c>
      <c r="K747" t="str">
        <f>IF(Table1_1[[#This Row],[Quantity Sold]]&gt;=3,"BULK ORDER","REGULAR ORDER")</f>
        <v>BULK ORDER</v>
      </c>
      <c r="L747" t="str">
        <f>IF(Table1_1[[#This Row],[Customer Rating]]&gt;=4.5,"EXCELLENT",IF(Table1_1[[#This Row],[Customer Rating]]&lt;=4,"GOOD","AVERAGE"))</f>
        <v>GOOD</v>
      </c>
    </row>
    <row r="748" spans="1:12" x14ac:dyDescent="0.3">
      <c r="A748" t="s">
        <v>515</v>
      </c>
      <c r="B748" t="s">
        <v>1066</v>
      </c>
      <c r="C748" t="s">
        <v>1055</v>
      </c>
      <c r="D748">
        <v>38681.26</v>
      </c>
      <c r="E748">
        <v>1</v>
      </c>
      <c r="F748">
        <f>SUM(Table1_1[[#This Row],[Price (INR)]]*Table1_1[[#This Row],[Quantity Sold]])</f>
        <v>38681.26</v>
      </c>
      <c r="G748">
        <v>38681.26</v>
      </c>
      <c r="H748" s="1">
        <v>45490</v>
      </c>
      <c r="I748" t="s">
        <v>42</v>
      </c>
      <c r="J748">
        <v>2</v>
      </c>
      <c r="K748" t="str">
        <f>IF(Table1_1[[#This Row],[Quantity Sold]]&gt;=3,"BULK ORDER","REGULAR ORDER")</f>
        <v>REGULAR ORDER</v>
      </c>
      <c r="L748" t="str">
        <f>IF(Table1_1[[#This Row],[Customer Rating]]&gt;=4.5,"EXCELLENT",IF(Table1_1[[#This Row],[Customer Rating]]&lt;=4,"GOOD","AVERAGE"))</f>
        <v>GOOD</v>
      </c>
    </row>
    <row r="749" spans="1:12" x14ac:dyDescent="0.3">
      <c r="A749" t="s">
        <v>566</v>
      </c>
      <c r="B749" t="s">
        <v>1064</v>
      </c>
      <c r="C749" t="s">
        <v>1053</v>
      </c>
      <c r="D749">
        <v>7283.96</v>
      </c>
      <c r="E749">
        <v>1</v>
      </c>
      <c r="F749">
        <f>SUM(Table1_1[[#This Row],[Price (INR)]]*Table1_1[[#This Row],[Quantity Sold]])</f>
        <v>7283.96</v>
      </c>
      <c r="G749">
        <v>7283.96</v>
      </c>
      <c r="H749" s="1">
        <v>45390</v>
      </c>
      <c r="I749" t="s">
        <v>42</v>
      </c>
      <c r="J749">
        <v>2</v>
      </c>
      <c r="K749" t="str">
        <f>IF(Table1_1[[#This Row],[Quantity Sold]]&gt;=3,"BULK ORDER","REGULAR ORDER")</f>
        <v>REGULAR ORDER</v>
      </c>
      <c r="L749" t="str">
        <f>IF(Table1_1[[#This Row],[Customer Rating]]&gt;=4.5,"EXCELLENT",IF(Table1_1[[#This Row],[Customer Rating]]&lt;=4,"GOOD","AVERAGE"))</f>
        <v>GOOD</v>
      </c>
    </row>
    <row r="750" spans="1:12" x14ac:dyDescent="0.3">
      <c r="A750" t="s">
        <v>575</v>
      </c>
      <c r="B750" t="s">
        <v>1078</v>
      </c>
      <c r="C750" t="s">
        <v>1048</v>
      </c>
      <c r="D750">
        <v>26058.55</v>
      </c>
      <c r="E750">
        <v>1</v>
      </c>
      <c r="F750">
        <f>SUM(Table1_1[[#This Row],[Price (INR)]]*Table1_1[[#This Row],[Quantity Sold]])</f>
        <v>26058.55</v>
      </c>
      <c r="G750">
        <v>26058.55</v>
      </c>
      <c r="H750" s="1">
        <v>45593</v>
      </c>
      <c r="I750" t="s">
        <v>16</v>
      </c>
      <c r="J750">
        <v>2</v>
      </c>
      <c r="K750" t="str">
        <f>IF(Table1_1[[#This Row],[Quantity Sold]]&gt;=3,"BULK ORDER","REGULAR ORDER")</f>
        <v>REGULAR ORDER</v>
      </c>
      <c r="L750" t="str">
        <f>IF(Table1_1[[#This Row],[Customer Rating]]&gt;=4.5,"EXCELLENT",IF(Table1_1[[#This Row],[Customer Rating]]&lt;=4,"GOOD","AVERAGE"))</f>
        <v>GOOD</v>
      </c>
    </row>
    <row r="751" spans="1:12" x14ac:dyDescent="0.3">
      <c r="A751" t="s">
        <v>584</v>
      </c>
      <c r="B751" t="s">
        <v>1069</v>
      </c>
      <c r="C751" t="s">
        <v>1048</v>
      </c>
      <c r="D751">
        <v>45888.54</v>
      </c>
      <c r="E751">
        <v>3</v>
      </c>
      <c r="F751">
        <f>SUM(Table1_1[[#This Row],[Price (INR)]]*Table1_1[[#This Row],[Quantity Sold]])</f>
        <v>137665.62</v>
      </c>
      <c r="G751">
        <v>137665.62</v>
      </c>
      <c r="H751" s="1">
        <v>45390</v>
      </c>
      <c r="I751" t="s">
        <v>1068</v>
      </c>
      <c r="J751">
        <v>2</v>
      </c>
      <c r="K751" t="str">
        <f>IF(Table1_1[[#This Row],[Quantity Sold]]&gt;=3,"BULK ORDER","REGULAR ORDER")</f>
        <v>BULK ORDER</v>
      </c>
      <c r="L751" t="str">
        <f>IF(Table1_1[[#This Row],[Customer Rating]]&gt;=4.5,"EXCELLENT",IF(Table1_1[[#This Row],[Customer Rating]]&lt;=4,"GOOD","AVERAGE"))</f>
        <v>GOOD</v>
      </c>
    </row>
    <row r="752" spans="1:12" x14ac:dyDescent="0.3">
      <c r="A752" t="s">
        <v>589</v>
      </c>
      <c r="B752" t="s">
        <v>1047</v>
      </c>
      <c r="C752" t="s">
        <v>1048</v>
      </c>
      <c r="D752">
        <v>8091.3</v>
      </c>
      <c r="E752">
        <v>5</v>
      </c>
      <c r="F752">
        <f>SUM(Table1_1[[#This Row],[Price (INR)]]*Table1_1[[#This Row],[Quantity Sold]])</f>
        <v>40456.5</v>
      </c>
      <c r="G752">
        <v>40456.5</v>
      </c>
      <c r="H752" s="1">
        <v>45518</v>
      </c>
      <c r="I752" t="s">
        <v>1068</v>
      </c>
      <c r="J752">
        <v>2</v>
      </c>
      <c r="K752" t="str">
        <f>IF(Table1_1[[#This Row],[Quantity Sold]]&gt;=3,"BULK ORDER","REGULAR ORDER")</f>
        <v>BULK ORDER</v>
      </c>
      <c r="L752" t="str">
        <f>IF(Table1_1[[#This Row],[Customer Rating]]&gt;=4.5,"EXCELLENT",IF(Table1_1[[#This Row],[Customer Rating]]&lt;=4,"GOOD","AVERAGE"))</f>
        <v>GOOD</v>
      </c>
    </row>
    <row r="753" spans="1:12" x14ac:dyDescent="0.3">
      <c r="A753" t="s">
        <v>689</v>
      </c>
      <c r="B753" t="s">
        <v>1054</v>
      </c>
      <c r="C753" t="s">
        <v>1055</v>
      </c>
      <c r="D753">
        <v>35524.559999999998</v>
      </c>
      <c r="E753">
        <v>1</v>
      </c>
      <c r="F753">
        <f>SUM(Table1_1[[#This Row],[Price (INR)]]*Table1_1[[#This Row],[Quantity Sold]])</f>
        <v>35524.559999999998</v>
      </c>
      <c r="G753">
        <v>35524.559999999998</v>
      </c>
      <c r="H753" s="1">
        <v>45512</v>
      </c>
      <c r="I753" t="s">
        <v>16</v>
      </c>
      <c r="J753">
        <v>2</v>
      </c>
      <c r="K753" t="str">
        <f>IF(Table1_1[[#This Row],[Quantity Sold]]&gt;=3,"BULK ORDER","REGULAR ORDER")</f>
        <v>REGULAR ORDER</v>
      </c>
      <c r="L753" t="str">
        <f>IF(Table1_1[[#This Row],[Customer Rating]]&gt;=4.5,"EXCELLENT",IF(Table1_1[[#This Row],[Customer Rating]]&lt;=4,"GOOD","AVERAGE"))</f>
        <v>GOOD</v>
      </c>
    </row>
    <row r="754" spans="1:12" x14ac:dyDescent="0.3">
      <c r="A754" t="s">
        <v>695</v>
      </c>
      <c r="B754" t="s">
        <v>1079</v>
      </c>
      <c r="C754" t="s">
        <v>1057</v>
      </c>
      <c r="D754">
        <v>1435.38</v>
      </c>
      <c r="E754">
        <v>4</v>
      </c>
      <c r="F754">
        <f>SUM(Table1_1[[#This Row],[Price (INR)]]*Table1_1[[#This Row],[Quantity Sold]])</f>
        <v>5741.52</v>
      </c>
      <c r="G754">
        <v>5741.52</v>
      </c>
      <c r="H754" s="1">
        <v>45375</v>
      </c>
      <c r="I754" t="s">
        <v>16</v>
      </c>
      <c r="J754">
        <v>2</v>
      </c>
      <c r="K754" t="str">
        <f>IF(Table1_1[[#This Row],[Quantity Sold]]&gt;=3,"BULK ORDER","REGULAR ORDER")</f>
        <v>BULK ORDER</v>
      </c>
      <c r="L754" t="str">
        <f>IF(Table1_1[[#This Row],[Customer Rating]]&gt;=4.5,"EXCELLENT",IF(Table1_1[[#This Row],[Customer Rating]]&lt;=4,"GOOD","AVERAGE"))</f>
        <v>GOOD</v>
      </c>
    </row>
    <row r="755" spans="1:12" x14ac:dyDescent="0.3">
      <c r="A755" t="s">
        <v>699</v>
      </c>
      <c r="B755" t="s">
        <v>1062</v>
      </c>
      <c r="C755" t="s">
        <v>1051</v>
      </c>
      <c r="D755">
        <v>18789.810000000001</v>
      </c>
      <c r="E755">
        <v>3</v>
      </c>
      <c r="F755">
        <f>SUM(Table1_1[[#This Row],[Price (INR)]]*Table1_1[[#This Row],[Quantity Sold]])</f>
        <v>56369.430000000008</v>
      </c>
      <c r="G755">
        <v>56369.43</v>
      </c>
      <c r="H755" s="1">
        <v>45407</v>
      </c>
      <c r="I755" t="s">
        <v>1049</v>
      </c>
      <c r="J755">
        <v>2</v>
      </c>
      <c r="K755" t="str">
        <f>IF(Table1_1[[#This Row],[Quantity Sold]]&gt;=3,"BULK ORDER","REGULAR ORDER")</f>
        <v>BULK ORDER</v>
      </c>
      <c r="L755" t="str">
        <f>IF(Table1_1[[#This Row],[Customer Rating]]&gt;=4.5,"EXCELLENT",IF(Table1_1[[#This Row],[Customer Rating]]&lt;=4,"GOOD","AVERAGE"))</f>
        <v>GOOD</v>
      </c>
    </row>
    <row r="756" spans="1:12" x14ac:dyDescent="0.3">
      <c r="A756" t="s">
        <v>737</v>
      </c>
      <c r="B756" t="s">
        <v>1069</v>
      </c>
      <c r="C756" t="s">
        <v>1048</v>
      </c>
      <c r="D756">
        <v>19669.48</v>
      </c>
      <c r="E756">
        <v>2</v>
      </c>
      <c r="F756">
        <f>SUM(Table1_1[[#This Row],[Price (INR)]]*Table1_1[[#This Row],[Quantity Sold]])</f>
        <v>39338.959999999999</v>
      </c>
      <c r="G756">
        <v>39338.959999999999</v>
      </c>
      <c r="H756" s="1">
        <v>45429</v>
      </c>
      <c r="I756" t="s">
        <v>1059</v>
      </c>
      <c r="J756">
        <v>2</v>
      </c>
      <c r="K756" t="str">
        <f>IF(Table1_1[[#This Row],[Quantity Sold]]&gt;=3,"BULK ORDER","REGULAR ORDER")</f>
        <v>REGULAR ORDER</v>
      </c>
      <c r="L756" t="str">
        <f>IF(Table1_1[[#This Row],[Customer Rating]]&gt;=4.5,"EXCELLENT",IF(Table1_1[[#This Row],[Customer Rating]]&lt;=4,"GOOD","AVERAGE"))</f>
        <v>GOOD</v>
      </c>
    </row>
    <row r="757" spans="1:12" x14ac:dyDescent="0.3">
      <c r="A757" t="s">
        <v>781</v>
      </c>
      <c r="B757" t="s">
        <v>1073</v>
      </c>
      <c r="C757" t="s">
        <v>1053</v>
      </c>
      <c r="D757">
        <v>139.85</v>
      </c>
      <c r="E757">
        <v>3</v>
      </c>
      <c r="F757">
        <f>SUM(Table1_1[[#This Row],[Price (INR)]]*Table1_1[[#This Row],[Quantity Sold]])</f>
        <v>419.54999999999995</v>
      </c>
      <c r="G757">
        <v>419.55</v>
      </c>
      <c r="H757" s="1">
        <v>45549</v>
      </c>
      <c r="I757" t="s">
        <v>16</v>
      </c>
      <c r="J757">
        <v>2</v>
      </c>
      <c r="K757" t="str">
        <f>IF(Table1_1[[#This Row],[Quantity Sold]]&gt;=3,"BULK ORDER","REGULAR ORDER")</f>
        <v>BULK ORDER</v>
      </c>
      <c r="L757" t="str">
        <f>IF(Table1_1[[#This Row],[Customer Rating]]&gt;=4.5,"EXCELLENT",IF(Table1_1[[#This Row],[Customer Rating]]&lt;=4,"GOOD","AVERAGE"))</f>
        <v>GOOD</v>
      </c>
    </row>
    <row r="758" spans="1:12" x14ac:dyDescent="0.3">
      <c r="A758" t="s">
        <v>808</v>
      </c>
      <c r="B758" t="s">
        <v>1065</v>
      </c>
      <c r="C758" t="s">
        <v>1053</v>
      </c>
      <c r="D758">
        <v>6685.9</v>
      </c>
      <c r="E758">
        <v>2</v>
      </c>
      <c r="F758">
        <f>SUM(Table1_1[[#This Row],[Price (INR)]]*Table1_1[[#This Row],[Quantity Sold]])</f>
        <v>13371.8</v>
      </c>
      <c r="G758">
        <v>13371.8</v>
      </c>
      <c r="H758" s="1">
        <v>45342</v>
      </c>
      <c r="I758" t="s">
        <v>1049</v>
      </c>
      <c r="J758">
        <v>2</v>
      </c>
      <c r="K758" t="str">
        <f>IF(Table1_1[[#This Row],[Quantity Sold]]&gt;=3,"BULK ORDER","REGULAR ORDER")</f>
        <v>REGULAR ORDER</v>
      </c>
      <c r="L758" t="str">
        <f>IF(Table1_1[[#This Row],[Customer Rating]]&gt;=4.5,"EXCELLENT",IF(Table1_1[[#This Row],[Customer Rating]]&lt;=4,"GOOD","AVERAGE"))</f>
        <v>GOOD</v>
      </c>
    </row>
    <row r="759" spans="1:12" x14ac:dyDescent="0.3">
      <c r="A759" t="s">
        <v>809</v>
      </c>
      <c r="B759" t="s">
        <v>1078</v>
      </c>
      <c r="C759" t="s">
        <v>1048</v>
      </c>
      <c r="D759">
        <v>2258.89</v>
      </c>
      <c r="E759">
        <v>3</v>
      </c>
      <c r="F759">
        <f>SUM(Table1_1[[#This Row],[Price (INR)]]*Table1_1[[#This Row],[Quantity Sold]])</f>
        <v>6776.67</v>
      </c>
      <c r="G759">
        <v>6776.67</v>
      </c>
      <c r="H759" s="1">
        <v>45547</v>
      </c>
      <c r="I759" t="s">
        <v>1059</v>
      </c>
      <c r="J759">
        <v>2</v>
      </c>
      <c r="K759" t="str">
        <f>IF(Table1_1[[#This Row],[Quantity Sold]]&gt;=3,"BULK ORDER","REGULAR ORDER")</f>
        <v>BULK ORDER</v>
      </c>
      <c r="L759" t="str">
        <f>IF(Table1_1[[#This Row],[Customer Rating]]&gt;=4.5,"EXCELLENT",IF(Table1_1[[#This Row],[Customer Rating]]&lt;=4,"GOOD","AVERAGE"))</f>
        <v>GOOD</v>
      </c>
    </row>
    <row r="760" spans="1:12" x14ac:dyDescent="0.3">
      <c r="A760" t="s">
        <v>815</v>
      </c>
      <c r="B760" t="s">
        <v>1079</v>
      </c>
      <c r="C760" t="s">
        <v>1057</v>
      </c>
      <c r="D760">
        <v>7355.5</v>
      </c>
      <c r="E760">
        <v>3</v>
      </c>
      <c r="F760">
        <f>SUM(Table1_1[[#This Row],[Price (INR)]]*Table1_1[[#This Row],[Quantity Sold]])</f>
        <v>22066.5</v>
      </c>
      <c r="G760">
        <v>22066.5</v>
      </c>
      <c r="H760" s="1">
        <v>45684</v>
      </c>
      <c r="I760" t="s">
        <v>1071</v>
      </c>
      <c r="J760">
        <v>2</v>
      </c>
      <c r="K760" t="str">
        <f>IF(Table1_1[[#This Row],[Quantity Sold]]&gt;=3,"BULK ORDER","REGULAR ORDER")</f>
        <v>BULK ORDER</v>
      </c>
      <c r="L760" t="str">
        <f>IF(Table1_1[[#This Row],[Customer Rating]]&gt;=4.5,"EXCELLENT",IF(Table1_1[[#This Row],[Customer Rating]]&lt;=4,"GOOD","AVERAGE"))</f>
        <v>GOOD</v>
      </c>
    </row>
    <row r="761" spans="1:12" x14ac:dyDescent="0.3">
      <c r="A761" t="s">
        <v>824</v>
      </c>
      <c r="B761" t="s">
        <v>1054</v>
      </c>
      <c r="C761" t="s">
        <v>1055</v>
      </c>
      <c r="D761">
        <v>1320.32</v>
      </c>
      <c r="E761">
        <v>3</v>
      </c>
      <c r="F761">
        <f>SUM(Table1_1[[#This Row],[Price (INR)]]*Table1_1[[#This Row],[Quantity Sold]])</f>
        <v>3960.96</v>
      </c>
      <c r="G761">
        <v>3960.96</v>
      </c>
      <c r="H761" s="1">
        <v>45665</v>
      </c>
      <c r="I761" t="s">
        <v>1059</v>
      </c>
      <c r="J761">
        <v>2</v>
      </c>
      <c r="K761" t="str">
        <f>IF(Table1_1[[#This Row],[Quantity Sold]]&gt;=3,"BULK ORDER","REGULAR ORDER")</f>
        <v>BULK ORDER</v>
      </c>
      <c r="L761" t="str">
        <f>IF(Table1_1[[#This Row],[Customer Rating]]&gt;=4.5,"EXCELLENT",IF(Table1_1[[#This Row],[Customer Rating]]&lt;=4,"GOOD","AVERAGE"))</f>
        <v>GOOD</v>
      </c>
    </row>
    <row r="762" spans="1:12" x14ac:dyDescent="0.3">
      <c r="A762" t="s">
        <v>906</v>
      </c>
      <c r="B762" t="s">
        <v>1079</v>
      </c>
      <c r="C762" t="s">
        <v>1057</v>
      </c>
      <c r="D762">
        <v>36583.040000000001</v>
      </c>
      <c r="E762">
        <v>4</v>
      </c>
      <c r="F762">
        <f>SUM(Table1_1[[#This Row],[Price (INR)]]*Table1_1[[#This Row],[Quantity Sold]])</f>
        <v>146332.16</v>
      </c>
      <c r="G762">
        <v>146332.16</v>
      </c>
      <c r="H762" s="1">
        <v>45400</v>
      </c>
      <c r="I762" t="s">
        <v>42</v>
      </c>
      <c r="J762">
        <v>2</v>
      </c>
      <c r="K762" t="str">
        <f>IF(Table1_1[[#This Row],[Quantity Sold]]&gt;=3,"BULK ORDER","REGULAR ORDER")</f>
        <v>BULK ORDER</v>
      </c>
      <c r="L762" t="str">
        <f>IF(Table1_1[[#This Row],[Customer Rating]]&gt;=4.5,"EXCELLENT",IF(Table1_1[[#This Row],[Customer Rating]]&lt;=4,"GOOD","AVERAGE"))</f>
        <v>GOOD</v>
      </c>
    </row>
    <row r="763" spans="1:12" x14ac:dyDescent="0.3">
      <c r="A763" t="s">
        <v>1013</v>
      </c>
      <c r="B763" t="s">
        <v>1074</v>
      </c>
      <c r="C763" t="s">
        <v>1055</v>
      </c>
      <c r="D763">
        <v>36615.730000000003</v>
      </c>
      <c r="E763">
        <v>5</v>
      </c>
      <c r="F763">
        <f>SUM(Table1_1[[#This Row],[Price (INR)]]*Table1_1[[#This Row],[Quantity Sold]])</f>
        <v>183078.65000000002</v>
      </c>
      <c r="G763">
        <v>183078.65</v>
      </c>
      <c r="H763" s="1">
        <v>45392</v>
      </c>
      <c r="I763" t="s">
        <v>1071</v>
      </c>
      <c r="J763">
        <v>2</v>
      </c>
      <c r="K763" t="str">
        <f>IF(Table1_1[[#This Row],[Quantity Sold]]&gt;=3,"BULK ORDER","REGULAR ORDER")</f>
        <v>BULK ORDER</v>
      </c>
      <c r="L763" t="str">
        <f>IF(Table1_1[[#This Row],[Customer Rating]]&gt;=4.5,"EXCELLENT",IF(Table1_1[[#This Row],[Customer Rating]]&lt;=4,"GOOD","AVERAGE"))</f>
        <v>GOOD</v>
      </c>
    </row>
    <row r="764" spans="1:12" x14ac:dyDescent="0.3">
      <c r="A764" t="s">
        <v>108</v>
      </c>
      <c r="B764" t="s">
        <v>1047</v>
      </c>
      <c r="C764" t="s">
        <v>1048</v>
      </c>
      <c r="D764">
        <v>21690.55</v>
      </c>
      <c r="E764">
        <v>2</v>
      </c>
      <c r="F764">
        <f>SUM(Table1_1[[#This Row],[Price (INR)]]*Table1_1[[#This Row],[Quantity Sold]])</f>
        <v>43381.1</v>
      </c>
      <c r="G764">
        <v>43381.1</v>
      </c>
      <c r="H764" s="1">
        <v>45624</v>
      </c>
      <c r="I764" t="s">
        <v>1068</v>
      </c>
      <c r="J764">
        <v>1.9</v>
      </c>
      <c r="K764" t="str">
        <f>IF(Table1_1[[#This Row],[Quantity Sold]]&gt;=3,"BULK ORDER","REGULAR ORDER")</f>
        <v>REGULAR ORDER</v>
      </c>
      <c r="L764" t="str">
        <f>IF(Table1_1[[#This Row],[Customer Rating]]&gt;=4.5,"EXCELLENT",IF(Table1_1[[#This Row],[Customer Rating]]&lt;=4,"GOOD","AVERAGE"))</f>
        <v>GOOD</v>
      </c>
    </row>
    <row r="765" spans="1:12" x14ac:dyDescent="0.3">
      <c r="A765" t="s">
        <v>155</v>
      </c>
      <c r="B765" t="s">
        <v>1062</v>
      </c>
      <c r="C765" t="s">
        <v>1051</v>
      </c>
      <c r="D765">
        <v>35811.1</v>
      </c>
      <c r="E765">
        <v>4</v>
      </c>
      <c r="F765">
        <f>SUM(Table1_1[[#This Row],[Price (INR)]]*Table1_1[[#This Row],[Quantity Sold]])</f>
        <v>143244.4</v>
      </c>
      <c r="G765">
        <v>143244.4</v>
      </c>
      <c r="H765" s="1">
        <v>45546</v>
      </c>
      <c r="I765" t="s">
        <v>1071</v>
      </c>
      <c r="J765">
        <v>1.9</v>
      </c>
      <c r="K765" t="str">
        <f>IF(Table1_1[[#This Row],[Quantity Sold]]&gt;=3,"BULK ORDER","REGULAR ORDER")</f>
        <v>BULK ORDER</v>
      </c>
      <c r="L765" t="str">
        <f>IF(Table1_1[[#This Row],[Customer Rating]]&gt;=4.5,"EXCELLENT",IF(Table1_1[[#This Row],[Customer Rating]]&lt;=4,"GOOD","AVERAGE"))</f>
        <v>GOOD</v>
      </c>
    </row>
    <row r="766" spans="1:12" x14ac:dyDescent="0.3">
      <c r="A766" t="s">
        <v>191</v>
      </c>
      <c r="B766" t="s">
        <v>1062</v>
      </c>
      <c r="C766" t="s">
        <v>1051</v>
      </c>
      <c r="D766">
        <v>18309.060000000001</v>
      </c>
      <c r="E766">
        <v>2</v>
      </c>
      <c r="F766">
        <f>SUM(Table1_1[[#This Row],[Price (INR)]]*Table1_1[[#This Row],[Quantity Sold]])</f>
        <v>36618.120000000003</v>
      </c>
      <c r="G766">
        <v>36618.120000000003</v>
      </c>
      <c r="H766" s="1">
        <v>45423</v>
      </c>
      <c r="I766" t="s">
        <v>1071</v>
      </c>
      <c r="J766">
        <v>1.9</v>
      </c>
      <c r="K766" t="str">
        <f>IF(Table1_1[[#This Row],[Quantity Sold]]&gt;=3,"BULK ORDER","REGULAR ORDER")</f>
        <v>REGULAR ORDER</v>
      </c>
      <c r="L766" t="str">
        <f>IF(Table1_1[[#This Row],[Customer Rating]]&gt;=4.5,"EXCELLENT",IF(Table1_1[[#This Row],[Customer Rating]]&lt;=4,"GOOD","AVERAGE"))</f>
        <v>GOOD</v>
      </c>
    </row>
    <row r="767" spans="1:12" x14ac:dyDescent="0.3">
      <c r="A767" t="s">
        <v>203</v>
      </c>
      <c r="B767" t="s">
        <v>1054</v>
      </c>
      <c r="C767" t="s">
        <v>1055</v>
      </c>
      <c r="D767">
        <v>40233.279999999999</v>
      </c>
      <c r="E767">
        <v>5</v>
      </c>
      <c r="F767">
        <f>SUM(Table1_1[[#This Row],[Price (INR)]]*Table1_1[[#This Row],[Quantity Sold]])</f>
        <v>201166.4</v>
      </c>
      <c r="G767">
        <v>201166.4</v>
      </c>
      <c r="H767" s="1">
        <v>45662</v>
      </c>
      <c r="I767" t="s">
        <v>1059</v>
      </c>
      <c r="J767">
        <v>1.9</v>
      </c>
      <c r="K767" t="str">
        <f>IF(Table1_1[[#This Row],[Quantity Sold]]&gt;=3,"BULK ORDER","REGULAR ORDER")</f>
        <v>BULK ORDER</v>
      </c>
      <c r="L767" t="str">
        <f>IF(Table1_1[[#This Row],[Customer Rating]]&gt;=4.5,"EXCELLENT",IF(Table1_1[[#This Row],[Customer Rating]]&lt;=4,"GOOD","AVERAGE"))</f>
        <v>GOOD</v>
      </c>
    </row>
    <row r="768" spans="1:12" x14ac:dyDescent="0.3">
      <c r="A768" t="s">
        <v>315</v>
      </c>
      <c r="B768" t="s">
        <v>1080</v>
      </c>
      <c r="C768" t="s">
        <v>1051</v>
      </c>
      <c r="D768">
        <v>10086.76</v>
      </c>
      <c r="E768">
        <v>2</v>
      </c>
      <c r="F768">
        <f>SUM(Table1_1[[#This Row],[Price (INR)]]*Table1_1[[#This Row],[Quantity Sold]])</f>
        <v>20173.52</v>
      </c>
      <c r="G768">
        <v>20173.52</v>
      </c>
      <c r="H768" s="1">
        <v>45377</v>
      </c>
      <c r="I768" t="s">
        <v>1059</v>
      </c>
      <c r="J768">
        <v>1.9</v>
      </c>
      <c r="K768" t="str">
        <f>IF(Table1_1[[#This Row],[Quantity Sold]]&gt;=3,"BULK ORDER","REGULAR ORDER")</f>
        <v>REGULAR ORDER</v>
      </c>
      <c r="L768" t="str">
        <f>IF(Table1_1[[#This Row],[Customer Rating]]&gt;=4.5,"EXCELLENT",IF(Table1_1[[#This Row],[Customer Rating]]&lt;=4,"GOOD","AVERAGE"))</f>
        <v>GOOD</v>
      </c>
    </row>
    <row r="769" spans="1:12" x14ac:dyDescent="0.3">
      <c r="A769" t="s">
        <v>335</v>
      </c>
      <c r="B769" t="s">
        <v>1070</v>
      </c>
      <c r="C769" t="s">
        <v>1051</v>
      </c>
      <c r="D769">
        <v>26667.15</v>
      </c>
      <c r="E769">
        <v>2</v>
      </c>
      <c r="F769">
        <f>SUM(Table1_1[[#This Row],[Price (INR)]]*Table1_1[[#This Row],[Quantity Sold]])</f>
        <v>53334.3</v>
      </c>
      <c r="G769">
        <v>53334.3</v>
      </c>
      <c r="H769" s="1">
        <v>45601</v>
      </c>
      <c r="I769" t="s">
        <v>1068</v>
      </c>
      <c r="J769">
        <v>1.9</v>
      </c>
      <c r="K769" t="str">
        <f>IF(Table1_1[[#This Row],[Quantity Sold]]&gt;=3,"BULK ORDER","REGULAR ORDER")</f>
        <v>REGULAR ORDER</v>
      </c>
      <c r="L769" t="str">
        <f>IF(Table1_1[[#This Row],[Customer Rating]]&gt;=4.5,"EXCELLENT",IF(Table1_1[[#This Row],[Customer Rating]]&lt;=4,"GOOD","AVERAGE"))</f>
        <v>GOOD</v>
      </c>
    </row>
    <row r="770" spans="1:12" x14ac:dyDescent="0.3">
      <c r="A770" t="s">
        <v>359</v>
      </c>
      <c r="B770" t="s">
        <v>1075</v>
      </c>
      <c r="C770" t="s">
        <v>1053</v>
      </c>
      <c r="D770">
        <v>6015.13</v>
      </c>
      <c r="E770">
        <v>1</v>
      </c>
      <c r="F770">
        <f>SUM(Table1_1[[#This Row],[Price (INR)]]*Table1_1[[#This Row],[Quantity Sold]])</f>
        <v>6015.13</v>
      </c>
      <c r="G770">
        <v>6015.13</v>
      </c>
      <c r="H770" s="1">
        <v>45530</v>
      </c>
      <c r="I770" t="s">
        <v>1068</v>
      </c>
      <c r="J770">
        <v>1.9</v>
      </c>
      <c r="K770" t="str">
        <f>IF(Table1_1[[#This Row],[Quantity Sold]]&gt;=3,"BULK ORDER","REGULAR ORDER")</f>
        <v>REGULAR ORDER</v>
      </c>
      <c r="L770" t="str">
        <f>IF(Table1_1[[#This Row],[Customer Rating]]&gt;=4.5,"EXCELLENT",IF(Table1_1[[#This Row],[Customer Rating]]&lt;=4,"GOOD","AVERAGE"))</f>
        <v>GOOD</v>
      </c>
    </row>
    <row r="771" spans="1:12" x14ac:dyDescent="0.3">
      <c r="A771" t="s">
        <v>433</v>
      </c>
      <c r="B771" t="s">
        <v>1065</v>
      </c>
      <c r="C771" t="s">
        <v>1053</v>
      </c>
      <c r="D771">
        <v>7145.81</v>
      </c>
      <c r="E771">
        <v>4</v>
      </c>
      <c r="F771">
        <f>SUM(Table1_1[[#This Row],[Price (INR)]]*Table1_1[[#This Row],[Quantity Sold]])</f>
        <v>28583.24</v>
      </c>
      <c r="G771">
        <v>28583.24</v>
      </c>
      <c r="H771" s="1">
        <v>45360</v>
      </c>
      <c r="I771" t="s">
        <v>1059</v>
      </c>
      <c r="J771">
        <v>1.9</v>
      </c>
      <c r="K771" t="str">
        <f>IF(Table1_1[[#This Row],[Quantity Sold]]&gt;=3,"BULK ORDER","REGULAR ORDER")</f>
        <v>BULK ORDER</v>
      </c>
      <c r="L771" t="str">
        <f>IF(Table1_1[[#This Row],[Customer Rating]]&gt;=4.5,"EXCELLENT",IF(Table1_1[[#This Row],[Customer Rating]]&lt;=4,"GOOD","AVERAGE"))</f>
        <v>GOOD</v>
      </c>
    </row>
    <row r="772" spans="1:12" x14ac:dyDescent="0.3">
      <c r="A772" t="s">
        <v>441</v>
      </c>
      <c r="B772" t="s">
        <v>1065</v>
      </c>
      <c r="C772" t="s">
        <v>1053</v>
      </c>
      <c r="D772">
        <v>14851.66</v>
      </c>
      <c r="E772">
        <v>2</v>
      </c>
      <c r="F772">
        <f>SUM(Table1_1[[#This Row],[Price (INR)]]*Table1_1[[#This Row],[Quantity Sold]])</f>
        <v>29703.32</v>
      </c>
      <c r="G772">
        <v>29703.32</v>
      </c>
      <c r="H772" s="1">
        <v>45665</v>
      </c>
      <c r="I772" t="s">
        <v>1049</v>
      </c>
      <c r="J772">
        <v>1.9</v>
      </c>
      <c r="K772" t="str">
        <f>IF(Table1_1[[#This Row],[Quantity Sold]]&gt;=3,"BULK ORDER","REGULAR ORDER")</f>
        <v>REGULAR ORDER</v>
      </c>
      <c r="L772" t="str">
        <f>IF(Table1_1[[#This Row],[Customer Rating]]&gt;=4.5,"EXCELLENT",IF(Table1_1[[#This Row],[Customer Rating]]&lt;=4,"GOOD","AVERAGE"))</f>
        <v>GOOD</v>
      </c>
    </row>
    <row r="773" spans="1:12" x14ac:dyDescent="0.3">
      <c r="A773" t="s">
        <v>454</v>
      </c>
      <c r="B773" t="s">
        <v>1058</v>
      </c>
      <c r="C773" t="s">
        <v>1057</v>
      </c>
      <c r="D773">
        <v>40031.86</v>
      </c>
      <c r="E773">
        <v>2</v>
      </c>
      <c r="F773">
        <f>SUM(Table1_1[[#This Row],[Price (INR)]]*Table1_1[[#This Row],[Quantity Sold]])</f>
        <v>80063.72</v>
      </c>
      <c r="G773">
        <v>80063.72</v>
      </c>
      <c r="H773" s="1">
        <v>45642</v>
      </c>
      <c r="I773" t="s">
        <v>42</v>
      </c>
      <c r="J773">
        <v>1.9</v>
      </c>
      <c r="K773" t="str">
        <f>IF(Table1_1[[#This Row],[Quantity Sold]]&gt;=3,"BULK ORDER","REGULAR ORDER")</f>
        <v>REGULAR ORDER</v>
      </c>
      <c r="L773" t="str">
        <f>IF(Table1_1[[#This Row],[Customer Rating]]&gt;=4.5,"EXCELLENT",IF(Table1_1[[#This Row],[Customer Rating]]&lt;=4,"GOOD","AVERAGE"))</f>
        <v>GOOD</v>
      </c>
    </row>
    <row r="774" spans="1:12" x14ac:dyDescent="0.3">
      <c r="A774" t="s">
        <v>536</v>
      </c>
      <c r="B774" t="s">
        <v>1073</v>
      </c>
      <c r="C774" t="s">
        <v>1053</v>
      </c>
      <c r="D774">
        <v>4869.5600000000004</v>
      </c>
      <c r="E774">
        <v>1</v>
      </c>
      <c r="F774">
        <f>SUM(Table1_1[[#This Row],[Price (INR)]]*Table1_1[[#This Row],[Quantity Sold]])</f>
        <v>4869.5600000000004</v>
      </c>
      <c r="G774">
        <v>4869.5600000000004</v>
      </c>
      <c r="H774" s="1">
        <v>45386</v>
      </c>
      <c r="I774" t="s">
        <v>16</v>
      </c>
      <c r="J774">
        <v>1.9</v>
      </c>
      <c r="K774" t="str">
        <f>IF(Table1_1[[#This Row],[Quantity Sold]]&gt;=3,"BULK ORDER","REGULAR ORDER")</f>
        <v>REGULAR ORDER</v>
      </c>
      <c r="L774" t="str">
        <f>IF(Table1_1[[#This Row],[Customer Rating]]&gt;=4.5,"EXCELLENT",IF(Table1_1[[#This Row],[Customer Rating]]&lt;=4,"GOOD","AVERAGE"))</f>
        <v>GOOD</v>
      </c>
    </row>
    <row r="775" spans="1:12" x14ac:dyDescent="0.3">
      <c r="A775" t="s">
        <v>568</v>
      </c>
      <c r="B775" t="s">
        <v>1074</v>
      </c>
      <c r="C775" t="s">
        <v>1055</v>
      </c>
      <c r="D775">
        <v>38689.699999999997</v>
      </c>
      <c r="E775">
        <v>3</v>
      </c>
      <c r="F775">
        <f>SUM(Table1_1[[#This Row],[Price (INR)]]*Table1_1[[#This Row],[Quantity Sold]])</f>
        <v>116069.09999999999</v>
      </c>
      <c r="G775">
        <v>116069.1</v>
      </c>
      <c r="H775" s="1">
        <v>45563</v>
      </c>
      <c r="I775" t="s">
        <v>1049</v>
      </c>
      <c r="J775">
        <v>1.9</v>
      </c>
      <c r="K775" t="str">
        <f>IF(Table1_1[[#This Row],[Quantity Sold]]&gt;=3,"BULK ORDER","REGULAR ORDER")</f>
        <v>BULK ORDER</v>
      </c>
      <c r="L775" t="str">
        <f>IF(Table1_1[[#This Row],[Customer Rating]]&gt;=4.5,"EXCELLENT",IF(Table1_1[[#This Row],[Customer Rating]]&lt;=4,"GOOD","AVERAGE"))</f>
        <v>GOOD</v>
      </c>
    </row>
    <row r="776" spans="1:12" x14ac:dyDescent="0.3">
      <c r="A776" t="s">
        <v>570</v>
      </c>
      <c r="B776" t="s">
        <v>1060</v>
      </c>
      <c r="C776" t="s">
        <v>1051</v>
      </c>
      <c r="D776">
        <v>12472.17</v>
      </c>
      <c r="E776">
        <v>5</v>
      </c>
      <c r="F776">
        <f>SUM(Table1_1[[#This Row],[Price (INR)]]*Table1_1[[#This Row],[Quantity Sold]])</f>
        <v>62360.85</v>
      </c>
      <c r="G776">
        <v>62360.85</v>
      </c>
      <c r="H776" s="1">
        <v>45405</v>
      </c>
      <c r="I776" t="s">
        <v>16</v>
      </c>
      <c r="J776">
        <v>1.9</v>
      </c>
      <c r="K776" t="str">
        <f>IF(Table1_1[[#This Row],[Quantity Sold]]&gt;=3,"BULK ORDER","REGULAR ORDER")</f>
        <v>BULK ORDER</v>
      </c>
      <c r="L776" t="str">
        <f>IF(Table1_1[[#This Row],[Customer Rating]]&gt;=4.5,"EXCELLENT",IF(Table1_1[[#This Row],[Customer Rating]]&lt;=4,"GOOD","AVERAGE"))</f>
        <v>GOOD</v>
      </c>
    </row>
    <row r="777" spans="1:12" x14ac:dyDescent="0.3">
      <c r="A777" t="s">
        <v>572</v>
      </c>
      <c r="B777" t="s">
        <v>1064</v>
      </c>
      <c r="C777" t="s">
        <v>1053</v>
      </c>
      <c r="D777">
        <v>32422.04</v>
      </c>
      <c r="E777">
        <v>5</v>
      </c>
      <c r="F777">
        <f>SUM(Table1_1[[#This Row],[Price (INR)]]*Table1_1[[#This Row],[Quantity Sold]])</f>
        <v>162110.20000000001</v>
      </c>
      <c r="G777">
        <v>162110.20000000001</v>
      </c>
      <c r="H777" s="1">
        <v>45340</v>
      </c>
      <c r="I777" t="s">
        <v>1071</v>
      </c>
      <c r="J777">
        <v>1.9</v>
      </c>
      <c r="K777" t="str">
        <f>IF(Table1_1[[#This Row],[Quantity Sold]]&gt;=3,"BULK ORDER","REGULAR ORDER")</f>
        <v>BULK ORDER</v>
      </c>
      <c r="L777" t="str">
        <f>IF(Table1_1[[#This Row],[Customer Rating]]&gt;=4.5,"EXCELLENT",IF(Table1_1[[#This Row],[Customer Rating]]&lt;=4,"GOOD","AVERAGE"))</f>
        <v>GOOD</v>
      </c>
    </row>
    <row r="778" spans="1:12" x14ac:dyDescent="0.3">
      <c r="A778" t="s">
        <v>634</v>
      </c>
      <c r="B778" t="s">
        <v>1060</v>
      </c>
      <c r="C778" t="s">
        <v>1051</v>
      </c>
      <c r="D778">
        <v>3126.9</v>
      </c>
      <c r="E778">
        <v>3</v>
      </c>
      <c r="F778">
        <f>SUM(Table1_1[[#This Row],[Price (INR)]]*Table1_1[[#This Row],[Quantity Sold]])</f>
        <v>9380.7000000000007</v>
      </c>
      <c r="G778">
        <v>9380.7000000000007</v>
      </c>
      <c r="H778" s="1">
        <v>45595</v>
      </c>
      <c r="I778" t="s">
        <v>42</v>
      </c>
      <c r="J778">
        <v>1.9</v>
      </c>
      <c r="K778" t="str">
        <f>IF(Table1_1[[#This Row],[Quantity Sold]]&gt;=3,"BULK ORDER","REGULAR ORDER")</f>
        <v>BULK ORDER</v>
      </c>
      <c r="L778" t="str">
        <f>IF(Table1_1[[#This Row],[Customer Rating]]&gt;=4.5,"EXCELLENT",IF(Table1_1[[#This Row],[Customer Rating]]&lt;=4,"GOOD","AVERAGE"))</f>
        <v>GOOD</v>
      </c>
    </row>
    <row r="779" spans="1:12" x14ac:dyDescent="0.3">
      <c r="A779" t="s">
        <v>644</v>
      </c>
      <c r="B779" t="s">
        <v>1063</v>
      </c>
      <c r="C779" t="s">
        <v>1055</v>
      </c>
      <c r="D779">
        <v>7289.72</v>
      </c>
      <c r="E779">
        <v>5</v>
      </c>
      <c r="F779">
        <f>SUM(Table1_1[[#This Row],[Price (INR)]]*Table1_1[[#This Row],[Quantity Sold]])</f>
        <v>36448.6</v>
      </c>
      <c r="G779">
        <v>36448.6</v>
      </c>
      <c r="H779" s="1">
        <v>45441</v>
      </c>
      <c r="I779" t="s">
        <v>1059</v>
      </c>
      <c r="J779">
        <v>1.9</v>
      </c>
      <c r="K779" t="str">
        <f>IF(Table1_1[[#This Row],[Quantity Sold]]&gt;=3,"BULK ORDER","REGULAR ORDER")</f>
        <v>BULK ORDER</v>
      </c>
      <c r="L779" t="str">
        <f>IF(Table1_1[[#This Row],[Customer Rating]]&gt;=4.5,"EXCELLENT",IF(Table1_1[[#This Row],[Customer Rating]]&lt;=4,"GOOD","AVERAGE"))</f>
        <v>GOOD</v>
      </c>
    </row>
    <row r="780" spans="1:12" x14ac:dyDescent="0.3">
      <c r="A780" t="s">
        <v>650</v>
      </c>
      <c r="B780" t="s">
        <v>1056</v>
      </c>
      <c r="C780" t="s">
        <v>1057</v>
      </c>
      <c r="D780">
        <v>43149.24</v>
      </c>
      <c r="E780">
        <v>1</v>
      </c>
      <c r="F780">
        <f>SUM(Table1_1[[#This Row],[Price (INR)]]*Table1_1[[#This Row],[Quantity Sold]])</f>
        <v>43149.24</v>
      </c>
      <c r="G780">
        <v>43149.24</v>
      </c>
      <c r="H780" s="1">
        <v>45479</v>
      </c>
      <c r="I780" t="s">
        <v>16</v>
      </c>
      <c r="J780">
        <v>1.9</v>
      </c>
      <c r="K780" t="str">
        <f>IF(Table1_1[[#This Row],[Quantity Sold]]&gt;=3,"BULK ORDER","REGULAR ORDER")</f>
        <v>REGULAR ORDER</v>
      </c>
      <c r="L780" t="str">
        <f>IF(Table1_1[[#This Row],[Customer Rating]]&gt;=4.5,"EXCELLENT",IF(Table1_1[[#This Row],[Customer Rating]]&lt;=4,"GOOD","AVERAGE"))</f>
        <v>GOOD</v>
      </c>
    </row>
    <row r="781" spans="1:12" x14ac:dyDescent="0.3">
      <c r="A781" t="s">
        <v>669</v>
      </c>
      <c r="B781" t="s">
        <v>1050</v>
      </c>
      <c r="C781" t="s">
        <v>1051</v>
      </c>
      <c r="D781">
        <v>21064.01</v>
      </c>
      <c r="E781">
        <v>3</v>
      </c>
      <c r="F781">
        <f>SUM(Table1_1[[#This Row],[Price (INR)]]*Table1_1[[#This Row],[Quantity Sold]])</f>
        <v>63192.03</v>
      </c>
      <c r="G781">
        <v>63192.03</v>
      </c>
      <c r="H781" s="1">
        <v>45487</v>
      </c>
      <c r="I781" t="s">
        <v>1071</v>
      </c>
      <c r="J781">
        <v>1.9</v>
      </c>
      <c r="K781" t="str">
        <f>IF(Table1_1[[#This Row],[Quantity Sold]]&gt;=3,"BULK ORDER","REGULAR ORDER")</f>
        <v>BULK ORDER</v>
      </c>
      <c r="L781" t="str">
        <f>IF(Table1_1[[#This Row],[Customer Rating]]&gt;=4.5,"EXCELLENT",IF(Table1_1[[#This Row],[Customer Rating]]&lt;=4,"GOOD","AVERAGE"))</f>
        <v>GOOD</v>
      </c>
    </row>
    <row r="782" spans="1:12" x14ac:dyDescent="0.3">
      <c r="A782" t="s">
        <v>770</v>
      </c>
      <c r="B782" t="s">
        <v>1060</v>
      </c>
      <c r="C782" t="s">
        <v>1051</v>
      </c>
      <c r="D782">
        <v>48620.13</v>
      </c>
      <c r="E782">
        <v>4</v>
      </c>
      <c r="F782">
        <f>SUM(Table1_1[[#This Row],[Price (INR)]]*Table1_1[[#This Row],[Quantity Sold]])</f>
        <v>194480.52</v>
      </c>
      <c r="G782">
        <v>194480.52</v>
      </c>
      <c r="H782" s="1">
        <v>45494</v>
      </c>
      <c r="I782" t="s">
        <v>1049</v>
      </c>
      <c r="J782">
        <v>1.9</v>
      </c>
      <c r="K782" t="str">
        <f>IF(Table1_1[[#This Row],[Quantity Sold]]&gt;=3,"BULK ORDER","REGULAR ORDER")</f>
        <v>BULK ORDER</v>
      </c>
      <c r="L782" t="str">
        <f>IF(Table1_1[[#This Row],[Customer Rating]]&gt;=4.5,"EXCELLENT",IF(Table1_1[[#This Row],[Customer Rating]]&lt;=4,"GOOD","AVERAGE"))</f>
        <v>GOOD</v>
      </c>
    </row>
    <row r="783" spans="1:12" x14ac:dyDescent="0.3">
      <c r="A783" t="s">
        <v>798</v>
      </c>
      <c r="B783" t="s">
        <v>1065</v>
      </c>
      <c r="C783" t="s">
        <v>1053</v>
      </c>
      <c r="D783">
        <v>12930.46</v>
      </c>
      <c r="E783">
        <v>4</v>
      </c>
      <c r="F783">
        <f>SUM(Table1_1[[#This Row],[Price (INR)]]*Table1_1[[#This Row],[Quantity Sold]])</f>
        <v>51721.84</v>
      </c>
      <c r="G783">
        <v>51721.84</v>
      </c>
      <c r="H783" s="1">
        <v>45656</v>
      </c>
      <c r="I783" t="s">
        <v>1071</v>
      </c>
      <c r="J783">
        <v>1.9</v>
      </c>
      <c r="K783" t="str">
        <f>IF(Table1_1[[#This Row],[Quantity Sold]]&gt;=3,"BULK ORDER","REGULAR ORDER")</f>
        <v>BULK ORDER</v>
      </c>
      <c r="L783" t="str">
        <f>IF(Table1_1[[#This Row],[Customer Rating]]&gt;=4.5,"EXCELLENT",IF(Table1_1[[#This Row],[Customer Rating]]&lt;=4,"GOOD","AVERAGE"))</f>
        <v>GOOD</v>
      </c>
    </row>
    <row r="784" spans="1:12" x14ac:dyDescent="0.3">
      <c r="A784" t="s">
        <v>805</v>
      </c>
      <c r="B784" t="s">
        <v>1079</v>
      </c>
      <c r="C784" t="s">
        <v>1057</v>
      </c>
      <c r="D784">
        <v>19693.93</v>
      </c>
      <c r="E784">
        <v>5</v>
      </c>
      <c r="F784">
        <f>SUM(Table1_1[[#This Row],[Price (INR)]]*Table1_1[[#This Row],[Quantity Sold]])</f>
        <v>98469.65</v>
      </c>
      <c r="G784">
        <v>98469.65</v>
      </c>
      <c r="H784" s="1">
        <v>45395</v>
      </c>
      <c r="I784" t="s">
        <v>1059</v>
      </c>
      <c r="J784">
        <v>1.9</v>
      </c>
      <c r="K784" t="str">
        <f>IF(Table1_1[[#This Row],[Quantity Sold]]&gt;=3,"BULK ORDER","REGULAR ORDER")</f>
        <v>BULK ORDER</v>
      </c>
      <c r="L784" t="str">
        <f>IF(Table1_1[[#This Row],[Customer Rating]]&gt;=4.5,"EXCELLENT",IF(Table1_1[[#This Row],[Customer Rating]]&lt;=4,"GOOD","AVERAGE"))</f>
        <v>GOOD</v>
      </c>
    </row>
    <row r="785" spans="1:12" x14ac:dyDescent="0.3">
      <c r="A785" t="s">
        <v>843</v>
      </c>
      <c r="B785" t="s">
        <v>1074</v>
      </c>
      <c r="C785" t="s">
        <v>1055</v>
      </c>
      <c r="D785">
        <v>12944.89</v>
      </c>
      <c r="E785">
        <v>2</v>
      </c>
      <c r="F785">
        <f>SUM(Table1_1[[#This Row],[Price (INR)]]*Table1_1[[#This Row],[Quantity Sold]])</f>
        <v>25889.78</v>
      </c>
      <c r="G785">
        <v>25889.78</v>
      </c>
      <c r="H785" s="1">
        <v>45392</v>
      </c>
      <c r="I785" t="s">
        <v>42</v>
      </c>
      <c r="J785">
        <v>1.9</v>
      </c>
      <c r="K785" t="str">
        <f>IF(Table1_1[[#This Row],[Quantity Sold]]&gt;=3,"BULK ORDER","REGULAR ORDER")</f>
        <v>REGULAR ORDER</v>
      </c>
      <c r="L785" t="str">
        <f>IF(Table1_1[[#This Row],[Customer Rating]]&gt;=4.5,"EXCELLENT",IF(Table1_1[[#This Row],[Customer Rating]]&lt;=4,"GOOD","AVERAGE"))</f>
        <v>GOOD</v>
      </c>
    </row>
    <row r="786" spans="1:12" x14ac:dyDescent="0.3">
      <c r="A786" t="s">
        <v>866</v>
      </c>
      <c r="B786" t="s">
        <v>1074</v>
      </c>
      <c r="C786" t="s">
        <v>1055</v>
      </c>
      <c r="D786">
        <v>20754.919999999998</v>
      </c>
      <c r="E786">
        <v>3</v>
      </c>
      <c r="F786">
        <f>SUM(Table1_1[[#This Row],[Price (INR)]]*Table1_1[[#This Row],[Quantity Sold]])</f>
        <v>62264.759999999995</v>
      </c>
      <c r="G786">
        <v>62264.76</v>
      </c>
      <c r="H786" s="1">
        <v>45514</v>
      </c>
      <c r="I786" t="s">
        <v>1049</v>
      </c>
      <c r="J786">
        <v>1.9</v>
      </c>
      <c r="K786" t="str">
        <f>IF(Table1_1[[#This Row],[Quantity Sold]]&gt;=3,"BULK ORDER","REGULAR ORDER")</f>
        <v>BULK ORDER</v>
      </c>
      <c r="L786" t="str">
        <f>IF(Table1_1[[#This Row],[Customer Rating]]&gt;=4.5,"EXCELLENT",IF(Table1_1[[#This Row],[Customer Rating]]&lt;=4,"GOOD","AVERAGE"))</f>
        <v>GOOD</v>
      </c>
    </row>
    <row r="787" spans="1:12" x14ac:dyDescent="0.3">
      <c r="A787" t="s">
        <v>915</v>
      </c>
      <c r="B787" t="s">
        <v>1061</v>
      </c>
      <c r="C787" t="s">
        <v>1057</v>
      </c>
      <c r="D787">
        <v>36930.76</v>
      </c>
      <c r="E787">
        <v>2</v>
      </c>
      <c r="F787">
        <f>SUM(Table1_1[[#This Row],[Price (INR)]]*Table1_1[[#This Row],[Quantity Sold]])</f>
        <v>73861.52</v>
      </c>
      <c r="G787">
        <v>73861.52</v>
      </c>
      <c r="H787" s="1">
        <v>45427</v>
      </c>
      <c r="I787" t="s">
        <v>1049</v>
      </c>
      <c r="J787">
        <v>1.9</v>
      </c>
      <c r="K787" t="str">
        <f>IF(Table1_1[[#This Row],[Quantity Sold]]&gt;=3,"BULK ORDER","REGULAR ORDER")</f>
        <v>REGULAR ORDER</v>
      </c>
      <c r="L787" t="str">
        <f>IF(Table1_1[[#This Row],[Customer Rating]]&gt;=4.5,"EXCELLENT",IF(Table1_1[[#This Row],[Customer Rating]]&lt;=4,"GOOD","AVERAGE"))</f>
        <v>GOOD</v>
      </c>
    </row>
    <row r="788" spans="1:12" x14ac:dyDescent="0.3">
      <c r="A788" t="s">
        <v>921</v>
      </c>
      <c r="B788" t="s">
        <v>1073</v>
      </c>
      <c r="C788" t="s">
        <v>1053</v>
      </c>
      <c r="D788">
        <v>21112.13</v>
      </c>
      <c r="E788">
        <v>3</v>
      </c>
      <c r="F788">
        <f>SUM(Table1_1[[#This Row],[Price (INR)]]*Table1_1[[#This Row],[Quantity Sold]])</f>
        <v>63336.39</v>
      </c>
      <c r="G788">
        <v>63336.39</v>
      </c>
      <c r="H788" s="1">
        <v>45526</v>
      </c>
      <c r="I788" t="s">
        <v>16</v>
      </c>
      <c r="J788">
        <v>1.9</v>
      </c>
      <c r="K788" t="str">
        <f>IF(Table1_1[[#This Row],[Quantity Sold]]&gt;=3,"BULK ORDER","REGULAR ORDER")</f>
        <v>BULK ORDER</v>
      </c>
      <c r="L788" t="str">
        <f>IF(Table1_1[[#This Row],[Customer Rating]]&gt;=4.5,"EXCELLENT",IF(Table1_1[[#This Row],[Customer Rating]]&lt;=4,"GOOD","AVERAGE"))</f>
        <v>GOOD</v>
      </c>
    </row>
    <row r="789" spans="1:12" x14ac:dyDescent="0.3">
      <c r="A789" t="s">
        <v>922</v>
      </c>
      <c r="B789" t="s">
        <v>1065</v>
      </c>
      <c r="C789" t="s">
        <v>1053</v>
      </c>
      <c r="D789">
        <v>13061.91</v>
      </c>
      <c r="E789">
        <v>5</v>
      </c>
      <c r="F789">
        <f>SUM(Table1_1[[#This Row],[Price (INR)]]*Table1_1[[#This Row],[Quantity Sold]])</f>
        <v>65309.55</v>
      </c>
      <c r="G789">
        <v>65309.55</v>
      </c>
      <c r="H789" s="1">
        <v>45589</v>
      </c>
      <c r="I789" t="s">
        <v>1049</v>
      </c>
      <c r="J789">
        <v>1.9</v>
      </c>
      <c r="K789" t="str">
        <f>IF(Table1_1[[#This Row],[Quantity Sold]]&gt;=3,"BULK ORDER","REGULAR ORDER")</f>
        <v>BULK ORDER</v>
      </c>
      <c r="L789" t="str">
        <f>IF(Table1_1[[#This Row],[Customer Rating]]&gt;=4.5,"EXCELLENT",IF(Table1_1[[#This Row],[Customer Rating]]&lt;=4,"GOOD","AVERAGE"))</f>
        <v>GOOD</v>
      </c>
    </row>
    <row r="790" spans="1:12" x14ac:dyDescent="0.3">
      <c r="A790" t="s">
        <v>928</v>
      </c>
      <c r="B790" t="s">
        <v>1069</v>
      </c>
      <c r="C790" t="s">
        <v>1048</v>
      </c>
      <c r="D790">
        <v>17194.75</v>
      </c>
      <c r="E790">
        <v>3</v>
      </c>
      <c r="F790">
        <f>SUM(Table1_1[[#This Row],[Price (INR)]]*Table1_1[[#This Row],[Quantity Sold]])</f>
        <v>51584.25</v>
      </c>
      <c r="G790">
        <v>51584.25</v>
      </c>
      <c r="H790" s="1">
        <v>45427</v>
      </c>
      <c r="I790" t="s">
        <v>1059</v>
      </c>
      <c r="J790">
        <v>1.9</v>
      </c>
      <c r="K790" t="str">
        <f>IF(Table1_1[[#This Row],[Quantity Sold]]&gt;=3,"BULK ORDER","REGULAR ORDER")</f>
        <v>BULK ORDER</v>
      </c>
      <c r="L790" t="str">
        <f>IF(Table1_1[[#This Row],[Customer Rating]]&gt;=4.5,"EXCELLENT",IF(Table1_1[[#This Row],[Customer Rating]]&lt;=4,"GOOD","AVERAGE"))</f>
        <v>GOOD</v>
      </c>
    </row>
    <row r="791" spans="1:12" x14ac:dyDescent="0.3">
      <c r="A791" t="s">
        <v>994</v>
      </c>
      <c r="B791" t="s">
        <v>1066</v>
      </c>
      <c r="C791" t="s">
        <v>1055</v>
      </c>
      <c r="D791">
        <v>8234.32</v>
      </c>
      <c r="E791">
        <v>2</v>
      </c>
      <c r="F791">
        <f>SUM(Table1_1[[#This Row],[Price (INR)]]*Table1_1[[#This Row],[Quantity Sold]])</f>
        <v>16468.64</v>
      </c>
      <c r="G791">
        <v>16468.64</v>
      </c>
      <c r="H791" s="1">
        <v>45445</v>
      </c>
      <c r="I791" t="s">
        <v>1049</v>
      </c>
      <c r="J791">
        <v>1.9</v>
      </c>
      <c r="K791" t="str">
        <f>IF(Table1_1[[#This Row],[Quantity Sold]]&gt;=3,"BULK ORDER","REGULAR ORDER")</f>
        <v>REGULAR ORDER</v>
      </c>
      <c r="L791" t="str">
        <f>IF(Table1_1[[#This Row],[Customer Rating]]&gt;=4.5,"EXCELLENT",IF(Table1_1[[#This Row],[Customer Rating]]&lt;=4,"GOOD","AVERAGE"))</f>
        <v>GOOD</v>
      </c>
    </row>
    <row r="792" spans="1:12" x14ac:dyDescent="0.3">
      <c r="A792" t="s">
        <v>1019</v>
      </c>
      <c r="B792" t="s">
        <v>1077</v>
      </c>
      <c r="C792" t="s">
        <v>1048</v>
      </c>
      <c r="D792">
        <v>43163.16</v>
      </c>
      <c r="E792">
        <v>2</v>
      </c>
      <c r="F792">
        <f>SUM(Table1_1[[#This Row],[Price (INR)]]*Table1_1[[#This Row],[Quantity Sold]])</f>
        <v>86326.32</v>
      </c>
      <c r="G792">
        <v>86326.32</v>
      </c>
      <c r="H792" s="1">
        <v>45635</v>
      </c>
      <c r="I792" t="s">
        <v>1049</v>
      </c>
      <c r="J792">
        <v>1.9</v>
      </c>
      <c r="K792" t="str">
        <f>IF(Table1_1[[#This Row],[Quantity Sold]]&gt;=3,"BULK ORDER","REGULAR ORDER")</f>
        <v>REGULAR ORDER</v>
      </c>
      <c r="L792" t="str">
        <f>IF(Table1_1[[#This Row],[Customer Rating]]&gt;=4.5,"EXCELLENT",IF(Table1_1[[#This Row],[Customer Rating]]&lt;=4,"GOOD","AVERAGE"))</f>
        <v>GOOD</v>
      </c>
    </row>
    <row r="793" spans="1:12" x14ac:dyDescent="0.3">
      <c r="A793" t="s">
        <v>1029</v>
      </c>
      <c r="B793" t="s">
        <v>1050</v>
      </c>
      <c r="C793" t="s">
        <v>1051</v>
      </c>
      <c r="D793">
        <v>40905.69</v>
      </c>
      <c r="E793">
        <v>5</v>
      </c>
      <c r="F793">
        <f>SUM(Table1_1[[#This Row],[Price (INR)]]*Table1_1[[#This Row],[Quantity Sold]])</f>
        <v>204528.45</v>
      </c>
      <c r="G793">
        <v>204528.45</v>
      </c>
      <c r="H793" s="1">
        <v>45684</v>
      </c>
      <c r="I793" t="s">
        <v>42</v>
      </c>
      <c r="J793">
        <v>1.9</v>
      </c>
      <c r="K793" t="str">
        <f>IF(Table1_1[[#This Row],[Quantity Sold]]&gt;=3,"BULK ORDER","REGULAR ORDER")</f>
        <v>BULK ORDER</v>
      </c>
      <c r="L793" t="str">
        <f>IF(Table1_1[[#This Row],[Customer Rating]]&gt;=4.5,"EXCELLENT",IF(Table1_1[[#This Row],[Customer Rating]]&lt;=4,"GOOD","AVERAGE"))</f>
        <v>GOOD</v>
      </c>
    </row>
    <row r="794" spans="1:12" x14ac:dyDescent="0.3">
      <c r="A794" t="s">
        <v>114</v>
      </c>
      <c r="B794" t="s">
        <v>1063</v>
      </c>
      <c r="C794" t="s">
        <v>1055</v>
      </c>
      <c r="D794">
        <v>9083.5</v>
      </c>
      <c r="E794">
        <v>2</v>
      </c>
      <c r="F794">
        <f>SUM(Table1_1[[#This Row],[Price (INR)]]*Table1_1[[#This Row],[Quantity Sold]])</f>
        <v>18167</v>
      </c>
      <c r="G794">
        <v>18167</v>
      </c>
      <c r="H794" s="1">
        <v>45478</v>
      </c>
      <c r="I794" t="s">
        <v>16</v>
      </c>
      <c r="J794">
        <v>1.8</v>
      </c>
      <c r="K794" t="str">
        <f>IF(Table1_1[[#This Row],[Quantity Sold]]&gt;=3,"BULK ORDER","REGULAR ORDER")</f>
        <v>REGULAR ORDER</v>
      </c>
      <c r="L794" t="str">
        <f>IF(Table1_1[[#This Row],[Customer Rating]]&gt;=4.5,"EXCELLENT",IF(Table1_1[[#This Row],[Customer Rating]]&lt;=4,"GOOD","AVERAGE"))</f>
        <v>GOOD</v>
      </c>
    </row>
    <row r="795" spans="1:12" x14ac:dyDescent="0.3">
      <c r="A795" t="s">
        <v>175</v>
      </c>
      <c r="B795" t="s">
        <v>1074</v>
      </c>
      <c r="C795" t="s">
        <v>1055</v>
      </c>
      <c r="D795">
        <v>30374.400000000001</v>
      </c>
      <c r="E795">
        <v>5</v>
      </c>
      <c r="F795">
        <f>SUM(Table1_1[[#This Row],[Price (INR)]]*Table1_1[[#This Row],[Quantity Sold]])</f>
        <v>151872</v>
      </c>
      <c r="G795">
        <v>151872</v>
      </c>
      <c r="H795" s="1">
        <v>45668</v>
      </c>
      <c r="I795" t="s">
        <v>1071</v>
      </c>
      <c r="J795">
        <v>1.8</v>
      </c>
      <c r="K795" t="str">
        <f>IF(Table1_1[[#This Row],[Quantity Sold]]&gt;=3,"BULK ORDER","REGULAR ORDER")</f>
        <v>BULK ORDER</v>
      </c>
      <c r="L795" t="str">
        <f>IF(Table1_1[[#This Row],[Customer Rating]]&gt;=4.5,"EXCELLENT",IF(Table1_1[[#This Row],[Customer Rating]]&lt;=4,"GOOD","AVERAGE"))</f>
        <v>GOOD</v>
      </c>
    </row>
    <row r="796" spans="1:12" x14ac:dyDescent="0.3">
      <c r="A796" t="s">
        <v>239</v>
      </c>
      <c r="B796" t="s">
        <v>1052</v>
      </c>
      <c r="C796" t="s">
        <v>1053</v>
      </c>
      <c r="D796">
        <v>37494.129999999997</v>
      </c>
      <c r="E796">
        <v>5</v>
      </c>
      <c r="F796">
        <f>SUM(Table1_1[[#This Row],[Price (INR)]]*Table1_1[[#This Row],[Quantity Sold]])</f>
        <v>187470.65</v>
      </c>
      <c r="G796">
        <v>187470.65</v>
      </c>
      <c r="H796" s="1">
        <v>45566</v>
      </c>
      <c r="I796" t="s">
        <v>42</v>
      </c>
      <c r="J796">
        <v>1.8</v>
      </c>
      <c r="K796" t="str">
        <f>IF(Table1_1[[#This Row],[Quantity Sold]]&gt;=3,"BULK ORDER","REGULAR ORDER")</f>
        <v>BULK ORDER</v>
      </c>
      <c r="L796" t="str">
        <f>IF(Table1_1[[#This Row],[Customer Rating]]&gt;=4.5,"EXCELLENT",IF(Table1_1[[#This Row],[Customer Rating]]&lt;=4,"GOOD","AVERAGE"))</f>
        <v>GOOD</v>
      </c>
    </row>
    <row r="797" spans="1:12" x14ac:dyDescent="0.3">
      <c r="A797" t="s">
        <v>267</v>
      </c>
      <c r="B797" t="s">
        <v>1073</v>
      </c>
      <c r="C797" t="s">
        <v>1053</v>
      </c>
      <c r="D797">
        <v>27627.84</v>
      </c>
      <c r="E797">
        <v>4</v>
      </c>
      <c r="F797">
        <f>SUM(Table1_1[[#This Row],[Price (INR)]]*Table1_1[[#This Row],[Quantity Sold]])</f>
        <v>110511.36</v>
      </c>
      <c r="G797">
        <v>110511.36</v>
      </c>
      <c r="H797" s="1">
        <v>45381</v>
      </c>
      <c r="I797" t="s">
        <v>16</v>
      </c>
      <c r="J797">
        <v>1.8</v>
      </c>
      <c r="K797" t="str">
        <f>IF(Table1_1[[#This Row],[Quantity Sold]]&gt;=3,"BULK ORDER","REGULAR ORDER")</f>
        <v>BULK ORDER</v>
      </c>
      <c r="L797" t="str">
        <f>IF(Table1_1[[#This Row],[Customer Rating]]&gt;=4.5,"EXCELLENT",IF(Table1_1[[#This Row],[Customer Rating]]&lt;=4,"GOOD","AVERAGE"))</f>
        <v>GOOD</v>
      </c>
    </row>
    <row r="798" spans="1:12" x14ac:dyDescent="0.3">
      <c r="A798" t="s">
        <v>273</v>
      </c>
      <c r="B798" t="s">
        <v>1064</v>
      </c>
      <c r="C798" t="s">
        <v>1053</v>
      </c>
      <c r="D798">
        <v>34621.21</v>
      </c>
      <c r="E798">
        <v>2</v>
      </c>
      <c r="F798">
        <f>SUM(Table1_1[[#This Row],[Price (INR)]]*Table1_1[[#This Row],[Quantity Sold]])</f>
        <v>69242.42</v>
      </c>
      <c r="G798">
        <v>69242.42</v>
      </c>
      <c r="H798" s="1">
        <v>45663</v>
      </c>
      <c r="I798" t="s">
        <v>1059</v>
      </c>
      <c r="J798">
        <v>1.8</v>
      </c>
      <c r="K798" t="str">
        <f>IF(Table1_1[[#This Row],[Quantity Sold]]&gt;=3,"BULK ORDER","REGULAR ORDER")</f>
        <v>REGULAR ORDER</v>
      </c>
      <c r="L798" t="str">
        <f>IF(Table1_1[[#This Row],[Customer Rating]]&gt;=4.5,"EXCELLENT",IF(Table1_1[[#This Row],[Customer Rating]]&lt;=4,"GOOD","AVERAGE"))</f>
        <v>GOOD</v>
      </c>
    </row>
    <row r="799" spans="1:12" x14ac:dyDescent="0.3">
      <c r="A799" t="s">
        <v>279</v>
      </c>
      <c r="B799" t="s">
        <v>1076</v>
      </c>
      <c r="C799" t="s">
        <v>1055</v>
      </c>
      <c r="D799">
        <v>42981.89</v>
      </c>
      <c r="E799">
        <v>5</v>
      </c>
      <c r="F799">
        <f>SUM(Table1_1[[#This Row],[Price (INR)]]*Table1_1[[#This Row],[Quantity Sold]])</f>
        <v>214909.45</v>
      </c>
      <c r="G799">
        <v>214909.45</v>
      </c>
      <c r="H799" s="1">
        <v>45659</v>
      </c>
      <c r="I799" t="s">
        <v>1068</v>
      </c>
      <c r="J799">
        <v>1.8</v>
      </c>
      <c r="K799" t="str">
        <f>IF(Table1_1[[#This Row],[Quantity Sold]]&gt;=3,"BULK ORDER","REGULAR ORDER")</f>
        <v>BULK ORDER</v>
      </c>
      <c r="L799" t="str">
        <f>IF(Table1_1[[#This Row],[Customer Rating]]&gt;=4.5,"EXCELLENT",IF(Table1_1[[#This Row],[Customer Rating]]&lt;=4,"GOOD","AVERAGE"))</f>
        <v>GOOD</v>
      </c>
    </row>
    <row r="800" spans="1:12" x14ac:dyDescent="0.3">
      <c r="A800" t="s">
        <v>296</v>
      </c>
      <c r="B800" t="s">
        <v>1047</v>
      </c>
      <c r="C800" t="s">
        <v>1048</v>
      </c>
      <c r="D800">
        <v>37590.44</v>
      </c>
      <c r="E800">
        <v>4</v>
      </c>
      <c r="F800">
        <f>SUM(Table1_1[[#This Row],[Price (INR)]]*Table1_1[[#This Row],[Quantity Sold]])</f>
        <v>150361.76</v>
      </c>
      <c r="G800">
        <v>150361.76</v>
      </c>
      <c r="H800" s="1">
        <v>45379</v>
      </c>
      <c r="I800" t="s">
        <v>1059</v>
      </c>
      <c r="J800">
        <v>1.8</v>
      </c>
      <c r="K800" t="str">
        <f>IF(Table1_1[[#This Row],[Quantity Sold]]&gt;=3,"BULK ORDER","REGULAR ORDER")</f>
        <v>BULK ORDER</v>
      </c>
      <c r="L800" t="str">
        <f>IF(Table1_1[[#This Row],[Customer Rating]]&gt;=4.5,"EXCELLENT",IF(Table1_1[[#This Row],[Customer Rating]]&lt;=4,"GOOD","AVERAGE"))</f>
        <v>GOOD</v>
      </c>
    </row>
    <row r="801" spans="1:12" x14ac:dyDescent="0.3">
      <c r="A801" t="s">
        <v>346</v>
      </c>
      <c r="B801" t="s">
        <v>1052</v>
      </c>
      <c r="C801" t="s">
        <v>1053</v>
      </c>
      <c r="D801">
        <v>48234.31</v>
      </c>
      <c r="E801">
        <v>2</v>
      </c>
      <c r="F801">
        <f>SUM(Table1_1[[#This Row],[Price (INR)]]*Table1_1[[#This Row],[Quantity Sold]])</f>
        <v>96468.62</v>
      </c>
      <c r="G801">
        <v>96468.62</v>
      </c>
      <c r="H801" s="1">
        <v>45481</v>
      </c>
      <c r="I801" t="s">
        <v>1049</v>
      </c>
      <c r="J801">
        <v>1.8</v>
      </c>
      <c r="K801" t="str">
        <f>IF(Table1_1[[#This Row],[Quantity Sold]]&gt;=3,"BULK ORDER","REGULAR ORDER")</f>
        <v>REGULAR ORDER</v>
      </c>
      <c r="L801" t="str">
        <f>IF(Table1_1[[#This Row],[Customer Rating]]&gt;=4.5,"EXCELLENT",IF(Table1_1[[#This Row],[Customer Rating]]&lt;=4,"GOOD","AVERAGE"))</f>
        <v>GOOD</v>
      </c>
    </row>
    <row r="802" spans="1:12" x14ac:dyDescent="0.3">
      <c r="A802" t="s">
        <v>350</v>
      </c>
      <c r="B802" t="s">
        <v>1061</v>
      </c>
      <c r="C802" t="s">
        <v>1057</v>
      </c>
      <c r="D802">
        <v>42516.65</v>
      </c>
      <c r="E802">
        <v>3</v>
      </c>
      <c r="F802">
        <f>SUM(Table1_1[[#This Row],[Price (INR)]]*Table1_1[[#This Row],[Quantity Sold]])</f>
        <v>127549.95000000001</v>
      </c>
      <c r="G802">
        <v>127549.95</v>
      </c>
      <c r="H802" s="1">
        <v>45410</v>
      </c>
      <c r="I802" t="s">
        <v>1071</v>
      </c>
      <c r="J802">
        <v>1.8</v>
      </c>
      <c r="K802" t="str">
        <f>IF(Table1_1[[#This Row],[Quantity Sold]]&gt;=3,"BULK ORDER","REGULAR ORDER")</f>
        <v>BULK ORDER</v>
      </c>
      <c r="L802" t="str">
        <f>IF(Table1_1[[#This Row],[Customer Rating]]&gt;=4.5,"EXCELLENT",IF(Table1_1[[#This Row],[Customer Rating]]&lt;=4,"GOOD","AVERAGE"))</f>
        <v>GOOD</v>
      </c>
    </row>
    <row r="803" spans="1:12" x14ac:dyDescent="0.3">
      <c r="A803" t="s">
        <v>361</v>
      </c>
      <c r="B803" t="s">
        <v>1069</v>
      </c>
      <c r="C803" t="s">
        <v>1048</v>
      </c>
      <c r="D803">
        <v>11527.7</v>
      </c>
      <c r="E803">
        <v>3</v>
      </c>
      <c r="F803">
        <f>SUM(Table1_1[[#This Row],[Price (INR)]]*Table1_1[[#This Row],[Quantity Sold]])</f>
        <v>34583.100000000006</v>
      </c>
      <c r="G803">
        <v>34583.1</v>
      </c>
      <c r="H803" s="1">
        <v>45626</v>
      </c>
      <c r="I803" t="s">
        <v>1071</v>
      </c>
      <c r="J803">
        <v>1.8</v>
      </c>
      <c r="K803" t="str">
        <f>IF(Table1_1[[#This Row],[Quantity Sold]]&gt;=3,"BULK ORDER","REGULAR ORDER")</f>
        <v>BULK ORDER</v>
      </c>
      <c r="L803" t="str">
        <f>IF(Table1_1[[#This Row],[Customer Rating]]&gt;=4.5,"EXCELLENT",IF(Table1_1[[#This Row],[Customer Rating]]&lt;=4,"GOOD","AVERAGE"))</f>
        <v>GOOD</v>
      </c>
    </row>
    <row r="804" spans="1:12" x14ac:dyDescent="0.3">
      <c r="A804" t="s">
        <v>366</v>
      </c>
      <c r="B804" t="s">
        <v>1066</v>
      </c>
      <c r="C804" t="s">
        <v>1055</v>
      </c>
      <c r="D804">
        <v>39898.86</v>
      </c>
      <c r="E804">
        <v>1</v>
      </c>
      <c r="F804">
        <f>SUM(Table1_1[[#This Row],[Price (INR)]]*Table1_1[[#This Row],[Quantity Sold]])</f>
        <v>39898.86</v>
      </c>
      <c r="G804">
        <v>39898.86</v>
      </c>
      <c r="H804" s="1">
        <v>45446</v>
      </c>
      <c r="I804" t="s">
        <v>1059</v>
      </c>
      <c r="J804">
        <v>1.8</v>
      </c>
      <c r="K804" t="str">
        <f>IF(Table1_1[[#This Row],[Quantity Sold]]&gt;=3,"BULK ORDER","REGULAR ORDER")</f>
        <v>REGULAR ORDER</v>
      </c>
      <c r="L804" t="str">
        <f>IF(Table1_1[[#This Row],[Customer Rating]]&gt;=4.5,"EXCELLENT",IF(Table1_1[[#This Row],[Customer Rating]]&lt;=4,"GOOD","AVERAGE"))</f>
        <v>GOOD</v>
      </c>
    </row>
    <row r="805" spans="1:12" x14ac:dyDescent="0.3">
      <c r="A805" t="s">
        <v>606</v>
      </c>
      <c r="B805" t="s">
        <v>1050</v>
      </c>
      <c r="C805" t="s">
        <v>1051</v>
      </c>
      <c r="D805">
        <v>37503.57</v>
      </c>
      <c r="E805">
        <v>4</v>
      </c>
      <c r="F805">
        <f>SUM(Table1_1[[#This Row],[Price (INR)]]*Table1_1[[#This Row],[Quantity Sold]])</f>
        <v>150014.28</v>
      </c>
      <c r="G805">
        <v>150014.28</v>
      </c>
      <c r="H805" s="1">
        <v>45385</v>
      </c>
      <c r="I805" t="s">
        <v>42</v>
      </c>
      <c r="J805">
        <v>1.8</v>
      </c>
      <c r="K805" t="str">
        <f>IF(Table1_1[[#This Row],[Quantity Sold]]&gt;=3,"BULK ORDER","REGULAR ORDER")</f>
        <v>BULK ORDER</v>
      </c>
      <c r="L805" t="str">
        <f>IF(Table1_1[[#This Row],[Customer Rating]]&gt;=4.5,"EXCELLENT",IF(Table1_1[[#This Row],[Customer Rating]]&lt;=4,"GOOD","AVERAGE"))</f>
        <v>GOOD</v>
      </c>
    </row>
    <row r="806" spans="1:12" x14ac:dyDescent="0.3">
      <c r="A806" t="s">
        <v>632</v>
      </c>
      <c r="B806" t="s">
        <v>1050</v>
      </c>
      <c r="C806" t="s">
        <v>1051</v>
      </c>
      <c r="D806">
        <v>47535.79</v>
      </c>
      <c r="E806">
        <v>5</v>
      </c>
      <c r="F806">
        <f>SUM(Table1_1[[#This Row],[Price (INR)]]*Table1_1[[#This Row],[Quantity Sold]])</f>
        <v>237678.95</v>
      </c>
      <c r="G806">
        <v>237678.95</v>
      </c>
      <c r="H806" s="1">
        <v>45337</v>
      </c>
      <c r="I806" t="s">
        <v>1049</v>
      </c>
      <c r="J806">
        <v>1.8</v>
      </c>
      <c r="K806" t="str">
        <f>IF(Table1_1[[#This Row],[Quantity Sold]]&gt;=3,"BULK ORDER","REGULAR ORDER")</f>
        <v>BULK ORDER</v>
      </c>
      <c r="L806" t="str">
        <f>IF(Table1_1[[#This Row],[Customer Rating]]&gt;=4.5,"EXCELLENT",IF(Table1_1[[#This Row],[Customer Rating]]&lt;=4,"GOOD","AVERAGE"))</f>
        <v>GOOD</v>
      </c>
    </row>
    <row r="807" spans="1:12" x14ac:dyDescent="0.3">
      <c r="A807" t="s">
        <v>671</v>
      </c>
      <c r="B807" t="s">
        <v>1054</v>
      </c>
      <c r="C807" t="s">
        <v>1055</v>
      </c>
      <c r="D807">
        <v>27897.4</v>
      </c>
      <c r="E807">
        <v>2</v>
      </c>
      <c r="F807">
        <f>SUM(Table1_1[[#This Row],[Price (INR)]]*Table1_1[[#This Row],[Quantity Sold]])</f>
        <v>55794.8</v>
      </c>
      <c r="G807">
        <v>55794.8</v>
      </c>
      <c r="H807" s="1">
        <v>45601</v>
      </c>
      <c r="I807" t="s">
        <v>42</v>
      </c>
      <c r="J807">
        <v>1.8</v>
      </c>
      <c r="K807" t="str">
        <f>IF(Table1_1[[#This Row],[Quantity Sold]]&gt;=3,"BULK ORDER","REGULAR ORDER")</f>
        <v>REGULAR ORDER</v>
      </c>
      <c r="L807" t="str">
        <f>IF(Table1_1[[#This Row],[Customer Rating]]&gt;=4.5,"EXCELLENT",IF(Table1_1[[#This Row],[Customer Rating]]&lt;=4,"GOOD","AVERAGE"))</f>
        <v>GOOD</v>
      </c>
    </row>
    <row r="808" spans="1:12" x14ac:dyDescent="0.3">
      <c r="A808" t="s">
        <v>696</v>
      </c>
      <c r="B808" t="s">
        <v>1074</v>
      </c>
      <c r="C808" t="s">
        <v>1055</v>
      </c>
      <c r="D808">
        <v>2536.16</v>
      </c>
      <c r="E808">
        <v>5</v>
      </c>
      <c r="F808">
        <f>SUM(Table1_1[[#This Row],[Price (INR)]]*Table1_1[[#This Row],[Quantity Sold]])</f>
        <v>12680.8</v>
      </c>
      <c r="G808">
        <v>12680.8</v>
      </c>
      <c r="H808" s="1">
        <v>45430</v>
      </c>
      <c r="I808" t="s">
        <v>42</v>
      </c>
      <c r="J808">
        <v>1.8</v>
      </c>
      <c r="K808" t="str">
        <f>IF(Table1_1[[#This Row],[Quantity Sold]]&gt;=3,"BULK ORDER","REGULAR ORDER")</f>
        <v>BULK ORDER</v>
      </c>
      <c r="L808" t="str">
        <f>IF(Table1_1[[#This Row],[Customer Rating]]&gt;=4.5,"EXCELLENT",IF(Table1_1[[#This Row],[Customer Rating]]&lt;=4,"GOOD","AVERAGE"))</f>
        <v>GOOD</v>
      </c>
    </row>
    <row r="809" spans="1:12" x14ac:dyDescent="0.3">
      <c r="A809" t="s">
        <v>714</v>
      </c>
      <c r="B809" t="s">
        <v>1056</v>
      </c>
      <c r="C809" t="s">
        <v>1057</v>
      </c>
      <c r="D809">
        <v>36096.74</v>
      </c>
      <c r="E809">
        <v>5</v>
      </c>
      <c r="F809">
        <f>SUM(Table1_1[[#This Row],[Price (INR)]]*Table1_1[[#This Row],[Quantity Sold]])</f>
        <v>180483.69999999998</v>
      </c>
      <c r="G809">
        <v>180483.7</v>
      </c>
      <c r="H809" s="1">
        <v>45679</v>
      </c>
      <c r="I809" t="s">
        <v>1071</v>
      </c>
      <c r="J809">
        <v>1.8</v>
      </c>
      <c r="K809" t="str">
        <f>IF(Table1_1[[#This Row],[Quantity Sold]]&gt;=3,"BULK ORDER","REGULAR ORDER")</f>
        <v>BULK ORDER</v>
      </c>
      <c r="L809" t="str">
        <f>IF(Table1_1[[#This Row],[Customer Rating]]&gt;=4.5,"EXCELLENT",IF(Table1_1[[#This Row],[Customer Rating]]&lt;=4,"GOOD","AVERAGE"))</f>
        <v>GOOD</v>
      </c>
    </row>
    <row r="810" spans="1:12" x14ac:dyDescent="0.3">
      <c r="A810" t="s">
        <v>715</v>
      </c>
      <c r="B810" t="s">
        <v>1070</v>
      </c>
      <c r="C810" t="s">
        <v>1051</v>
      </c>
      <c r="D810">
        <v>19275.66</v>
      </c>
      <c r="E810">
        <v>4</v>
      </c>
      <c r="F810">
        <f>SUM(Table1_1[[#This Row],[Price (INR)]]*Table1_1[[#This Row],[Quantity Sold]])</f>
        <v>77102.64</v>
      </c>
      <c r="G810">
        <v>77102.64</v>
      </c>
      <c r="H810" s="1">
        <v>45399</v>
      </c>
      <c r="I810" t="s">
        <v>1071</v>
      </c>
      <c r="J810">
        <v>1.8</v>
      </c>
      <c r="K810" t="str">
        <f>IF(Table1_1[[#This Row],[Quantity Sold]]&gt;=3,"BULK ORDER","REGULAR ORDER")</f>
        <v>BULK ORDER</v>
      </c>
      <c r="L810" t="str">
        <f>IF(Table1_1[[#This Row],[Customer Rating]]&gt;=4.5,"EXCELLENT",IF(Table1_1[[#This Row],[Customer Rating]]&lt;=4,"GOOD","AVERAGE"))</f>
        <v>GOOD</v>
      </c>
    </row>
    <row r="811" spans="1:12" x14ac:dyDescent="0.3">
      <c r="A811" t="s">
        <v>812</v>
      </c>
      <c r="B811" t="s">
        <v>1075</v>
      </c>
      <c r="C811" t="s">
        <v>1053</v>
      </c>
      <c r="D811">
        <v>17915.599999999999</v>
      </c>
      <c r="E811">
        <v>4</v>
      </c>
      <c r="F811">
        <f>SUM(Table1_1[[#This Row],[Price (INR)]]*Table1_1[[#This Row],[Quantity Sold]])</f>
        <v>71662.399999999994</v>
      </c>
      <c r="G811">
        <v>71662.399999999994</v>
      </c>
      <c r="H811" s="1">
        <v>45532</v>
      </c>
      <c r="I811" t="s">
        <v>16</v>
      </c>
      <c r="J811">
        <v>1.8</v>
      </c>
      <c r="K811" t="str">
        <f>IF(Table1_1[[#This Row],[Quantity Sold]]&gt;=3,"BULK ORDER","REGULAR ORDER")</f>
        <v>BULK ORDER</v>
      </c>
      <c r="L811" t="str">
        <f>IF(Table1_1[[#This Row],[Customer Rating]]&gt;=4.5,"EXCELLENT",IF(Table1_1[[#This Row],[Customer Rating]]&lt;=4,"GOOD","AVERAGE"))</f>
        <v>GOOD</v>
      </c>
    </row>
    <row r="812" spans="1:12" x14ac:dyDescent="0.3">
      <c r="A812" t="s">
        <v>819</v>
      </c>
      <c r="B812" t="s">
        <v>1080</v>
      </c>
      <c r="C812" t="s">
        <v>1051</v>
      </c>
      <c r="D812">
        <v>20020.830000000002</v>
      </c>
      <c r="E812">
        <v>5</v>
      </c>
      <c r="F812">
        <f>SUM(Table1_1[[#This Row],[Price (INR)]]*Table1_1[[#This Row],[Quantity Sold]])</f>
        <v>100104.15000000001</v>
      </c>
      <c r="G812">
        <v>100104.15</v>
      </c>
      <c r="H812" s="1">
        <v>45536</v>
      </c>
      <c r="I812" t="s">
        <v>1068</v>
      </c>
      <c r="J812">
        <v>1.8</v>
      </c>
      <c r="K812" t="str">
        <f>IF(Table1_1[[#This Row],[Quantity Sold]]&gt;=3,"BULK ORDER","REGULAR ORDER")</f>
        <v>BULK ORDER</v>
      </c>
      <c r="L812" t="str">
        <f>IF(Table1_1[[#This Row],[Customer Rating]]&gt;=4.5,"EXCELLENT",IF(Table1_1[[#This Row],[Customer Rating]]&lt;=4,"GOOD","AVERAGE"))</f>
        <v>GOOD</v>
      </c>
    </row>
    <row r="813" spans="1:12" x14ac:dyDescent="0.3">
      <c r="A813" t="s">
        <v>847</v>
      </c>
      <c r="B813" t="s">
        <v>1080</v>
      </c>
      <c r="C813" t="s">
        <v>1051</v>
      </c>
      <c r="D813">
        <v>34137.79</v>
      </c>
      <c r="E813">
        <v>2</v>
      </c>
      <c r="F813">
        <f>SUM(Table1_1[[#This Row],[Price (INR)]]*Table1_1[[#This Row],[Quantity Sold]])</f>
        <v>68275.58</v>
      </c>
      <c r="G813">
        <v>68275.58</v>
      </c>
      <c r="H813" s="1">
        <v>45558</v>
      </c>
      <c r="I813" t="s">
        <v>1071</v>
      </c>
      <c r="J813">
        <v>1.8</v>
      </c>
      <c r="K813" t="str">
        <f>IF(Table1_1[[#This Row],[Quantity Sold]]&gt;=3,"BULK ORDER","REGULAR ORDER")</f>
        <v>REGULAR ORDER</v>
      </c>
      <c r="L813" t="str">
        <f>IF(Table1_1[[#This Row],[Customer Rating]]&gt;=4.5,"EXCELLENT",IF(Table1_1[[#This Row],[Customer Rating]]&lt;=4,"GOOD","AVERAGE"))</f>
        <v>GOOD</v>
      </c>
    </row>
    <row r="814" spans="1:12" x14ac:dyDescent="0.3">
      <c r="A814" t="s">
        <v>851</v>
      </c>
      <c r="B814" t="s">
        <v>1075</v>
      </c>
      <c r="C814" t="s">
        <v>1053</v>
      </c>
      <c r="D814">
        <v>41285.25</v>
      </c>
      <c r="E814">
        <v>1</v>
      </c>
      <c r="F814">
        <f>SUM(Table1_1[[#This Row],[Price (INR)]]*Table1_1[[#This Row],[Quantity Sold]])</f>
        <v>41285.25</v>
      </c>
      <c r="G814">
        <v>41285.25</v>
      </c>
      <c r="H814" s="1">
        <v>45631</v>
      </c>
      <c r="I814" t="s">
        <v>42</v>
      </c>
      <c r="J814">
        <v>1.8</v>
      </c>
      <c r="K814" t="str">
        <f>IF(Table1_1[[#This Row],[Quantity Sold]]&gt;=3,"BULK ORDER","REGULAR ORDER")</f>
        <v>REGULAR ORDER</v>
      </c>
      <c r="L814" t="str">
        <f>IF(Table1_1[[#This Row],[Customer Rating]]&gt;=4.5,"EXCELLENT",IF(Table1_1[[#This Row],[Customer Rating]]&lt;=4,"GOOD","AVERAGE"))</f>
        <v>GOOD</v>
      </c>
    </row>
    <row r="815" spans="1:12" x14ac:dyDescent="0.3">
      <c r="A815" t="s">
        <v>920</v>
      </c>
      <c r="B815" t="s">
        <v>1062</v>
      </c>
      <c r="C815" t="s">
        <v>1051</v>
      </c>
      <c r="D815">
        <v>1416.84</v>
      </c>
      <c r="E815">
        <v>3</v>
      </c>
      <c r="F815">
        <f>SUM(Table1_1[[#This Row],[Price (INR)]]*Table1_1[[#This Row],[Quantity Sold]])</f>
        <v>4250.5199999999995</v>
      </c>
      <c r="G815">
        <v>4250.5200000000004</v>
      </c>
      <c r="H815" s="1">
        <v>45450</v>
      </c>
      <c r="I815" t="s">
        <v>1071</v>
      </c>
      <c r="J815">
        <v>1.8</v>
      </c>
      <c r="K815" t="str">
        <f>IF(Table1_1[[#This Row],[Quantity Sold]]&gt;=3,"BULK ORDER","REGULAR ORDER")</f>
        <v>BULK ORDER</v>
      </c>
      <c r="L815" t="str">
        <f>IF(Table1_1[[#This Row],[Customer Rating]]&gt;=4.5,"EXCELLENT",IF(Table1_1[[#This Row],[Customer Rating]]&lt;=4,"GOOD","AVERAGE"))</f>
        <v>GOOD</v>
      </c>
    </row>
    <row r="816" spans="1:12" x14ac:dyDescent="0.3">
      <c r="A816" t="s">
        <v>927</v>
      </c>
      <c r="B816" t="s">
        <v>1073</v>
      </c>
      <c r="C816" t="s">
        <v>1053</v>
      </c>
      <c r="D816">
        <v>8465.2800000000007</v>
      </c>
      <c r="E816">
        <v>3</v>
      </c>
      <c r="F816">
        <f>SUM(Table1_1[[#This Row],[Price (INR)]]*Table1_1[[#This Row],[Quantity Sold]])</f>
        <v>25395.840000000004</v>
      </c>
      <c r="G816">
        <v>25395.84</v>
      </c>
      <c r="H816" s="1">
        <v>45638</v>
      </c>
      <c r="I816" t="s">
        <v>1068</v>
      </c>
      <c r="J816">
        <v>1.8</v>
      </c>
      <c r="K816" t="str">
        <f>IF(Table1_1[[#This Row],[Quantity Sold]]&gt;=3,"BULK ORDER","REGULAR ORDER")</f>
        <v>BULK ORDER</v>
      </c>
      <c r="L816" t="str">
        <f>IF(Table1_1[[#This Row],[Customer Rating]]&gt;=4.5,"EXCELLENT",IF(Table1_1[[#This Row],[Customer Rating]]&lt;=4,"GOOD","AVERAGE"))</f>
        <v>GOOD</v>
      </c>
    </row>
    <row r="817" spans="1:12" x14ac:dyDescent="0.3">
      <c r="A817" t="s">
        <v>977</v>
      </c>
      <c r="B817" t="s">
        <v>1050</v>
      </c>
      <c r="C817" t="s">
        <v>1051</v>
      </c>
      <c r="D817">
        <v>28534.99</v>
      </c>
      <c r="E817">
        <v>3</v>
      </c>
      <c r="F817">
        <f>SUM(Table1_1[[#This Row],[Price (INR)]]*Table1_1[[#This Row],[Quantity Sold]])</f>
        <v>85604.97</v>
      </c>
      <c r="G817">
        <v>85604.97</v>
      </c>
      <c r="H817" s="1">
        <v>45519</v>
      </c>
      <c r="I817" t="s">
        <v>1071</v>
      </c>
      <c r="J817">
        <v>1.8</v>
      </c>
      <c r="K817" t="str">
        <f>IF(Table1_1[[#This Row],[Quantity Sold]]&gt;=3,"BULK ORDER","REGULAR ORDER")</f>
        <v>BULK ORDER</v>
      </c>
      <c r="L817" t="str">
        <f>IF(Table1_1[[#This Row],[Customer Rating]]&gt;=4.5,"EXCELLENT",IF(Table1_1[[#This Row],[Customer Rating]]&lt;=4,"GOOD","AVERAGE"))</f>
        <v>GOOD</v>
      </c>
    </row>
    <row r="818" spans="1:12" x14ac:dyDescent="0.3">
      <c r="A818" t="s">
        <v>1012</v>
      </c>
      <c r="B818" t="s">
        <v>1061</v>
      </c>
      <c r="C818" t="s">
        <v>1057</v>
      </c>
      <c r="D818">
        <v>20766.47</v>
      </c>
      <c r="E818">
        <v>2</v>
      </c>
      <c r="F818">
        <f>SUM(Table1_1[[#This Row],[Price (INR)]]*Table1_1[[#This Row],[Quantity Sold]])</f>
        <v>41532.94</v>
      </c>
      <c r="G818">
        <v>41532.94</v>
      </c>
      <c r="H818" s="1">
        <v>45405</v>
      </c>
      <c r="I818" t="s">
        <v>42</v>
      </c>
      <c r="J818">
        <v>1.8</v>
      </c>
      <c r="K818" t="str">
        <f>IF(Table1_1[[#This Row],[Quantity Sold]]&gt;=3,"BULK ORDER","REGULAR ORDER")</f>
        <v>REGULAR ORDER</v>
      </c>
      <c r="L818" t="str">
        <f>IF(Table1_1[[#This Row],[Customer Rating]]&gt;=4.5,"EXCELLENT",IF(Table1_1[[#This Row],[Customer Rating]]&lt;=4,"GOOD","AVERAGE"))</f>
        <v>GOOD</v>
      </c>
    </row>
    <row r="819" spans="1:12" x14ac:dyDescent="0.3">
      <c r="A819" t="s">
        <v>1023</v>
      </c>
      <c r="B819" t="s">
        <v>1056</v>
      </c>
      <c r="C819" t="s">
        <v>1057</v>
      </c>
      <c r="D819">
        <v>10818.91</v>
      </c>
      <c r="E819">
        <v>2</v>
      </c>
      <c r="F819">
        <f>SUM(Table1_1[[#This Row],[Price (INR)]]*Table1_1[[#This Row],[Quantity Sold]])</f>
        <v>21637.82</v>
      </c>
      <c r="G819">
        <v>21637.82</v>
      </c>
      <c r="H819" s="1">
        <v>45505</v>
      </c>
      <c r="I819" t="s">
        <v>1059</v>
      </c>
      <c r="J819">
        <v>1.8</v>
      </c>
      <c r="K819" t="str">
        <f>IF(Table1_1[[#This Row],[Quantity Sold]]&gt;=3,"BULK ORDER","REGULAR ORDER")</f>
        <v>REGULAR ORDER</v>
      </c>
      <c r="L819" t="str">
        <f>IF(Table1_1[[#This Row],[Customer Rating]]&gt;=4.5,"EXCELLENT",IF(Table1_1[[#This Row],[Customer Rating]]&lt;=4,"GOOD","AVERAGE"))</f>
        <v>GOOD</v>
      </c>
    </row>
    <row r="820" spans="1:12" x14ac:dyDescent="0.3">
      <c r="A820" t="s">
        <v>26</v>
      </c>
      <c r="B820" t="s">
        <v>1058</v>
      </c>
      <c r="C820" t="s">
        <v>1057</v>
      </c>
      <c r="D820">
        <v>10475.030000000001</v>
      </c>
      <c r="E820">
        <v>2</v>
      </c>
      <c r="F820">
        <f>SUM(Table1_1[[#This Row],[Price (INR)]]*Table1_1[[#This Row],[Quantity Sold]])</f>
        <v>20950.060000000001</v>
      </c>
      <c r="G820">
        <v>20950.060000000001</v>
      </c>
      <c r="H820" s="1">
        <v>45587</v>
      </c>
      <c r="I820" t="s">
        <v>1059</v>
      </c>
      <c r="J820">
        <v>1.7</v>
      </c>
      <c r="K820" t="str">
        <f>IF(Table1_1[[#This Row],[Quantity Sold]]&gt;=3,"BULK ORDER","REGULAR ORDER")</f>
        <v>REGULAR ORDER</v>
      </c>
      <c r="L820" t="str">
        <f>IF(Table1_1[[#This Row],[Customer Rating]]&gt;=4.5,"EXCELLENT",IF(Table1_1[[#This Row],[Customer Rating]]&lt;=4,"GOOD","AVERAGE"))</f>
        <v>GOOD</v>
      </c>
    </row>
    <row r="821" spans="1:12" x14ac:dyDescent="0.3">
      <c r="A821" t="s">
        <v>98</v>
      </c>
      <c r="B821" t="s">
        <v>1050</v>
      </c>
      <c r="C821" t="s">
        <v>1051</v>
      </c>
      <c r="D821">
        <v>18075.189999999999</v>
      </c>
      <c r="E821">
        <v>5</v>
      </c>
      <c r="F821">
        <f>SUM(Table1_1[[#This Row],[Price (INR)]]*Table1_1[[#This Row],[Quantity Sold]])</f>
        <v>90375.95</v>
      </c>
      <c r="G821">
        <v>90375.95</v>
      </c>
      <c r="H821" s="1">
        <v>45538</v>
      </c>
      <c r="I821" t="s">
        <v>1049</v>
      </c>
      <c r="J821">
        <v>1.7</v>
      </c>
      <c r="K821" t="str">
        <f>IF(Table1_1[[#This Row],[Quantity Sold]]&gt;=3,"BULK ORDER","REGULAR ORDER")</f>
        <v>BULK ORDER</v>
      </c>
      <c r="L821" t="str">
        <f>IF(Table1_1[[#This Row],[Customer Rating]]&gt;=4.5,"EXCELLENT",IF(Table1_1[[#This Row],[Customer Rating]]&lt;=4,"GOOD","AVERAGE"))</f>
        <v>GOOD</v>
      </c>
    </row>
    <row r="822" spans="1:12" x14ac:dyDescent="0.3">
      <c r="A822" t="s">
        <v>163</v>
      </c>
      <c r="B822" t="s">
        <v>1069</v>
      </c>
      <c r="C822" t="s">
        <v>1048</v>
      </c>
      <c r="D822">
        <v>30903.49</v>
      </c>
      <c r="E822">
        <v>4</v>
      </c>
      <c r="F822">
        <f>SUM(Table1_1[[#This Row],[Price (INR)]]*Table1_1[[#This Row],[Quantity Sold]])</f>
        <v>123613.96</v>
      </c>
      <c r="G822">
        <v>123613.96</v>
      </c>
      <c r="H822" s="1">
        <v>45545</v>
      </c>
      <c r="I822" t="s">
        <v>1071</v>
      </c>
      <c r="J822">
        <v>1.7</v>
      </c>
      <c r="K822" t="str">
        <f>IF(Table1_1[[#This Row],[Quantity Sold]]&gt;=3,"BULK ORDER","REGULAR ORDER")</f>
        <v>BULK ORDER</v>
      </c>
      <c r="L822" t="str">
        <f>IF(Table1_1[[#This Row],[Customer Rating]]&gt;=4.5,"EXCELLENT",IF(Table1_1[[#This Row],[Customer Rating]]&lt;=4,"GOOD","AVERAGE"))</f>
        <v>GOOD</v>
      </c>
    </row>
    <row r="823" spans="1:12" x14ac:dyDescent="0.3">
      <c r="A823" t="s">
        <v>268</v>
      </c>
      <c r="B823" t="s">
        <v>1078</v>
      </c>
      <c r="C823" t="s">
        <v>1048</v>
      </c>
      <c r="D823">
        <v>31333.95</v>
      </c>
      <c r="E823">
        <v>3</v>
      </c>
      <c r="F823">
        <f>SUM(Table1_1[[#This Row],[Price (INR)]]*Table1_1[[#This Row],[Quantity Sold]])</f>
        <v>94001.85</v>
      </c>
      <c r="G823">
        <v>94001.85</v>
      </c>
      <c r="H823" s="1">
        <v>45525</v>
      </c>
      <c r="I823" t="s">
        <v>1049</v>
      </c>
      <c r="J823">
        <v>1.7</v>
      </c>
      <c r="K823" t="str">
        <f>IF(Table1_1[[#This Row],[Quantity Sold]]&gt;=3,"BULK ORDER","REGULAR ORDER")</f>
        <v>BULK ORDER</v>
      </c>
      <c r="L823" t="str">
        <f>IF(Table1_1[[#This Row],[Customer Rating]]&gt;=4.5,"EXCELLENT",IF(Table1_1[[#This Row],[Customer Rating]]&lt;=4,"GOOD","AVERAGE"))</f>
        <v>GOOD</v>
      </c>
    </row>
    <row r="824" spans="1:12" x14ac:dyDescent="0.3">
      <c r="A824" t="s">
        <v>286</v>
      </c>
      <c r="B824" t="s">
        <v>1052</v>
      </c>
      <c r="C824" t="s">
        <v>1053</v>
      </c>
      <c r="D824">
        <v>42785.51</v>
      </c>
      <c r="E824">
        <v>4</v>
      </c>
      <c r="F824">
        <f>SUM(Table1_1[[#This Row],[Price (INR)]]*Table1_1[[#This Row],[Quantity Sold]])</f>
        <v>171142.04</v>
      </c>
      <c r="G824">
        <v>171142.04</v>
      </c>
      <c r="H824" s="1">
        <v>45609</v>
      </c>
      <c r="I824" t="s">
        <v>42</v>
      </c>
      <c r="J824">
        <v>1.7</v>
      </c>
      <c r="K824" t="str">
        <f>IF(Table1_1[[#This Row],[Quantity Sold]]&gt;=3,"BULK ORDER","REGULAR ORDER")</f>
        <v>BULK ORDER</v>
      </c>
      <c r="L824" t="str">
        <f>IF(Table1_1[[#This Row],[Customer Rating]]&gt;=4.5,"EXCELLENT",IF(Table1_1[[#This Row],[Customer Rating]]&lt;=4,"GOOD","AVERAGE"))</f>
        <v>GOOD</v>
      </c>
    </row>
    <row r="825" spans="1:12" x14ac:dyDescent="0.3">
      <c r="A825" t="s">
        <v>357</v>
      </c>
      <c r="B825" t="s">
        <v>1074</v>
      </c>
      <c r="C825" t="s">
        <v>1055</v>
      </c>
      <c r="D825">
        <v>48177.16</v>
      </c>
      <c r="E825">
        <v>3</v>
      </c>
      <c r="F825">
        <f>SUM(Table1_1[[#This Row],[Price (INR)]]*Table1_1[[#This Row],[Quantity Sold]])</f>
        <v>144531.48000000001</v>
      </c>
      <c r="G825">
        <v>144531.48000000001</v>
      </c>
      <c r="H825" s="1">
        <v>45356</v>
      </c>
      <c r="I825" t="s">
        <v>1071</v>
      </c>
      <c r="J825">
        <v>1.7</v>
      </c>
      <c r="K825" t="str">
        <f>IF(Table1_1[[#This Row],[Quantity Sold]]&gt;=3,"BULK ORDER","REGULAR ORDER")</f>
        <v>BULK ORDER</v>
      </c>
      <c r="L825" t="str">
        <f>IF(Table1_1[[#This Row],[Customer Rating]]&gt;=4.5,"EXCELLENT",IF(Table1_1[[#This Row],[Customer Rating]]&lt;=4,"GOOD","AVERAGE"))</f>
        <v>GOOD</v>
      </c>
    </row>
    <row r="826" spans="1:12" x14ac:dyDescent="0.3">
      <c r="A826" t="s">
        <v>420</v>
      </c>
      <c r="B826" t="s">
        <v>1061</v>
      </c>
      <c r="C826" t="s">
        <v>1057</v>
      </c>
      <c r="D826">
        <v>48710.25</v>
      </c>
      <c r="E826">
        <v>1</v>
      </c>
      <c r="F826">
        <f>SUM(Table1_1[[#This Row],[Price (INR)]]*Table1_1[[#This Row],[Quantity Sold]])</f>
        <v>48710.25</v>
      </c>
      <c r="G826">
        <v>48710.25</v>
      </c>
      <c r="H826" s="1">
        <v>45571</v>
      </c>
      <c r="I826" t="s">
        <v>1068</v>
      </c>
      <c r="J826">
        <v>1.7</v>
      </c>
      <c r="K826" t="str">
        <f>IF(Table1_1[[#This Row],[Quantity Sold]]&gt;=3,"BULK ORDER","REGULAR ORDER")</f>
        <v>REGULAR ORDER</v>
      </c>
      <c r="L826" t="str">
        <f>IF(Table1_1[[#This Row],[Customer Rating]]&gt;=4.5,"EXCELLENT",IF(Table1_1[[#This Row],[Customer Rating]]&lt;=4,"GOOD","AVERAGE"))</f>
        <v>GOOD</v>
      </c>
    </row>
    <row r="827" spans="1:12" x14ac:dyDescent="0.3">
      <c r="A827" t="s">
        <v>558</v>
      </c>
      <c r="B827" t="s">
        <v>1047</v>
      </c>
      <c r="C827" t="s">
        <v>1048</v>
      </c>
      <c r="D827">
        <v>21233.35</v>
      </c>
      <c r="E827">
        <v>1</v>
      </c>
      <c r="F827">
        <f>SUM(Table1_1[[#This Row],[Price (INR)]]*Table1_1[[#This Row],[Quantity Sold]])</f>
        <v>21233.35</v>
      </c>
      <c r="G827">
        <v>21233.35</v>
      </c>
      <c r="H827" s="1">
        <v>45537</v>
      </c>
      <c r="I827" t="s">
        <v>42</v>
      </c>
      <c r="J827">
        <v>1.7</v>
      </c>
      <c r="K827" t="str">
        <f>IF(Table1_1[[#This Row],[Quantity Sold]]&gt;=3,"BULK ORDER","REGULAR ORDER")</f>
        <v>REGULAR ORDER</v>
      </c>
      <c r="L827" t="str">
        <f>IF(Table1_1[[#This Row],[Customer Rating]]&gt;=4.5,"EXCELLENT",IF(Table1_1[[#This Row],[Customer Rating]]&lt;=4,"GOOD","AVERAGE"))</f>
        <v>GOOD</v>
      </c>
    </row>
    <row r="828" spans="1:12" x14ac:dyDescent="0.3">
      <c r="A828" t="s">
        <v>593</v>
      </c>
      <c r="B828" t="s">
        <v>1075</v>
      </c>
      <c r="C828" t="s">
        <v>1053</v>
      </c>
      <c r="D828">
        <v>46990.87</v>
      </c>
      <c r="E828">
        <v>4</v>
      </c>
      <c r="F828">
        <f>SUM(Table1_1[[#This Row],[Price (INR)]]*Table1_1[[#This Row],[Quantity Sold]])</f>
        <v>187963.48</v>
      </c>
      <c r="G828">
        <v>187963.48</v>
      </c>
      <c r="H828" s="1">
        <v>45384</v>
      </c>
      <c r="I828" t="s">
        <v>42</v>
      </c>
      <c r="J828">
        <v>1.7</v>
      </c>
      <c r="K828" t="str">
        <f>IF(Table1_1[[#This Row],[Quantity Sold]]&gt;=3,"BULK ORDER","REGULAR ORDER")</f>
        <v>BULK ORDER</v>
      </c>
      <c r="L828" t="str">
        <f>IF(Table1_1[[#This Row],[Customer Rating]]&gt;=4.5,"EXCELLENT",IF(Table1_1[[#This Row],[Customer Rating]]&lt;=4,"GOOD","AVERAGE"))</f>
        <v>GOOD</v>
      </c>
    </row>
    <row r="829" spans="1:12" x14ac:dyDescent="0.3">
      <c r="A829" t="s">
        <v>662</v>
      </c>
      <c r="B829" t="s">
        <v>1077</v>
      </c>
      <c r="C829" t="s">
        <v>1048</v>
      </c>
      <c r="D829">
        <v>30468.47</v>
      </c>
      <c r="E829">
        <v>3</v>
      </c>
      <c r="F829">
        <f>SUM(Table1_1[[#This Row],[Price (INR)]]*Table1_1[[#This Row],[Quantity Sold]])</f>
        <v>91405.41</v>
      </c>
      <c r="G829">
        <v>91405.41</v>
      </c>
      <c r="H829" s="1">
        <v>45470</v>
      </c>
      <c r="I829" t="s">
        <v>1068</v>
      </c>
      <c r="J829">
        <v>1.7</v>
      </c>
      <c r="K829" t="str">
        <f>IF(Table1_1[[#This Row],[Quantity Sold]]&gt;=3,"BULK ORDER","REGULAR ORDER")</f>
        <v>BULK ORDER</v>
      </c>
      <c r="L829" t="str">
        <f>IF(Table1_1[[#This Row],[Customer Rating]]&gt;=4.5,"EXCELLENT",IF(Table1_1[[#This Row],[Customer Rating]]&lt;=4,"GOOD","AVERAGE"))</f>
        <v>GOOD</v>
      </c>
    </row>
    <row r="830" spans="1:12" x14ac:dyDescent="0.3">
      <c r="A830" t="s">
        <v>747</v>
      </c>
      <c r="B830" t="s">
        <v>1061</v>
      </c>
      <c r="C830" t="s">
        <v>1057</v>
      </c>
      <c r="D830">
        <v>13372.74</v>
      </c>
      <c r="E830">
        <v>2</v>
      </c>
      <c r="F830">
        <f>SUM(Table1_1[[#This Row],[Price (INR)]]*Table1_1[[#This Row],[Quantity Sold]])</f>
        <v>26745.48</v>
      </c>
      <c r="G830">
        <v>26745.48</v>
      </c>
      <c r="H830" s="1">
        <v>45543</v>
      </c>
      <c r="I830" t="s">
        <v>1059</v>
      </c>
      <c r="J830">
        <v>1.7</v>
      </c>
      <c r="K830" t="str">
        <f>IF(Table1_1[[#This Row],[Quantity Sold]]&gt;=3,"BULK ORDER","REGULAR ORDER")</f>
        <v>REGULAR ORDER</v>
      </c>
      <c r="L830" t="str">
        <f>IF(Table1_1[[#This Row],[Customer Rating]]&gt;=4.5,"EXCELLENT",IF(Table1_1[[#This Row],[Customer Rating]]&lt;=4,"GOOD","AVERAGE"))</f>
        <v>GOOD</v>
      </c>
    </row>
    <row r="831" spans="1:12" x14ac:dyDescent="0.3">
      <c r="A831" t="s">
        <v>785</v>
      </c>
      <c r="B831" t="s">
        <v>1052</v>
      </c>
      <c r="C831" t="s">
        <v>1053</v>
      </c>
      <c r="D831">
        <v>19549.439999999999</v>
      </c>
      <c r="E831">
        <v>5</v>
      </c>
      <c r="F831">
        <f>SUM(Table1_1[[#This Row],[Price (INR)]]*Table1_1[[#This Row],[Quantity Sold]])</f>
        <v>97747.199999999997</v>
      </c>
      <c r="G831">
        <v>97747.199999999997</v>
      </c>
      <c r="H831" s="1">
        <v>45511</v>
      </c>
      <c r="I831" t="s">
        <v>1059</v>
      </c>
      <c r="J831">
        <v>1.7</v>
      </c>
      <c r="K831" t="str">
        <f>IF(Table1_1[[#This Row],[Quantity Sold]]&gt;=3,"BULK ORDER","REGULAR ORDER")</f>
        <v>BULK ORDER</v>
      </c>
      <c r="L831" t="str">
        <f>IF(Table1_1[[#This Row],[Customer Rating]]&gt;=4.5,"EXCELLENT",IF(Table1_1[[#This Row],[Customer Rating]]&lt;=4,"GOOD","AVERAGE"))</f>
        <v>GOOD</v>
      </c>
    </row>
    <row r="832" spans="1:12" x14ac:dyDescent="0.3">
      <c r="A832" t="s">
        <v>799</v>
      </c>
      <c r="B832" t="s">
        <v>1074</v>
      </c>
      <c r="C832" t="s">
        <v>1055</v>
      </c>
      <c r="D832">
        <v>37355.589999999997</v>
      </c>
      <c r="E832">
        <v>3</v>
      </c>
      <c r="F832">
        <f>SUM(Table1_1[[#This Row],[Price (INR)]]*Table1_1[[#This Row],[Quantity Sold]])</f>
        <v>112066.76999999999</v>
      </c>
      <c r="G832">
        <v>112066.77</v>
      </c>
      <c r="H832" s="1">
        <v>45481</v>
      </c>
      <c r="I832" t="s">
        <v>1059</v>
      </c>
      <c r="J832">
        <v>1.7</v>
      </c>
      <c r="K832" t="str">
        <f>IF(Table1_1[[#This Row],[Quantity Sold]]&gt;=3,"BULK ORDER","REGULAR ORDER")</f>
        <v>BULK ORDER</v>
      </c>
      <c r="L832" t="str">
        <f>IF(Table1_1[[#This Row],[Customer Rating]]&gt;=4.5,"EXCELLENT",IF(Table1_1[[#This Row],[Customer Rating]]&lt;=4,"GOOD","AVERAGE"))</f>
        <v>GOOD</v>
      </c>
    </row>
    <row r="833" spans="1:12" x14ac:dyDescent="0.3">
      <c r="A833" t="s">
        <v>856</v>
      </c>
      <c r="B833" t="s">
        <v>1063</v>
      </c>
      <c r="C833" t="s">
        <v>1055</v>
      </c>
      <c r="D833">
        <v>17213.3</v>
      </c>
      <c r="E833">
        <v>3</v>
      </c>
      <c r="F833">
        <f>SUM(Table1_1[[#This Row],[Price (INR)]]*Table1_1[[#This Row],[Quantity Sold]])</f>
        <v>51639.899999999994</v>
      </c>
      <c r="G833">
        <v>51639.9</v>
      </c>
      <c r="H833" s="1">
        <v>45403</v>
      </c>
      <c r="I833" t="s">
        <v>1071</v>
      </c>
      <c r="J833">
        <v>1.7</v>
      </c>
      <c r="K833" t="str">
        <f>IF(Table1_1[[#This Row],[Quantity Sold]]&gt;=3,"BULK ORDER","REGULAR ORDER")</f>
        <v>BULK ORDER</v>
      </c>
      <c r="L833" t="str">
        <f>IF(Table1_1[[#This Row],[Customer Rating]]&gt;=4.5,"EXCELLENT",IF(Table1_1[[#This Row],[Customer Rating]]&lt;=4,"GOOD","AVERAGE"))</f>
        <v>GOOD</v>
      </c>
    </row>
    <row r="834" spans="1:12" x14ac:dyDescent="0.3">
      <c r="A834" t="s">
        <v>879</v>
      </c>
      <c r="B834" t="s">
        <v>1073</v>
      </c>
      <c r="C834" t="s">
        <v>1053</v>
      </c>
      <c r="D834">
        <v>31727.37</v>
      </c>
      <c r="E834">
        <v>1</v>
      </c>
      <c r="F834">
        <f>SUM(Table1_1[[#This Row],[Price (INR)]]*Table1_1[[#This Row],[Quantity Sold]])</f>
        <v>31727.37</v>
      </c>
      <c r="G834">
        <v>31727.37</v>
      </c>
      <c r="H834" s="1">
        <v>45607</v>
      </c>
      <c r="I834" t="s">
        <v>1049</v>
      </c>
      <c r="J834">
        <v>1.7</v>
      </c>
      <c r="K834" t="str">
        <f>IF(Table1_1[[#This Row],[Quantity Sold]]&gt;=3,"BULK ORDER","REGULAR ORDER")</f>
        <v>REGULAR ORDER</v>
      </c>
      <c r="L834" t="str">
        <f>IF(Table1_1[[#This Row],[Customer Rating]]&gt;=4.5,"EXCELLENT",IF(Table1_1[[#This Row],[Customer Rating]]&lt;=4,"GOOD","AVERAGE"))</f>
        <v>GOOD</v>
      </c>
    </row>
    <row r="835" spans="1:12" x14ac:dyDescent="0.3">
      <c r="A835" t="s">
        <v>951</v>
      </c>
      <c r="B835" t="s">
        <v>1061</v>
      </c>
      <c r="C835" t="s">
        <v>1057</v>
      </c>
      <c r="D835">
        <v>30100.73</v>
      </c>
      <c r="E835">
        <v>1</v>
      </c>
      <c r="F835">
        <f>SUM(Table1_1[[#This Row],[Price (INR)]]*Table1_1[[#This Row],[Quantity Sold]])</f>
        <v>30100.73</v>
      </c>
      <c r="G835">
        <v>30100.73</v>
      </c>
      <c r="H835" s="1">
        <v>45352</v>
      </c>
      <c r="I835" t="s">
        <v>16</v>
      </c>
      <c r="J835">
        <v>1.7</v>
      </c>
      <c r="K835" t="str">
        <f>IF(Table1_1[[#This Row],[Quantity Sold]]&gt;=3,"BULK ORDER","REGULAR ORDER")</f>
        <v>REGULAR ORDER</v>
      </c>
      <c r="L835" t="str">
        <f>IF(Table1_1[[#This Row],[Customer Rating]]&gt;=4.5,"EXCELLENT",IF(Table1_1[[#This Row],[Customer Rating]]&lt;=4,"GOOD","AVERAGE"))</f>
        <v>GOOD</v>
      </c>
    </row>
    <row r="836" spans="1:12" x14ac:dyDescent="0.3">
      <c r="A836" t="s">
        <v>953</v>
      </c>
      <c r="B836" t="s">
        <v>1072</v>
      </c>
      <c r="C836" t="s">
        <v>1057</v>
      </c>
      <c r="D836">
        <v>18657.990000000002</v>
      </c>
      <c r="E836">
        <v>5</v>
      </c>
      <c r="F836">
        <f>SUM(Table1_1[[#This Row],[Price (INR)]]*Table1_1[[#This Row],[Quantity Sold]])</f>
        <v>93289.950000000012</v>
      </c>
      <c r="G836">
        <v>93289.95</v>
      </c>
      <c r="H836" s="1">
        <v>45659</v>
      </c>
      <c r="I836" t="s">
        <v>1071</v>
      </c>
      <c r="J836">
        <v>1.7</v>
      </c>
      <c r="K836" t="str">
        <f>IF(Table1_1[[#This Row],[Quantity Sold]]&gt;=3,"BULK ORDER","REGULAR ORDER")</f>
        <v>BULK ORDER</v>
      </c>
      <c r="L836" t="str">
        <f>IF(Table1_1[[#This Row],[Customer Rating]]&gt;=4.5,"EXCELLENT",IF(Table1_1[[#This Row],[Customer Rating]]&lt;=4,"GOOD","AVERAGE"))</f>
        <v>GOOD</v>
      </c>
    </row>
    <row r="837" spans="1:12" x14ac:dyDescent="0.3">
      <c r="A837" t="s">
        <v>45</v>
      </c>
      <c r="B837" t="s">
        <v>1067</v>
      </c>
      <c r="C837" t="s">
        <v>1048</v>
      </c>
      <c r="D837">
        <v>6839.1</v>
      </c>
      <c r="E837">
        <v>1</v>
      </c>
      <c r="F837">
        <f>SUM(Table1_1[[#This Row],[Price (INR)]]*Table1_1[[#This Row],[Quantity Sold]])</f>
        <v>6839.1</v>
      </c>
      <c r="G837">
        <v>6839.1</v>
      </c>
      <c r="H837" s="1">
        <v>45547</v>
      </c>
      <c r="I837" t="s">
        <v>1068</v>
      </c>
      <c r="J837">
        <v>1.6</v>
      </c>
      <c r="K837" t="str">
        <f>IF(Table1_1[[#This Row],[Quantity Sold]]&gt;=3,"BULK ORDER","REGULAR ORDER")</f>
        <v>REGULAR ORDER</v>
      </c>
      <c r="L837" t="str">
        <f>IF(Table1_1[[#This Row],[Customer Rating]]&gt;=4.5,"EXCELLENT",IF(Table1_1[[#This Row],[Customer Rating]]&lt;=4,"GOOD","AVERAGE"))</f>
        <v>GOOD</v>
      </c>
    </row>
    <row r="838" spans="1:12" x14ac:dyDescent="0.3">
      <c r="A838" t="s">
        <v>48</v>
      </c>
      <c r="B838" t="s">
        <v>1058</v>
      </c>
      <c r="C838" t="s">
        <v>1057</v>
      </c>
      <c r="D838">
        <v>18197.89</v>
      </c>
      <c r="E838">
        <v>5</v>
      </c>
      <c r="F838">
        <f>SUM(Table1_1[[#This Row],[Price (INR)]]*Table1_1[[#This Row],[Quantity Sold]])</f>
        <v>90989.45</v>
      </c>
      <c r="G838">
        <v>90989.45</v>
      </c>
      <c r="H838" s="1">
        <v>45381</v>
      </c>
      <c r="I838" t="s">
        <v>1049</v>
      </c>
      <c r="J838">
        <v>1.6</v>
      </c>
      <c r="K838" t="str">
        <f>IF(Table1_1[[#This Row],[Quantity Sold]]&gt;=3,"BULK ORDER","REGULAR ORDER")</f>
        <v>BULK ORDER</v>
      </c>
      <c r="L838" t="str">
        <f>IF(Table1_1[[#This Row],[Customer Rating]]&gt;=4.5,"EXCELLENT",IF(Table1_1[[#This Row],[Customer Rating]]&lt;=4,"GOOD","AVERAGE"))</f>
        <v>GOOD</v>
      </c>
    </row>
    <row r="839" spans="1:12" x14ac:dyDescent="0.3">
      <c r="A839" t="s">
        <v>58</v>
      </c>
      <c r="B839" t="s">
        <v>1047</v>
      </c>
      <c r="C839" t="s">
        <v>1048</v>
      </c>
      <c r="D839">
        <v>48258.19</v>
      </c>
      <c r="E839">
        <v>4</v>
      </c>
      <c r="F839">
        <f>SUM(Table1_1[[#This Row],[Price (INR)]]*Table1_1[[#This Row],[Quantity Sold]])</f>
        <v>193032.76</v>
      </c>
      <c r="G839">
        <v>193032.76</v>
      </c>
      <c r="H839" s="1">
        <v>45466</v>
      </c>
      <c r="I839" t="s">
        <v>16</v>
      </c>
      <c r="J839">
        <v>1.6</v>
      </c>
      <c r="K839" t="str">
        <f>IF(Table1_1[[#This Row],[Quantity Sold]]&gt;=3,"BULK ORDER","REGULAR ORDER")</f>
        <v>BULK ORDER</v>
      </c>
      <c r="L839" t="str">
        <f>IF(Table1_1[[#This Row],[Customer Rating]]&gt;=4.5,"EXCELLENT",IF(Table1_1[[#This Row],[Customer Rating]]&lt;=4,"GOOD","AVERAGE"))</f>
        <v>GOOD</v>
      </c>
    </row>
    <row r="840" spans="1:12" x14ac:dyDescent="0.3">
      <c r="A840" t="s">
        <v>153</v>
      </c>
      <c r="B840" t="s">
        <v>1050</v>
      </c>
      <c r="C840" t="s">
        <v>1051</v>
      </c>
      <c r="D840">
        <v>11785.4</v>
      </c>
      <c r="E840">
        <v>5</v>
      </c>
      <c r="F840">
        <f>SUM(Table1_1[[#This Row],[Price (INR)]]*Table1_1[[#This Row],[Quantity Sold]])</f>
        <v>58927</v>
      </c>
      <c r="G840">
        <v>58927</v>
      </c>
      <c r="H840" s="1">
        <v>45468</v>
      </c>
      <c r="I840" t="s">
        <v>1059</v>
      </c>
      <c r="J840">
        <v>1.6</v>
      </c>
      <c r="K840" t="str">
        <f>IF(Table1_1[[#This Row],[Quantity Sold]]&gt;=3,"BULK ORDER","REGULAR ORDER")</f>
        <v>BULK ORDER</v>
      </c>
      <c r="L840" t="str">
        <f>IF(Table1_1[[#This Row],[Customer Rating]]&gt;=4.5,"EXCELLENT",IF(Table1_1[[#This Row],[Customer Rating]]&lt;=4,"GOOD","AVERAGE"))</f>
        <v>GOOD</v>
      </c>
    </row>
    <row r="841" spans="1:12" x14ac:dyDescent="0.3">
      <c r="A841" t="s">
        <v>204</v>
      </c>
      <c r="B841" t="s">
        <v>1079</v>
      </c>
      <c r="C841" t="s">
        <v>1057</v>
      </c>
      <c r="D841">
        <v>15357.36</v>
      </c>
      <c r="E841">
        <v>4</v>
      </c>
      <c r="F841">
        <f>SUM(Table1_1[[#This Row],[Price (INR)]]*Table1_1[[#This Row],[Quantity Sold]])</f>
        <v>61429.440000000002</v>
      </c>
      <c r="G841">
        <v>61429.440000000002</v>
      </c>
      <c r="H841" s="1">
        <v>45510</v>
      </c>
      <c r="I841" t="s">
        <v>1049</v>
      </c>
      <c r="J841">
        <v>1.6</v>
      </c>
      <c r="K841" t="str">
        <f>IF(Table1_1[[#This Row],[Quantity Sold]]&gt;=3,"BULK ORDER","REGULAR ORDER")</f>
        <v>BULK ORDER</v>
      </c>
      <c r="L841" t="str">
        <f>IF(Table1_1[[#This Row],[Customer Rating]]&gt;=4.5,"EXCELLENT",IF(Table1_1[[#This Row],[Customer Rating]]&lt;=4,"GOOD","AVERAGE"))</f>
        <v>GOOD</v>
      </c>
    </row>
    <row r="842" spans="1:12" x14ac:dyDescent="0.3">
      <c r="A842" t="s">
        <v>244</v>
      </c>
      <c r="B842" t="s">
        <v>1054</v>
      </c>
      <c r="C842" t="s">
        <v>1055</v>
      </c>
      <c r="D842">
        <v>18304.18</v>
      </c>
      <c r="E842">
        <v>2</v>
      </c>
      <c r="F842">
        <f>SUM(Table1_1[[#This Row],[Price (INR)]]*Table1_1[[#This Row],[Quantity Sold]])</f>
        <v>36608.36</v>
      </c>
      <c r="G842">
        <v>36608.36</v>
      </c>
      <c r="H842" s="1">
        <v>45565</v>
      </c>
      <c r="I842" t="s">
        <v>1049</v>
      </c>
      <c r="J842">
        <v>1.6</v>
      </c>
      <c r="K842" t="str">
        <f>IF(Table1_1[[#This Row],[Quantity Sold]]&gt;=3,"BULK ORDER","REGULAR ORDER")</f>
        <v>REGULAR ORDER</v>
      </c>
      <c r="L842" t="str">
        <f>IF(Table1_1[[#This Row],[Customer Rating]]&gt;=4.5,"EXCELLENT",IF(Table1_1[[#This Row],[Customer Rating]]&lt;=4,"GOOD","AVERAGE"))</f>
        <v>GOOD</v>
      </c>
    </row>
    <row r="843" spans="1:12" x14ac:dyDescent="0.3">
      <c r="A843" t="s">
        <v>348</v>
      </c>
      <c r="B843" t="s">
        <v>1077</v>
      </c>
      <c r="C843" t="s">
        <v>1048</v>
      </c>
      <c r="D843">
        <v>16385.37</v>
      </c>
      <c r="E843">
        <v>3</v>
      </c>
      <c r="F843">
        <f>SUM(Table1_1[[#This Row],[Price (INR)]]*Table1_1[[#This Row],[Quantity Sold]])</f>
        <v>49156.11</v>
      </c>
      <c r="G843">
        <v>49156.11</v>
      </c>
      <c r="H843" s="1">
        <v>45346</v>
      </c>
      <c r="I843" t="s">
        <v>1059</v>
      </c>
      <c r="J843">
        <v>1.6</v>
      </c>
      <c r="K843" t="str">
        <f>IF(Table1_1[[#This Row],[Quantity Sold]]&gt;=3,"BULK ORDER","REGULAR ORDER")</f>
        <v>BULK ORDER</v>
      </c>
      <c r="L843" t="str">
        <f>IF(Table1_1[[#This Row],[Customer Rating]]&gt;=4.5,"EXCELLENT",IF(Table1_1[[#This Row],[Customer Rating]]&lt;=4,"GOOD","AVERAGE"))</f>
        <v>GOOD</v>
      </c>
    </row>
    <row r="844" spans="1:12" x14ac:dyDescent="0.3">
      <c r="A844" t="s">
        <v>439</v>
      </c>
      <c r="B844" t="s">
        <v>1060</v>
      </c>
      <c r="C844" t="s">
        <v>1051</v>
      </c>
      <c r="D844">
        <v>34369.57</v>
      </c>
      <c r="E844">
        <v>4</v>
      </c>
      <c r="F844">
        <f>SUM(Table1_1[[#This Row],[Price (INR)]]*Table1_1[[#This Row],[Quantity Sold]])</f>
        <v>137478.28</v>
      </c>
      <c r="G844">
        <v>137478.28</v>
      </c>
      <c r="H844" s="1">
        <v>45504</v>
      </c>
      <c r="I844" t="s">
        <v>1071</v>
      </c>
      <c r="J844">
        <v>1.6</v>
      </c>
      <c r="K844" t="str">
        <f>IF(Table1_1[[#This Row],[Quantity Sold]]&gt;=3,"BULK ORDER","REGULAR ORDER")</f>
        <v>BULK ORDER</v>
      </c>
      <c r="L844" t="str">
        <f>IF(Table1_1[[#This Row],[Customer Rating]]&gt;=4.5,"EXCELLENT",IF(Table1_1[[#This Row],[Customer Rating]]&lt;=4,"GOOD","AVERAGE"))</f>
        <v>GOOD</v>
      </c>
    </row>
    <row r="845" spans="1:12" x14ac:dyDescent="0.3">
      <c r="A845" t="s">
        <v>466</v>
      </c>
      <c r="B845" t="s">
        <v>1079</v>
      </c>
      <c r="C845" t="s">
        <v>1057</v>
      </c>
      <c r="D845">
        <v>6859</v>
      </c>
      <c r="E845">
        <v>3</v>
      </c>
      <c r="F845">
        <f>SUM(Table1_1[[#This Row],[Price (INR)]]*Table1_1[[#This Row],[Quantity Sold]])</f>
        <v>20577</v>
      </c>
      <c r="G845">
        <v>20577</v>
      </c>
      <c r="H845" s="1">
        <v>45570</v>
      </c>
      <c r="I845" t="s">
        <v>1071</v>
      </c>
      <c r="J845">
        <v>1.6</v>
      </c>
      <c r="K845" t="str">
        <f>IF(Table1_1[[#This Row],[Quantity Sold]]&gt;=3,"BULK ORDER","REGULAR ORDER")</f>
        <v>BULK ORDER</v>
      </c>
      <c r="L845" t="str">
        <f>IF(Table1_1[[#This Row],[Customer Rating]]&gt;=4.5,"EXCELLENT",IF(Table1_1[[#This Row],[Customer Rating]]&lt;=4,"GOOD","AVERAGE"))</f>
        <v>GOOD</v>
      </c>
    </row>
    <row r="846" spans="1:12" x14ac:dyDescent="0.3">
      <c r="A846" t="s">
        <v>511</v>
      </c>
      <c r="B846" t="s">
        <v>1052</v>
      </c>
      <c r="C846" t="s">
        <v>1053</v>
      </c>
      <c r="D846">
        <v>16010.24</v>
      </c>
      <c r="E846">
        <v>3</v>
      </c>
      <c r="F846">
        <f>SUM(Table1_1[[#This Row],[Price (INR)]]*Table1_1[[#This Row],[Quantity Sold]])</f>
        <v>48030.720000000001</v>
      </c>
      <c r="G846">
        <v>48030.720000000001</v>
      </c>
      <c r="H846" s="1">
        <v>45617</v>
      </c>
      <c r="I846" t="s">
        <v>1071</v>
      </c>
      <c r="J846">
        <v>1.6</v>
      </c>
      <c r="K846" t="str">
        <f>IF(Table1_1[[#This Row],[Quantity Sold]]&gt;=3,"BULK ORDER","REGULAR ORDER")</f>
        <v>BULK ORDER</v>
      </c>
      <c r="L846" t="str">
        <f>IF(Table1_1[[#This Row],[Customer Rating]]&gt;=4.5,"EXCELLENT",IF(Table1_1[[#This Row],[Customer Rating]]&lt;=4,"GOOD","AVERAGE"))</f>
        <v>GOOD</v>
      </c>
    </row>
    <row r="847" spans="1:12" x14ac:dyDescent="0.3">
      <c r="A847" t="s">
        <v>545</v>
      </c>
      <c r="B847" t="s">
        <v>1078</v>
      </c>
      <c r="C847" t="s">
        <v>1048</v>
      </c>
      <c r="D847">
        <v>13862.56</v>
      </c>
      <c r="E847">
        <v>1</v>
      </c>
      <c r="F847">
        <f>SUM(Table1_1[[#This Row],[Price (INR)]]*Table1_1[[#This Row],[Quantity Sold]])</f>
        <v>13862.56</v>
      </c>
      <c r="G847">
        <v>13862.56</v>
      </c>
      <c r="H847" s="1">
        <v>45657</v>
      </c>
      <c r="I847" t="s">
        <v>1059</v>
      </c>
      <c r="J847">
        <v>1.6</v>
      </c>
      <c r="K847" t="str">
        <f>IF(Table1_1[[#This Row],[Quantity Sold]]&gt;=3,"BULK ORDER","REGULAR ORDER")</f>
        <v>REGULAR ORDER</v>
      </c>
      <c r="L847" t="str">
        <f>IF(Table1_1[[#This Row],[Customer Rating]]&gt;=4.5,"EXCELLENT",IF(Table1_1[[#This Row],[Customer Rating]]&lt;=4,"GOOD","AVERAGE"))</f>
        <v>GOOD</v>
      </c>
    </row>
    <row r="848" spans="1:12" x14ac:dyDescent="0.3">
      <c r="A848" t="s">
        <v>561</v>
      </c>
      <c r="B848" t="s">
        <v>1060</v>
      </c>
      <c r="C848" t="s">
        <v>1051</v>
      </c>
      <c r="D848">
        <v>10818.28</v>
      </c>
      <c r="E848">
        <v>5</v>
      </c>
      <c r="F848">
        <f>SUM(Table1_1[[#This Row],[Price (INR)]]*Table1_1[[#This Row],[Quantity Sold]])</f>
        <v>54091.4</v>
      </c>
      <c r="G848">
        <v>54091.4</v>
      </c>
      <c r="H848" s="1">
        <v>45495</v>
      </c>
      <c r="I848" t="s">
        <v>16</v>
      </c>
      <c r="J848">
        <v>1.6</v>
      </c>
      <c r="K848" t="str">
        <f>IF(Table1_1[[#This Row],[Quantity Sold]]&gt;=3,"BULK ORDER","REGULAR ORDER")</f>
        <v>BULK ORDER</v>
      </c>
      <c r="L848" t="str">
        <f>IF(Table1_1[[#This Row],[Customer Rating]]&gt;=4.5,"EXCELLENT",IF(Table1_1[[#This Row],[Customer Rating]]&lt;=4,"GOOD","AVERAGE"))</f>
        <v>GOOD</v>
      </c>
    </row>
    <row r="849" spans="1:12" x14ac:dyDescent="0.3">
      <c r="A849" t="s">
        <v>637</v>
      </c>
      <c r="B849" t="s">
        <v>1065</v>
      </c>
      <c r="C849" t="s">
        <v>1053</v>
      </c>
      <c r="D849">
        <v>22475.54</v>
      </c>
      <c r="E849">
        <v>3</v>
      </c>
      <c r="F849">
        <f>SUM(Table1_1[[#This Row],[Price (INR)]]*Table1_1[[#This Row],[Quantity Sold]])</f>
        <v>67426.62</v>
      </c>
      <c r="G849">
        <v>67426.62</v>
      </c>
      <c r="H849" s="1">
        <v>45366</v>
      </c>
      <c r="I849" t="s">
        <v>16</v>
      </c>
      <c r="J849">
        <v>1.6</v>
      </c>
      <c r="K849" t="str">
        <f>IF(Table1_1[[#This Row],[Quantity Sold]]&gt;=3,"BULK ORDER","REGULAR ORDER")</f>
        <v>BULK ORDER</v>
      </c>
      <c r="L849" t="str">
        <f>IF(Table1_1[[#This Row],[Customer Rating]]&gt;=4.5,"EXCELLENT",IF(Table1_1[[#This Row],[Customer Rating]]&lt;=4,"GOOD","AVERAGE"))</f>
        <v>GOOD</v>
      </c>
    </row>
    <row r="850" spans="1:12" x14ac:dyDescent="0.3">
      <c r="A850" t="s">
        <v>677</v>
      </c>
      <c r="B850" t="s">
        <v>1047</v>
      </c>
      <c r="C850" t="s">
        <v>1048</v>
      </c>
      <c r="D850">
        <v>24537.79</v>
      </c>
      <c r="E850">
        <v>3</v>
      </c>
      <c r="F850">
        <f>SUM(Table1_1[[#This Row],[Price (INR)]]*Table1_1[[#This Row],[Quantity Sold]])</f>
        <v>73613.37</v>
      </c>
      <c r="G850">
        <v>73613.37</v>
      </c>
      <c r="H850" s="1">
        <v>45574</v>
      </c>
      <c r="I850" t="s">
        <v>1068</v>
      </c>
      <c r="J850">
        <v>1.6</v>
      </c>
      <c r="K850" t="str">
        <f>IF(Table1_1[[#This Row],[Quantity Sold]]&gt;=3,"BULK ORDER","REGULAR ORDER")</f>
        <v>BULK ORDER</v>
      </c>
      <c r="L850" t="str">
        <f>IF(Table1_1[[#This Row],[Customer Rating]]&gt;=4.5,"EXCELLENT",IF(Table1_1[[#This Row],[Customer Rating]]&lt;=4,"GOOD","AVERAGE"))</f>
        <v>GOOD</v>
      </c>
    </row>
    <row r="851" spans="1:12" x14ac:dyDescent="0.3">
      <c r="A851" t="s">
        <v>679</v>
      </c>
      <c r="B851" t="s">
        <v>1073</v>
      </c>
      <c r="C851" t="s">
        <v>1053</v>
      </c>
      <c r="D851">
        <v>14103.34</v>
      </c>
      <c r="E851">
        <v>2</v>
      </c>
      <c r="F851">
        <f>SUM(Table1_1[[#This Row],[Price (INR)]]*Table1_1[[#This Row],[Quantity Sold]])</f>
        <v>28206.68</v>
      </c>
      <c r="G851">
        <v>28206.68</v>
      </c>
      <c r="H851" s="1">
        <v>45466</v>
      </c>
      <c r="I851" t="s">
        <v>42</v>
      </c>
      <c r="J851">
        <v>1.6</v>
      </c>
      <c r="K851" t="str">
        <f>IF(Table1_1[[#This Row],[Quantity Sold]]&gt;=3,"BULK ORDER","REGULAR ORDER")</f>
        <v>REGULAR ORDER</v>
      </c>
      <c r="L851" t="str">
        <f>IF(Table1_1[[#This Row],[Customer Rating]]&gt;=4.5,"EXCELLENT",IF(Table1_1[[#This Row],[Customer Rating]]&lt;=4,"GOOD","AVERAGE"))</f>
        <v>GOOD</v>
      </c>
    </row>
    <row r="852" spans="1:12" x14ac:dyDescent="0.3">
      <c r="A852" t="s">
        <v>727</v>
      </c>
      <c r="B852" t="s">
        <v>1077</v>
      </c>
      <c r="C852" t="s">
        <v>1048</v>
      </c>
      <c r="D852">
        <v>14865.47</v>
      </c>
      <c r="E852">
        <v>2</v>
      </c>
      <c r="F852">
        <f>SUM(Table1_1[[#This Row],[Price (INR)]]*Table1_1[[#This Row],[Quantity Sold]])</f>
        <v>29730.94</v>
      </c>
      <c r="G852">
        <v>29730.94</v>
      </c>
      <c r="H852" s="1">
        <v>45527</v>
      </c>
      <c r="I852" t="s">
        <v>16</v>
      </c>
      <c r="J852">
        <v>1.6</v>
      </c>
      <c r="K852" t="str">
        <f>IF(Table1_1[[#This Row],[Quantity Sold]]&gt;=3,"BULK ORDER","REGULAR ORDER")</f>
        <v>REGULAR ORDER</v>
      </c>
      <c r="L852" t="str">
        <f>IF(Table1_1[[#This Row],[Customer Rating]]&gt;=4.5,"EXCELLENT",IF(Table1_1[[#This Row],[Customer Rating]]&lt;=4,"GOOD","AVERAGE"))</f>
        <v>GOOD</v>
      </c>
    </row>
    <row r="853" spans="1:12" x14ac:dyDescent="0.3">
      <c r="A853" t="s">
        <v>802</v>
      </c>
      <c r="B853" t="s">
        <v>1047</v>
      </c>
      <c r="C853" t="s">
        <v>1048</v>
      </c>
      <c r="D853">
        <v>7649.41</v>
      </c>
      <c r="E853">
        <v>4</v>
      </c>
      <c r="F853">
        <f>SUM(Table1_1[[#This Row],[Price (INR)]]*Table1_1[[#This Row],[Quantity Sold]])</f>
        <v>30597.64</v>
      </c>
      <c r="G853">
        <v>30597.64</v>
      </c>
      <c r="H853" s="1">
        <v>45398</v>
      </c>
      <c r="I853" t="s">
        <v>16</v>
      </c>
      <c r="J853">
        <v>1.6</v>
      </c>
      <c r="K853" t="str">
        <f>IF(Table1_1[[#This Row],[Quantity Sold]]&gt;=3,"BULK ORDER","REGULAR ORDER")</f>
        <v>BULK ORDER</v>
      </c>
      <c r="L853" t="str">
        <f>IF(Table1_1[[#This Row],[Customer Rating]]&gt;=4.5,"EXCELLENT",IF(Table1_1[[#This Row],[Customer Rating]]&lt;=4,"GOOD","AVERAGE"))</f>
        <v>GOOD</v>
      </c>
    </row>
    <row r="854" spans="1:12" x14ac:dyDescent="0.3">
      <c r="A854" t="s">
        <v>807</v>
      </c>
      <c r="B854" t="s">
        <v>1047</v>
      </c>
      <c r="C854" t="s">
        <v>1048</v>
      </c>
      <c r="D854">
        <v>45910.23</v>
      </c>
      <c r="E854">
        <v>4</v>
      </c>
      <c r="F854">
        <f>SUM(Table1_1[[#This Row],[Price (INR)]]*Table1_1[[#This Row],[Quantity Sold]])</f>
        <v>183640.92</v>
      </c>
      <c r="G854">
        <v>183640.92</v>
      </c>
      <c r="H854" s="1">
        <v>45652</v>
      </c>
      <c r="I854" t="s">
        <v>1071</v>
      </c>
      <c r="J854">
        <v>1.6</v>
      </c>
      <c r="K854" t="str">
        <f>IF(Table1_1[[#This Row],[Quantity Sold]]&gt;=3,"BULK ORDER","REGULAR ORDER")</f>
        <v>BULK ORDER</v>
      </c>
      <c r="L854" t="str">
        <f>IF(Table1_1[[#This Row],[Customer Rating]]&gt;=4.5,"EXCELLENT",IF(Table1_1[[#This Row],[Customer Rating]]&lt;=4,"GOOD","AVERAGE"))</f>
        <v>GOOD</v>
      </c>
    </row>
    <row r="855" spans="1:12" x14ac:dyDescent="0.3">
      <c r="A855" t="s">
        <v>832</v>
      </c>
      <c r="B855" t="s">
        <v>1076</v>
      </c>
      <c r="C855" t="s">
        <v>1055</v>
      </c>
      <c r="D855">
        <v>13371.25</v>
      </c>
      <c r="E855">
        <v>4</v>
      </c>
      <c r="F855">
        <f>SUM(Table1_1[[#This Row],[Price (INR)]]*Table1_1[[#This Row],[Quantity Sold]])</f>
        <v>53485</v>
      </c>
      <c r="G855">
        <v>53485</v>
      </c>
      <c r="H855" s="1">
        <v>45478</v>
      </c>
      <c r="I855" t="s">
        <v>1068</v>
      </c>
      <c r="J855">
        <v>1.6</v>
      </c>
      <c r="K855" t="str">
        <f>IF(Table1_1[[#This Row],[Quantity Sold]]&gt;=3,"BULK ORDER","REGULAR ORDER")</f>
        <v>BULK ORDER</v>
      </c>
      <c r="L855" t="str">
        <f>IF(Table1_1[[#This Row],[Customer Rating]]&gt;=4.5,"EXCELLENT",IF(Table1_1[[#This Row],[Customer Rating]]&lt;=4,"GOOD","AVERAGE"))</f>
        <v>GOOD</v>
      </c>
    </row>
    <row r="856" spans="1:12" x14ac:dyDescent="0.3">
      <c r="A856" t="s">
        <v>836</v>
      </c>
      <c r="B856" t="s">
        <v>1066</v>
      </c>
      <c r="C856" t="s">
        <v>1055</v>
      </c>
      <c r="D856">
        <v>19117.36</v>
      </c>
      <c r="E856">
        <v>3</v>
      </c>
      <c r="F856">
        <f>SUM(Table1_1[[#This Row],[Price (INR)]]*Table1_1[[#This Row],[Quantity Sold]])</f>
        <v>57352.08</v>
      </c>
      <c r="G856">
        <v>57352.08</v>
      </c>
      <c r="H856" s="1">
        <v>45696</v>
      </c>
      <c r="I856" t="s">
        <v>42</v>
      </c>
      <c r="J856">
        <v>1.6</v>
      </c>
      <c r="K856" t="str">
        <f>IF(Table1_1[[#This Row],[Quantity Sold]]&gt;=3,"BULK ORDER","REGULAR ORDER")</f>
        <v>BULK ORDER</v>
      </c>
      <c r="L856" t="str">
        <f>IF(Table1_1[[#This Row],[Customer Rating]]&gt;=4.5,"EXCELLENT",IF(Table1_1[[#This Row],[Customer Rating]]&lt;=4,"GOOD","AVERAGE"))</f>
        <v>GOOD</v>
      </c>
    </row>
    <row r="857" spans="1:12" x14ac:dyDescent="0.3">
      <c r="A857" t="s">
        <v>839</v>
      </c>
      <c r="B857" t="s">
        <v>1052</v>
      </c>
      <c r="C857" t="s">
        <v>1053</v>
      </c>
      <c r="D857">
        <v>5238.33</v>
      </c>
      <c r="E857">
        <v>3</v>
      </c>
      <c r="F857">
        <f>SUM(Table1_1[[#This Row],[Price (INR)]]*Table1_1[[#This Row],[Quantity Sold]])</f>
        <v>15714.99</v>
      </c>
      <c r="G857">
        <v>15714.99</v>
      </c>
      <c r="H857" s="1">
        <v>45589</v>
      </c>
      <c r="I857" t="s">
        <v>1059</v>
      </c>
      <c r="J857">
        <v>1.6</v>
      </c>
      <c r="K857" t="str">
        <f>IF(Table1_1[[#This Row],[Quantity Sold]]&gt;=3,"BULK ORDER","REGULAR ORDER")</f>
        <v>BULK ORDER</v>
      </c>
      <c r="L857" t="str">
        <f>IF(Table1_1[[#This Row],[Customer Rating]]&gt;=4.5,"EXCELLENT",IF(Table1_1[[#This Row],[Customer Rating]]&lt;=4,"GOOD","AVERAGE"))</f>
        <v>GOOD</v>
      </c>
    </row>
    <row r="858" spans="1:12" x14ac:dyDescent="0.3">
      <c r="A858" t="s">
        <v>861</v>
      </c>
      <c r="B858" t="s">
        <v>1052</v>
      </c>
      <c r="C858" t="s">
        <v>1053</v>
      </c>
      <c r="D858">
        <v>37528.53</v>
      </c>
      <c r="E858">
        <v>4</v>
      </c>
      <c r="F858">
        <f>SUM(Table1_1[[#This Row],[Price (INR)]]*Table1_1[[#This Row],[Quantity Sold]])</f>
        <v>150114.12</v>
      </c>
      <c r="G858">
        <v>150114.12</v>
      </c>
      <c r="H858" s="1">
        <v>45678</v>
      </c>
      <c r="I858" t="s">
        <v>16</v>
      </c>
      <c r="J858">
        <v>1.6</v>
      </c>
      <c r="K858" t="str">
        <f>IF(Table1_1[[#This Row],[Quantity Sold]]&gt;=3,"BULK ORDER","REGULAR ORDER")</f>
        <v>BULK ORDER</v>
      </c>
      <c r="L858" t="str">
        <f>IF(Table1_1[[#This Row],[Customer Rating]]&gt;=4.5,"EXCELLENT",IF(Table1_1[[#This Row],[Customer Rating]]&lt;=4,"GOOD","AVERAGE"))</f>
        <v>GOOD</v>
      </c>
    </row>
    <row r="859" spans="1:12" x14ac:dyDescent="0.3">
      <c r="A859" t="s">
        <v>907</v>
      </c>
      <c r="B859" t="s">
        <v>1054</v>
      </c>
      <c r="C859" t="s">
        <v>1055</v>
      </c>
      <c r="D859">
        <v>43298.080000000002</v>
      </c>
      <c r="E859">
        <v>3</v>
      </c>
      <c r="F859">
        <f>SUM(Table1_1[[#This Row],[Price (INR)]]*Table1_1[[#This Row],[Quantity Sold]])</f>
        <v>129894.24</v>
      </c>
      <c r="G859">
        <v>129894.24</v>
      </c>
      <c r="H859" s="1">
        <v>45501</v>
      </c>
      <c r="I859" t="s">
        <v>16</v>
      </c>
      <c r="J859">
        <v>1.6</v>
      </c>
      <c r="K859" t="str">
        <f>IF(Table1_1[[#This Row],[Quantity Sold]]&gt;=3,"BULK ORDER","REGULAR ORDER")</f>
        <v>BULK ORDER</v>
      </c>
      <c r="L859" t="str">
        <f>IF(Table1_1[[#This Row],[Customer Rating]]&gt;=4.5,"EXCELLENT",IF(Table1_1[[#This Row],[Customer Rating]]&lt;=4,"GOOD","AVERAGE"))</f>
        <v>GOOD</v>
      </c>
    </row>
    <row r="860" spans="1:12" x14ac:dyDescent="0.3">
      <c r="A860" t="s">
        <v>941</v>
      </c>
      <c r="B860" t="s">
        <v>1065</v>
      </c>
      <c r="C860" t="s">
        <v>1053</v>
      </c>
      <c r="D860">
        <v>30650.46</v>
      </c>
      <c r="E860">
        <v>5</v>
      </c>
      <c r="F860">
        <f>SUM(Table1_1[[#This Row],[Price (INR)]]*Table1_1[[#This Row],[Quantity Sold]])</f>
        <v>153252.29999999999</v>
      </c>
      <c r="G860">
        <v>153252.29999999999</v>
      </c>
      <c r="H860" s="1">
        <v>45547</v>
      </c>
      <c r="I860" t="s">
        <v>1071</v>
      </c>
      <c r="J860">
        <v>1.6</v>
      </c>
      <c r="K860" t="str">
        <f>IF(Table1_1[[#This Row],[Quantity Sold]]&gt;=3,"BULK ORDER","REGULAR ORDER")</f>
        <v>BULK ORDER</v>
      </c>
      <c r="L860" t="str">
        <f>IF(Table1_1[[#This Row],[Customer Rating]]&gt;=4.5,"EXCELLENT",IF(Table1_1[[#This Row],[Customer Rating]]&lt;=4,"GOOD","AVERAGE"))</f>
        <v>GOOD</v>
      </c>
    </row>
    <row r="861" spans="1:12" x14ac:dyDescent="0.3">
      <c r="A861" t="s">
        <v>995</v>
      </c>
      <c r="B861" t="s">
        <v>1070</v>
      </c>
      <c r="C861" t="s">
        <v>1051</v>
      </c>
      <c r="D861">
        <v>959.63</v>
      </c>
      <c r="E861">
        <v>1</v>
      </c>
      <c r="F861">
        <f>SUM(Table1_1[[#This Row],[Price (INR)]]*Table1_1[[#This Row],[Quantity Sold]])</f>
        <v>959.63</v>
      </c>
      <c r="G861">
        <v>959.63</v>
      </c>
      <c r="H861" s="1">
        <v>45617</v>
      </c>
      <c r="I861" t="s">
        <v>1059</v>
      </c>
      <c r="J861">
        <v>1.6</v>
      </c>
      <c r="K861" t="str">
        <f>IF(Table1_1[[#This Row],[Quantity Sold]]&gt;=3,"BULK ORDER","REGULAR ORDER")</f>
        <v>REGULAR ORDER</v>
      </c>
      <c r="L861" t="str">
        <f>IF(Table1_1[[#This Row],[Customer Rating]]&gt;=4.5,"EXCELLENT",IF(Table1_1[[#This Row],[Customer Rating]]&lt;=4,"GOOD","AVERAGE"))</f>
        <v>GOOD</v>
      </c>
    </row>
    <row r="862" spans="1:12" x14ac:dyDescent="0.3">
      <c r="A862" t="s">
        <v>1044</v>
      </c>
      <c r="B862" t="s">
        <v>1061</v>
      </c>
      <c r="C862" t="s">
        <v>1057</v>
      </c>
      <c r="D862">
        <v>16698.12</v>
      </c>
      <c r="E862">
        <v>4</v>
      </c>
      <c r="F862">
        <f>SUM(Table1_1[[#This Row],[Price (INR)]]*Table1_1[[#This Row],[Quantity Sold]])</f>
        <v>66792.479999999996</v>
      </c>
      <c r="G862">
        <v>66792.479999999996</v>
      </c>
      <c r="H862" s="1">
        <v>45377</v>
      </c>
      <c r="I862" t="s">
        <v>1068</v>
      </c>
      <c r="J862">
        <v>1.6</v>
      </c>
      <c r="K862" t="str">
        <f>IF(Table1_1[[#This Row],[Quantity Sold]]&gt;=3,"BULK ORDER","REGULAR ORDER")</f>
        <v>BULK ORDER</v>
      </c>
      <c r="L862" t="str">
        <f>IF(Table1_1[[#This Row],[Customer Rating]]&gt;=4.5,"EXCELLENT",IF(Table1_1[[#This Row],[Customer Rating]]&lt;=4,"GOOD","AVERAGE"))</f>
        <v>GOOD</v>
      </c>
    </row>
    <row r="863" spans="1:12" x14ac:dyDescent="0.3">
      <c r="A863" t="s">
        <v>165</v>
      </c>
      <c r="B863" t="s">
        <v>1063</v>
      </c>
      <c r="C863" t="s">
        <v>1055</v>
      </c>
      <c r="D863">
        <v>30593.67</v>
      </c>
      <c r="E863">
        <v>4</v>
      </c>
      <c r="F863">
        <f>SUM(Table1_1[[#This Row],[Price (INR)]]*Table1_1[[#This Row],[Quantity Sold]])</f>
        <v>122374.68</v>
      </c>
      <c r="G863">
        <v>122374.68</v>
      </c>
      <c r="H863" s="1">
        <v>45430</v>
      </c>
      <c r="I863" t="s">
        <v>42</v>
      </c>
      <c r="J863">
        <v>1.5</v>
      </c>
      <c r="K863" t="str">
        <f>IF(Table1_1[[#This Row],[Quantity Sold]]&gt;=3,"BULK ORDER","REGULAR ORDER")</f>
        <v>BULK ORDER</v>
      </c>
      <c r="L863" t="str">
        <f>IF(Table1_1[[#This Row],[Customer Rating]]&gt;=4.5,"EXCELLENT",IF(Table1_1[[#This Row],[Customer Rating]]&lt;=4,"GOOD","AVERAGE"))</f>
        <v>GOOD</v>
      </c>
    </row>
    <row r="864" spans="1:12" x14ac:dyDescent="0.3">
      <c r="A864" t="s">
        <v>184</v>
      </c>
      <c r="B864" t="s">
        <v>1056</v>
      </c>
      <c r="C864" t="s">
        <v>1057</v>
      </c>
      <c r="D864">
        <v>48175.48</v>
      </c>
      <c r="E864">
        <v>1</v>
      </c>
      <c r="F864">
        <f>SUM(Table1_1[[#This Row],[Price (INR)]]*Table1_1[[#This Row],[Quantity Sold]])</f>
        <v>48175.48</v>
      </c>
      <c r="G864">
        <v>48175.48</v>
      </c>
      <c r="H864" s="1">
        <v>45483</v>
      </c>
      <c r="I864" t="s">
        <v>42</v>
      </c>
      <c r="J864">
        <v>1.5</v>
      </c>
      <c r="K864" t="str">
        <f>IF(Table1_1[[#This Row],[Quantity Sold]]&gt;=3,"BULK ORDER","REGULAR ORDER")</f>
        <v>REGULAR ORDER</v>
      </c>
      <c r="L864" t="str">
        <f>IF(Table1_1[[#This Row],[Customer Rating]]&gt;=4.5,"EXCELLENT",IF(Table1_1[[#This Row],[Customer Rating]]&lt;=4,"GOOD","AVERAGE"))</f>
        <v>GOOD</v>
      </c>
    </row>
    <row r="865" spans="1:12" x14ac:dyDescent="0.3">
      <c r="A865" t="s">
        <v>205</v>
      </c>
      <c r="B865" t="s">
        <v>1078</v>
      </c>
      <c r="C865" t="s">
        <v>1048</v>
      </c>
      <c r="D865">
        <v>10565.57</v>
      </c>
      <c r="E865">
        <v>4</v>
      </c>
      <c r="F865">
        <f>SUM(Table1_1[[#This Row],[Price (INR)]]*Table1_1[[#This Row],[Quantity Sold]])</f>
        <v>42262.28</v>
      </c>
      <c r="G865">
        <v>42262.28</v>
      </c>
      <c r="H865" s="1">
        <v>45477</v>
      </c>
      <c r="I865" t="s">
        <v>1071</v>
      </c>
      <c r="J865">
        <v>1.5</v>
      </c>
      <c r="K865" t="str">
        <f>IF(Table1_1[[#This Row],[Quantity Sold]]&gt;=3,"BULK ORDER","REGULAR ORDER")</f>
        <v>BULK ORDER</v>
      </c>
      <c r="L865" t="str">
        <f>IF(Table1_1[[#This Row],[Customer Rating]]&gt;=4.5,"EXCELLENT",IF(Table1_1[[#This Row],[Customer Rating]]&lt;=4,"GOOD","AVERAGE"))</f>
        <v>GOOD</v>
      </c>
    </row>
    <row r="866" spans="1:12" x14ac:dyDescent="0.3">
      <c r="A866" t="s">
        <v>208</v>
      </c>
      <c r="B866" t="s">
        <v>1064</v>
      </c>
      <c r="C866" t="s">
        <v>1053</v>
      </c>
      <c r="D866">
        <v>23369.23</v>
      </c>
      <c r="E866">
        <v>1</v>
      </c>
      <c r="F866">
        <f>SUM(Table1_1[[#This Row],[Price (INR)]]*Table1_1[[#This Row],[Quantity Sold]])</f>
        <v>23369.23</v>
      </c>
      <c r="G866">
        <v>23369.23</v>
      </c>
      <c r="H866" s="1">
        <v>45619</v>
      </c>
      <c r="I866" t="s">
        <v>1068</v>
      </c>
      <c r="J866">
        <v>1.5</v>
      </c>
      <c r="K866" t="str">
        <f>IF(Table1_1[[#This Row],[Quantity Sold]]&gt;=3,"BULK ORDER","REGULAR ORDER")</f>
        <v>REGULAR ORDER</v>
      </c>
      <c r="L866" t="str">
        <f>IF(Table1_1[[#This Row],[Customer Rating]]&gt;=4.5,"EXCELLENT",IF(Table1_1[[#This Row],[Customer Rating]]&lt;=4,"GOOD","AVERAGE"))</f>
        <v>GOOD</v>
      </c>
    </row>
    <row r="867" spans="1:12" x14ac:dyDescent="0.3">
      <c r="A867" t="s">
        <v>233</v>
      </c>
      <c r="B867" t="s">
        <v>1060</v>
      </c>
      <c r="C867" t="s">
        <v>1051</v>
      </c>
      <c r="D867">
        <v>23638.720000000001</v>
      </c>
      <c r="E867">
        <v>1</v>
      </c>
      <c r="F867">
        <f>SUM(Table1_1[[#This Row],[Price (INR)]]*Table1_1[[#This Row],[Quantity Sold]])</f>
        <v>23638.720000000001</v>
      </c>
      <c r="G867">
        <v>23638.720000000001</v>
      </c>
      <c r="H867" s="1">
        <v>45559</v>
      </c>
      <c r="I867" t="s">
        <v>1068</v>
      </c>
      <c r="J867">
        <v>1.5</v>
      </c>
      <c r="K867" t="str">
        <f>IF(Table1_1[[#This Row],[Quantity Sold]]&gt;=3,"BULK ORDER","REGULAR ORDER")</f>
        <v>REGULAR ORDER</v>
      </c>
      <c r="L867" t="str">
        <f>IF(Table1_1[[#This Row],[Customer Rating]]&gt;=4.5,"EXCELLENT",IF(Table1_1[[#This Row],[Customer Rating]]&lt;=4,"GOOD","AVERAGE"))</f>
        <v>GOOD</v>
      </c>
    </row>
    <row r="868" spans="1:12" x14ac:dyDescent="0.3">
      <c r="A868" t="s">
        <v>246</v>
      </c>
      <c r="B868" t="s">
        <v>1067</v>
      </c>
      <c r="C868" t="s">
        <v>1048</v>
      </c>
      <c r="D868">
        <v>2275.09</v>
      </c>
      <c r="E868">
        <v>2</v>
      </c>
      <c r="F868">
        <f>SUM(Table1_1[[#This Row],[Price (INR)]]*Table1_1[[#This Row],[Quantity Sold]])</f>
        <v>4550.18</v>
      </c>
      <c r="G868">
        <v>4550.18</v>
      </c>
      <c r="H868" s="1">
        <v>45470</v>
      </c>
      <c r="I868" t="s">
        <v>1049</v>
      </c>
      <c r="J868">
        <v>1.5</v>
      </c>
      <c r="K868" t="str">
        <f>IF(Table1_1[[#This Row],[Quantity Sold]]&gt;=3,"BULK ORDER","REGULAR ORDER")</f>
        <v>REGULAR ORDER</v>
      </c>
      <c r="L868" t="str">
        <f>IF(Table1_1[[#This Row],[Customer Rating]]&gt;=4.5,"EXCELLENT",IF(Table1_1[[#This Row],[Customer Rating]]&lt;=4,"GOOD","AVERAGE"))</f>
        <v>GOOD</v>
      </c>
    </row>
    <row r="869" spans="1:12" x14ac:dyDescent="0.3">
      <c r="A869" t="s">
        <v>311</v>
      </c>
      <c r="B869" t="s">
        <v>1062</v>
      </c>
      <c r="C869" t="s">
        <v>1051</v>
      </c>
      <c r="D869">
        <v>6943.4</v>
      </c>
      <c r="E869">
        <v>5</v>
      </c>
      <c r="F869">
        <f>SUM(Table1_1[[#This Row],[Price (INR)]]*Table1_1[[#This Row],[Quantity Sold]])</f>
        <v>34717</v>
      </c>
      <c r="G869">
        <v>34717</v>
      </c>
      <c r="H869" s="1">
        <v>45489</v>
      </c>
      <c r="I869" t="s">
        <v>1049</v>
      </c>
      <c r="J869">
        <v>1.5</v>
      </c>
      <c r="K869" t="str">
        <f>IF(Table1_1[[#This Row],[Quantity Sold]]&gt;=3,"BULK ORDER","REGULAR ORDER")</f>
        <v>BULK ORDER</v>
      </c>
      <c r="L869" t="str">
        <f>IF(Table1_1[[#This Row],[Customer Rating]]&gt;=4.5,"EXCELLENT",IF(Table1_1[[#This Row],[Customer Rating]]&lt;=4,"GOOD","AVERAGE"))</f>
        <v>GOOD</v>
      </c>
    </row>
    <row r="870" spans="1:12" x14ac:dyDescent="0.3">
      <c r="A870" t="s">
        <v>319</v>
      </c>
      <c r="B870" t="s">
        <v>1069</v>
      </c>
      <c r="C870" t="s">
        <v>1048</v>
      </c>
      <c r="D870">
        <v>47384.51</v>
      </c>
      <c r="E870">
        <v>3</v>
      </c>
      <c r="F870">
        <f>SUM(Table1_1[[#This Row],[Price (INR)]]*Table1_1[[#This Row],[Quantity Sold]])</f>
        <v>142153.53</v>
      </c>
      <c r="G870">
        <v>142153.53</v>
      </c>
      <c r="H870" s="1">
        <v>45441</v>
      </c>
      <c r="I870" t="s">
        <v>1071</v>
      </c>
      <c r="J870">
        <v>1.5</v>
      </c>
      <c r="K870" t="str">
        <f>IF(Table1_1[[#This Row],[Quantity Sold]]&gt;=3,"BULK ORDER","REGULAR ORDER")</f>
        <v>BULK ORDER</v>
      </c>
      <c r="L870" t="str">
        <f>IF(Table1_1[[#This Row],[Customer Rating]]&gt;=4.5,"EXCELLENT",IF(Table1_1[[#This Row],[Customer Rating]]&lt;=4,"GOOD","AVERAGE"))</f>
        <v>GOOD</v>
      </c>
    </row>
    <row r="871" spans="1:12" x14ac:dyDescent="0.3">
      <c r="A871" t="s">
        <v>340</v>
      </c>
      <c r="B871" t="s">
        <v>1070</v>
      </c>
      <c r="C871" t="s">
        <v>1051</v>
      </c>
      <c r="D871">
        <v>11044.89</v>
      </c>
      <c r="E871">
        <v>3</v>
      </c>
      <c r="F871">
        <f>SUM(Table1_1[[#This Row],[Price (INR)]]*Table1_1[[#This Row],[Quantity Sold]])</f>
        <v>33134.67</v>
      </c>
      <c r="G871">
        <v>33134.67</v>
      </c>
      <c r="H871" s="1">
        <v>45621</v>
      </c>
      <c r="I871" t="s">
        <v>1059</v>
      </c>
      <c r="J871">
        <v>1.5</v>
      </c>
      <c r="K871" t="str">
        <f>IF(Table1_1[[#This Row],[Quantity Sold]]&gt;=3,"BULK ORDER","REGULAR ORDER")</f>
        <v>BULK ORDER</v>
      </c>
      <c r="L871" t="str">
        <f>IF(Table1_1[[#This Row],[Customer Rating]]&gt;=4.5,"EXCELLENT",IF(Table1_1[[#This Row],[Customer Rating]]&lt;=4,"GOOD","AVERAGE"))</f>
        <v>GOOD</v>
      </c>
    </row>
    <row r="872" spans="1:12" x14ac:dyDescent="0.3">
      <c r="A872" t="s">
        <v>358</v>
      </c>
      <c r="B872" t="s">
        <v>1058</v>
      </c>
      <c r="C872" t="s">
        <v>1057</v>
      </c>
      <c r="D872">
        <v>6119.31</v>
      </c>
      <c r="E872">
        <v>5</v>
      </c>
      <c r="F872">
        <f>SUM(Table1_1[[#This Row],[Price (INR)]]*Table1_1[[#This Row],[Quantity Sold]])</f>
        <v>30596.550000000003</v>
      </c>
      <c r="G872">
        <v>30596.55</v>
      </c>
      <c r="H872" s="1">
        <v>45358</v>
      </c>
      <c r="I872" t="s">
        <v>1071</v>
      </c>
      <c r="J872">
        <v>1.5</v>
      </c>
      <c r="K872" t="str">
        <f>IF(Table1_1[[#This Row],[Quantity Sold]]&gt;=3,"BULK ORDER","REGULAR ORDER")</f>
        <v>BULK ORDER</v>
      </c>
      <c r="L872" t="str">
        <f>IF(Table1_1[[#This Row],[Customer Rating]]&gt;=4.5,"EXCELLENT",IF(Table1_1[[#This Row],[Customer Rating]]&lt;=4,"GOOD","AVERAGE"))</f>
        <v>GOOD</v>
      </c>
    </row>
    <row r="873" spans="1:12" x14ac:dyDescent="0.3">
      <c r="A873" t="s">
        <v>393</v>
      </c>
      <c r="B873" t="s">
        <v>1056</v>
      </c>
      <c r="C873" t="s">
        <v>1057</v>
      </c>
      <c r="D873">
        <v>40679.29</v>
      </c>
      <c r="E873">
        <v>2</v>
      </c>
      <c r="F873">
        <f>SUM(Table1_1[[#This Row],[Price (INR)]]*Table1_1[[#This Row],[Quantity Sold]])</f>
        <v>81358.58</v>
      </c>
      <c r="G873">
        <v>81358.58</v>
      </c>
      <c r="H873" s="1">
        <v>45486</v>
      </c>
      <c r="I873" t="s">
        <v>1059</v>
      </c>
      <c r="J873">
        <v>1.5</v>
      </c>
      <c r="K873" t="str">
        <f>IF(Table1_1[[#This Row],[Quantity Sold]]&gt;=3,"BULK ORDER","REGULAR ORDER")</f>
        <v>REGULAR ORDER</v>
      </c>
      <c r="L873" t="str">
        <f>IF(Table1_1[[#This Row],[Customer Rating]]&gt;=4.5,"EXCELLENT",IF(Table1_1[[#This Row],[Customer Rating]]&lt;=4,"GOOD","AVERAGE"))</f>
        <v>GOOD</v>
      </c>
    </row>
    <row r="874" spans="1:12" x14ac:dyDescent="0.3">
      <c r="A874" t="s">
        <v>396</v>
      </c>
      <c r="B874" t="s">
        <v>1074</v>
      </c>
      <c r="C874" t="s">
        <v>1055</v>
      </c>
      <c r="D874">
        <v>13954.48</v>
      </c>
      <c r="E874">
        <v>3</v>
      </c>
      <c r="F874">
        <f>SUM(Table1_1[[#This Row],[Price (INR)]]*Table1_1[[#This Row],[Quantity Sold]])</f>
        <v>41863.440000000002</v>
      </c>
      <c r="G874">
        <v>41863.440000000002</v>
      </c>
      <c r="H874" s="1">
        <v>45669</v>
      </c>
      <c r="I874" t="s">
        <v>16</v>
      </c>
      <c r="J874">
        <v>1.5</v>
      </c>
      <c r="K874" t="str">
        <f>IF(Table1_1[[#This Row],[Quantity Sold]]&gt;=3,"BULK ORDER","REGULAR ORDER")</f>
        <v>BULK ORDER</v>
      </c>
      <c r="L874" t="str">
        <f>IF(Table1_1[[#This Row],[Customer Rating]]&gt;=4.5,"EXCELLENT",IF(Table1_1[[#This Row],[Customer Rating]]&lt;=4,"GOOD","AVERAGE"))</f>
        <v>GOOD</v>
      </c>
    </row>
    <row r="875" spans="1:12" x14ac:dyDescent="0.3">
      <c r="A875" t="s">
        <v>404</v>
      </c>
      <c r="B875" t="s">
        <v>1080</v>
      </c>
      <c r="C875" t="s">
        <v>1051</v>
      </c>
      <c r="D875">
        <v>7936.32</v>
      </c>
      <c r="E875">
        <v>4</v>
      </c>
      <c r="F875">
        <f>SUM(Table1_1[[#This Row],[Price (INR)]]*Table1_1[[#This Row],[Quantity Sold]])</f>
        <v>31745.279999999999</v>
      </c>
      <c r="G875">
        <v>31745.279999999999</v>
      </c>
      <c r="H875" s="1">
        <v>45556</v>
      </c>
      <c r="I875" t="s">
        <v>1068</v>
      </c>
      <c r="J875">
        <v>1.5</v>
      </c>
      <c r="K875" t="str">
        <f>IF(Table1_1[[#This Row],[Quantity Sold]]&gt;=3,"BULK ORDER","REGULAR ORDER")</f>
        <v>BULK ORDER</v>
      </c>
      <c r="L875" t="str">
        <f>IF(Table1_1[[#This Row],[Customer Rating]]&gt;=4.5,"EXCELLENT",IF(Table1_1[[#This Row],[Customer Rating]]&lt;=4,"GOOD","AVERAGE"))</f>
        <v>GOOD</v>
      </c>
    </row>
    <row r="876" spans="1:12" x14ac:dyDescent="0.3">
      <c r="A876" t="s">
        <v>459</v>
      </c>
      <c r="B876" t="s">
        <v>1063</v>
      </c>
      <c r="C876" t="s">
        <v>1055</v>
      </c>
      <c r="D876">
        <v>7532.86</v>
      </c>
      <c r="E876">
        <v>5</v>
      </c>
      <c r="F876">
        <f>SUM(Table1_1[[#This Row],[Price (INR)]]*Table1_1[[#This Row],[Quantity Sold]])</f>
        <v>37664.299999999996</v>
      </c>
      <c r="G876">
        <v>37664.300000000003</v>
      </c>
      <c r="H876" s="1">
        <v>45695</v>
      </c>
      <c r="I876" t="s">
        <v>16</v>
      </c>
      <c r="J876">
        <v>1.5</v>
      </c>
      <c r="K876" t="str">
        <f>IF(Table1_1[[#This Row],[Quantity Sold]]&gt;=3,"BULK ORDER","REGULAR ORDER")</f>
        <v>BULK ORDER</v>
      </c>
      <c r="L876" t="str">
        <f>IF(Table1_1[[#This Row],[Customer Rating]]&gt;=4.5,"EXCELLENT",IF(Table1_1[[#This Row],[Customer Rating]]&lt;=4,"GOOD","AVERAGE"))</f>
        <v>GOOD</v>
      </c>
    </row>
    <row r="877" spans="1:12" x14ac:dyDescent="0.3">
      <c r="A877" t="s">
        <v>485</v>
      </c>
      <c r="B877" t="s">
        <v>1076</v>
      </c>
      <c r="C877" t="s">
        <v>1055</v>
      </c>
      <c r="D877">
        <v>16929.740000000002</v>
      </c>
      <c r="E877">
        <v>3</v>
      </c>
      <c r="F877">
        <f>SUM(Table1_1[[#This Row],[Price (INR)]]*Table1_1[[#This Row],[Quantity Sold]])</f>
        <v>50789.22</v>
      </c>
      <c r="G877">
        <v>50789.22</v>
      </c>
      <c r="H877" s="1">
        <v>45368</v>
      </c>
      <c r="I877" t="s">
        <v>1059</v>
      </c>
      <c r="J877">
        <v>1.5</v>
      </c>
      <c r="K877" t="str">
        <f>IF(Table1_1[[#This Row],[Quantity Sold]]&gt;=3,"BULK ORDER","REGULAR ORDER")</f>
        <v>BULK ORDER</v>
      </c>
      <c r="L877" t="str">
        <f>IF(Table1_1[[#This Row],[Customer Rating]]&gt;=4.5,"EXCELLENT",IF(Table1_1[[#This Row],[Customer Rating]]&lt;=4,"GOOD","AVERAGE"))</f>
        <v>GOOD</v>
      </c>
    </row>
    <row r="878" spans="1:12" x14ac:dyDescent="0.3">
      <c r="A878" t="s">
        <v>604</v>
      </c>
      <c r="B878" t="s">
        <v>1070</v>
      </c>
      <c r="C878" t="s">
        <v>1051</v>
      </c>
      <c r="D878">
        <v>7994.76</v>
      </c>
      <c r="E878">
        <v>5</v>
      </c>
      <c r="F878">
        <f>SUM(Table1_1[[#This Row],[Price (INR)]]*Table1_1[[#This Row],[Quantity Sold]])</f>
        <v>39973.800000000003</v>
      </c>
      <c r="G878">
        <v>39973.800000000003</v>
      </c>
      <c r="H878" s="1">
        <v>45558</v>
      </c>
      <c r="I878" t="s">
        <v>1049</v>
      </c>
      <c r="J878">
        <v>1.5</v>
      </c>
      <c r="K878" t="str">
        <f>IF(Table1_1[[#This Row],[Quantity Sold]]&gt;=3,"BULK ORDER","REGULAR ORDER")</f>
        <v>BULK ORDER</v>
      </c>
      <c r="L878" t="str">
        <f>IF(Table1_1[[#This Row],[Customer Rating]]&gt;=4.5,"EXCELLENT",IF(Table1_1[[#This Row],[Customer Rating]]&lt;=4,"GOOD","AVERAGE"))</f>
        <v>GOOD</v>
      </c>
    </row>
    <row r="879" spans="1:12" x14ac:dyDescent="0.3">
      <c r="A879" t="s">
        <v>607</v>
      </c>
      <c r="B879" t="s">
        <v>1077</v>
      </c>
      <c r="C879" t="s">
        <v>1048</v>
      </c>
      <c r="D879">
        <v>36760.35</v>
      </c>
      <c r="E879">
        <v>1</v>
      </c>
      <c r="F879">
        <f>SUM(Table1_1[[#This Row],[Price (INR)]]*Table1_1[[#This Row],[Quantity Sold]])</f>
        <v>36760.35</v>
      </c>
      <c r="G879">
        <v>36760.35</v>
      </c>
      <c r="H879" s="1">
        <v>45531</v>
      </c>
      <c r="I879" t="s">
        <v>1068</v>
      </c>
      <c r="J879">
        <v>1.5</v>
      </c>
      <c r="K879" t="str">
        <f>IF(Table1_1[[#This Row],[Quantity Sold]]&gt;=3,"BULK ORDER","REGULAR ORDER")</f>
        <v>REGULAR ORDER</v>
      </c>
      <c r="L879" t="str">
        <f>IF(Table1_1[[#This Row],[Customer Rating]]&gt;=4.5,"EXCELLENT",IF(Table1_1[[#This Row],[Customer Rating]]&lt;=4,"GOOD","AVERAGE"))</f>
        <v>GOOD</v>
      </c>
    </row>
    <row r="880" spans="1:12" x14ac:dyDescent="0.3">
      <c r="A880" t="s">
        <v>609</v>
      </c>
      <c r="B880" t="s">
        <v>1080</v>
      </c>
      <c r="C880" t="s">
        <v>1051</v>
      </c>
      <c r="D880">
        <v>17983.34</v>
      </c>
      <c r="E880">
        <v>1</v>
      </c>
      <c r="F880">
        <f>SUM(Table1_1[[#This Row],[Price (INR)]]*Table1_1[[#This Row],[Quantity Sold]])</f>
        <v>17983.34</v>
      </c>
      <c r="G880">
        <v>17983.34</v>
      </c>
      <c r="H880" s="1">
        <v>45342</v>
      </c>
      <c r="I880" t="s">
        <v>42</v>
      </c>
      <c r="J880">
        <v>1.5</v>
      </c>
      <c r="K880" t="str">
        <f>IF(Table1_1[[#This Row],[Quantity Sold]]&gt;=3,"BULK ORDER","REGULAR ORDER")</f>
        <v>REGULAR ORDER</v>
      </c>
      <c r="L880" t="str">
        <f>IF(Table1_1[[#This Row],[Customer Rating]]&gt;=4.5,"EXCELLENT",IF(Table1_1[[#This Row],[Customer Rating]]&lt;=4,"GOOD","AVERAGE"))</f>
        <v>GOOD</v>
      </c>
    </row>
    <row r="881" spans="1:12" x14ac:dyDescent="0.3">
      <c r="A881" t="s">
        <v>657</v>
      </c>
      <c r="B881" t="s">
        <v>1058</v>
      </c>
      <c r="C881" t="s">
        <v>1057</v>
      </c>
      <c r="D881">
        <v>27582.01</v>
      </c>
      <c r="E881">
        <v>2</v>
      </c>
      <c r="F881">
        <f>SUM(Table1_1[[#This Row],[Price (INR)]]*Table1_1[[#This Row],[Quantity Sold]])</f>
        <v>55164.02</v>
      </c>
      <c r="G881">
        <v>55164.02</v>
      </c>
      <c r="H881" s="1">
        <v>45335</v>
      </c>
      <c r="I881" t="s">
        <v>1049</v>
      </c>
      <c r="J881">
        <v>1.5</v>
      </c>
      <c r="K881" t="str">
        <f>IF(Table1_1[[#This Row],[Quantity Sold]]&gt;=3,"BULK ORDER","REGULAR ORDER")</f>
        <v>REGULAR ORDER</v>
      </c>
      <c r="L881" t="str">
        <f>IF(Table1_1[[#This Row],[Customer Rating]]&gt;=4.5,"EXCELLENT",IF(Table1_1[[#This Row],[Customer Rating]]&lt;=4,"GOOD","AVERAGE"))</f>
        <v>GOOD</v>
      </c>
    </row>
    <row r="882" spans="1:12" x14ac:dyDescent="0.3">
      <c r="A882" t="s">
        <v>700</v>
      </c>
      <c r="B882" t="s">
        <v>1074</v>
      </c>
      <c r="C882" t="s">
        <v>1055</v>
      </c>
      <c r="D882">
        <v>33027.629999999997</v>
      </c>
      <c r="E882">
        <v>2</v>
      </c>
      <c r="F882">
        <f>SUM(Table1_1[[#This Row],[Price (INR)]]*Table1_1[[#This Row],[Quantity Sold]])</f>
        <v>66055.259999999995</v>
      </c>
      <c r="G882">
        <v>66055.259999999995</v>
      </c>
      <c r="H882" s="1">
        <v>45535</v>
      </c>
      <c r="I882" t="s">
        <v>42</v>
      </c>
      <c r="J882">
        <v>1.5</v>
      </c>
      <c r="K882" t="str">
        <f>IF(Table1_1[[#This Row],[Quantity Sold]]&gt;=3,"BULK ORDER","REGULAR ORDER")</f>
        <v>REGULAR ORDER</v>
      </c>
      <c r="L882" t="str">
        <f>IF(Table1_1[[#This Row],[Customer Rating]]&gt;=4.5,"EXCELLENT",IF(Table1_1[[#This Row],[Customer Rating]]&lt;=4,"GOOD","AVERAGE"))</f>
        <v>GOOD</v>
      </c>
    </row>
    <row r="883" spans="1:12" x14ac:dyDescent="0.3">
      <c r="A883" t="s">
        <v>740</v>
      </c>
      <c r="B883" t="s">
        <v>1056</v>
      </c>
      <c r="C883" t="s">
        <v>1057</v>
      </c>
      <c r="D883">
        <v>6421.63</v>
      </c>
      <c r="E883">
        <v>2</v>
      </c>
      <c r="F883">
        <f>SUM(Table1_1[[#This Row],[Price (INR)]]*Table1_1[[#This Row],[Quantity Sold]])</f>
        <v>12843.26</v>
      </c>
      <c r="G883">
        <v>12843.26</v>
      </c>
      <c r="H883" s="1">
        <v>45356</v>
      </c>
      <c r="I883" t="s">
        <v>1071</v>
      </c>
      <c r="J883">
        <v>1.5</v>
      </c>
      <c r="K883" t="str">
        <f>IF(Table1_1[[#This Row],[Quantity Sold]]&gt;=3,"BULK ORDER","REGULAR ORDER")</f>
        <v>REGULAR ORDER</v>
      </c>
      <c r="L883" t="str">
        <f>IF(Table1_1[[#This Row],[Customer Rating]]&gt;=4.5,"EXCELLENT",IF(Table1_1[[#This Row],[Customer Rating]]&lt;=4,"GOOD","AVERAGE"))</f>
        <v>GOOD</v>
      </c>
    </row>
    <row r="884" spans="1:12" x14ac:dyDescent="0.3">
      <c r="A884" t="s">
        <v>754</v>
      </c>
      <c r="B884" t="s">
        <v>1078</v>
      </c>
      <c r="C884" t="s">
        <v>1048</v>
      </c>
      <c r="D884">
        <v>6115.91</v>
      </c>
      <c r="E884">
        <v>1</v>
      </c>
      <c r="F884">
        <f>SUM(Table1_1[[#This Row],[Price (INR)]]*Table1_1[[#This Row],[Quantity Sold]])</f>
        <v>6115.91</v>
      </c>
      <c r="G884">
        <v>6115.91</v>
      </c>
      <c r="H884" s="1">
        <v>45426</v>
      </c>
      <c r="I884" t="s">
        <v>16</v>
      </c>
      <c r="J884">
        <v>1.5</v>
      </c>
      <c r="K884" t="str">
        <f>IF(Table1_1[[#This Row],[Quantity Sold]]&gt;=3,"BULK ORDER","REGULAR ORDER")</f>
        <v>REGULAR ORDER</v>
      </c>
      <c r="L884" t="str">
        <f>IF(Table1_1[[#This Row],[Customer Rating]]&gt;=4.5,"EXCELLENT",IF(Table1_1[[#This Row],[Customer Rating]]&lt;=4,"GOOD","AVERAGE"))</f>
        <v>GOOD</v>
      </c>
    </row>
    <row r="885" spans="1:12" x14ac:dyDescent="0.3">
      <c r="A885" t="s">
        <v>854</v>
      </c>
      <c r="B885" t="s">
        <v>1077</v>
      </c>
      <c r="C885" t="s">
        <v>1048</v>
      </c>
      <c r="D885">
        <v>26700.19</v>
      </c>
      <c r="E885">
        <v>3</v>
      </c>
      <c r="F885">
        <f>SUM(Table1_1[[#This Row],[Price (INR)]]*Table1_1[[#This Row],[Quantity Sold]])</f>
        <v>80100.569999999992</v>
      </c>
      <c r="G885">
        <v>80100.570000000007</v>
      </c>
      <c r="H885" s="1">
        <v>45377</v>
      </c>
      <c r="I885" t="s">
        <v>42</v>
      </c>
      <c r="J885">
        <v>1.5</v>
      </c>
      <c r="K885" t="str">
        <f>IF(Table1_1[[#This Row],[Quantity Sold]]&gt;=3,"BULK ORDER","REGULAR ORDER")</f>
        <v>BULK ORDER</v>
      </c>
      <c r="L885" t="str">
        <f>IF(Table1_1[[#This Row],[Customer Rating]]&gt;=4.5,"EXCELLENT",IF(Table1_1[[#This Row],[Customer Rating]]&lt;=4,"GOOD","AVERAGE"))</f>
        <v>GOOD</v>
      </c>
    </row>
    <row r="886" spans="1:12" x14ac:dyDescent="0.3">
      <c r="A886" t="s">
        <v>899</v>
      </c>
      <c r="B886" t="s">
        <v>1060</v>
      </c>
      <c r="C886" t="s">
        <v>1051</v>
      </c>
      <c r="D886">
        <v>9655.0300000000007</v>
      </c>
      <c r="E886">
        <v>4</v>
      </c>
      <c r="F886">
        <f>SUM(Table1_1[[#This Row],[Price (INR)]]*Table1_1[[#This Row],[Quantity Sold]])</f>
        <v>38620.120000000003</v>
      </c>
      <c r="G886">
        <v>38620.120000000003</v>
      </c>
      <c r="H886" s="1">
        <v>45612</v>
      </c>
      <c r="I886" t="s">
        <v>1068</v>
      </c>
      <c r="J886">
        <v>1.5</v>
      </c>
      <c r="K886" t="str">
        <f>IF(Table1_1[[#This Row],[Quantity Sold]]&gt;=3,"BULK ORDER","REGULAR ORDER")</f>
        <v>BULK ORDER</v>
      </c>
      <c r="L886" t="str">
        <f>IF(Table1_1[[#This Row],[Customer Rating]]&gt;=4.5,"EXCELLENT",IF(Table1_1[[#This Row],[Customer Rating]]&lt;=4,"GOOD","AVERAGE"))</f>
        <v>GOOD</v>
      </c>
    </row>
    <row r="887" spans="1:12" x14ac:dyDescent="0.3">
      <c r="A887" t="s">
        <v>975</v>
      </c>
      <c r="B887" t="s">
        <v>1080</v>
      </c>
      <c r="C887" t="s">
        <v>1051</v>
      </c>
      <c r="D887">
        <v>15950.41</v>
      </c>
      <c r="E887">
        <v>5</v>
      </c>
      <c r="F887">
        <f>SUM(Table1_1[[#This Row],[Price (INR)]]*Table1_1[[#This Row],[Quantity Sold]])</f>
        <v>79752.05</v>
      </c>
      <c r="G887">
        <v>79752.05</v>
      </c>
      <c r="H887" s="1">
        <v>45632</v>
      </c>
      <c r="I887" t="s">
        <v>42</v>
      </c>
      <c r="J887">
        <v>1.5</v>
      </c>
      <c r="K887" t="str">
        <f>IF(Table1_1[[#This Row],[Quantity Sold]]&gt;=3,"BULK ORDER","REGULAR ORDER")</f>
        <v>BULK ORDER</v>
      </c>
      <c r="L887" t="str">
        <f>IF(Table1_1[[#This Row],[Customer Rating]]&gt;=4.5,"EXCELLENT",IF(Table1_1[[#This Row],[Customer Rating]]&lt;=4,"GOOD","AVERAGE"))</f>
        <v>GOOD</v>
      </c>
    </row>
    <row r="888" spans="1:12" x14ac:dyDescent="0.3">
      <c r="A888" t="s">
        <v>1010</v>
      </c>
      <c r="B888" t="s">
        <v>1064</v>
      </c>
      <c r="C888" t="s">
        <v>1053</v>
      </c>
      <c r="D888">
        <v>14341.13</v>
      </c>
      <c r="E888">
        <v>4</v>
      </c>
      <c r="F888">
        <f>SUM(Table1_1[[#This Row],[Price (INR)]]*Table1_1[[#This Row],[Quantity Sold]])</f>
        <v>57364.52</v>
      </c>
      <c r="G888">
        <v>57364.52</v>
      </c>
      <c r="H888" s="1">
        <v>45471</v>
      </c>
      <c r="I888" t="s">
        <v>1068</v>
      </c>
      <c r="J888">
        <v>1.5</v>
      </c>
      <c r="K888" t="str">
        <f>IF(Table1_1[[#This Row],[Quantity Sold]]&gt;=3,"BULK ORDER","REGULAR ORDER")</f>
        <v>BULK ORDER</v>
      </c>
      <c r="L888" t="str">
        <f>IF(Table1_1[[#This Row],[Customer Rating]]&gt;=4.5,"EXCELLENT",IF(Table1_1[[#This Row],[Customer Rating]]&lt;=4,"GOOD","AVERAGE"))</f>
        <v>GOOD</v>
      </c>
    </row>
    <row r="889" spans="1:12" x14ac:dyDescent="0.3">
      <c r="A889" t="s">
        <v>1025</v>
      </c>
      <c r="B889" t="s">
        <v>1063</v>
      </c>
      <c r="C889" t="s">
        <v>1055</v>
      </c>
      <c r="D889">
        <v>19010.38</v>
      </c>
      <c r="E889">
        <v>5</v>
      </c>
      <c r="F889">
        <f>SUM(Table1_1[[#This Row],[Price (INR)]]*Table1_1[[#This Row],[Quantity Sold]])</f>
        <v>95051.900000000009</v>
      </c>
      <c r="G889">
        <v>95051.9</v>
      </c>
      <c r="H889" s="1">
        <v>45501</v>
      </c>
      <c r="I889" t="s">
        <v>1059</v>
      </c>
      <c r="J889">
        <v>1.5</v>
      </c>
      <c r="K889" t="str">
        <f>IF(Table1_1[[#This Row],[Quantity Sold]]&gt;=3,"BULK ORDER","REGULAR ORDER")</f>
        <v>BULK ORDER</v>
      </c>
      <c r="L889" t="str">
        <f>IF(Table1_1[[#This Row],[Customer Rating]]&gt;=4.5,"EXCELLENT",IF(Table1_1[[#This Row],[Customer Rating]]&lt;=4,"GOOD","AVERAGE"))</f>
        <v>GOOD</v>
      </c>
    </row>
    <row r="890" spans="1:12" x14ac:dyDescent="0.3">
      <c r="A890" t="s">
        <v>74</v>
      </c>
      <c r="B890" t="s">
        <v>1075</v>
      </c>
      <c r="C890" t="s">
        <v>1053</v>
      </c>
      <c r="D890">
        <v>12945.96</v>
      </c>
      <c r="E890">
        <v>3</v>
      </c>
      <c r="F890">
        <f>SUM(Table1_1[[#This Row],[Price (INR)]]*Table1_1[[#This Row],[Quantity Sold]])</f>
        <v>38837.879999999997</v>
      </c>
      <c r="G890">
        <v>38837.879999999997</v>
      </c>
      <c r="H890" s="1">
        <v>45453</v>
      </c>
      <c r="I890" t="s">
        <v>1059</v>
      </c>
      <c r="J890">
        <v>1.4</v>
      </c>
      <c r="K890" t="str">
        <f>IF(Table1_1[[#This Row],[Quantity Sold]]&gt;=3,"BULK ORDER","REGULAR ORDER")</f>
        <v>BULK ORDER</v>
      </c>
      <c r="L890" t="str">
        <f>IF(Table1_1[[#This Row],[Customer Rating]]&gt;=4.5,"EXCELLENT",IF(Table1_1[[#This Row],[Customer Rating]]&lt;=4,"GOOD","AVERAGE"))</f>
        <v>GOOD</v>
      </c>
    </row>
    <row r="891" spans="1:12" x14ac:dyDescent="0.3">
      <c r="A891" t="s">
        <v>138</v>
      </c>
      <c r="B891" t="s">
        <v>1076</v>
      </c>
      <c r="C891" t="s">
        <v>1055</v>
      </c>
      <c r="D891">
        <v>12506.31</v>
      </c>
      <c r="E891">
        <v>3</v>
      </c>
      <c r="F891">
        <f>SUM(Table1_1[[#This Row],[Price (INR)]]*Table1_1[[#This Row],[Quantity Sold]])</f>
        <v>37518.93</v>
      </c>
      <c r="G891">
        <v>37518.93</v>
      </c>
      <c r="H891" s="1">
        <v>45669</v>
      </c>
      <c r="I891" t="s">
        <v>16</v>
      </c>
      <c r="J891">
        <v>1.4</v>
      </c>
      <c r="K891" t="str">
        <f>IF(Table1_1[[#This Row],[Quantity Sold]]&gt;=3,"BULK ORDER","REGULAR ORDER")</f>
        <v>BULK ORDER</v>
      </c>
      <c r="L891" t="str">
        <f>IF(Table1_1[[#This Row],[Customer Rating]]&gt;=4.5,"EXCELLENT",IF(Table1_1[[#This Row],[Customer Rating]]&lt;=4,"GOOD","AVERAGE"))</f>
        <v>GOOD</v>
      </c>
    </row>
    <row r="892" spans="1:12" x14ac:dyDescent="0.3">
      <c r="A892" t="s">
        <v>169</v>
      </c>
      <c r="B892" t="s">
        <v>1061</v>
      </c>
      <c r="C892" t="s">
        <v>1057</v>
      </c>
      <c r="D892">
        <v>44412.88</v>
      </c>
      <c r="E892">
        <v>3</v>
      </c>
      <c r="F892">
        <f>SUM(Table1_1[[#This Row],[Price (INR)]]*Table1_1[[#This Row],[Quantity Sold]])</f>
        <v>133238.63999999998</v>
      </c>
      <c r="G892">
        <v>133238.64000000001</v>
      </c>
      <c r="H892" s="1">
        <v>45548</v>
      </c>
      <c r="I892" t="s">
        <v>42</v>
      </c>
      <c r="J892">
        <v>1.4</v>
      </c>
      <c r="K892" t="str">
        <f>IF(Table1_1[[#This Row],[Quantity Sold]]&gt;=3,"BULK ORDER","REGULAR ORDER")</f>
        <v>BULK ORDER</v>
      </c>
      <c r="L892" t="str">
        <f>IF(Table1_1[[#This Row],[Customer Rating]]&gt;=4.5,"EXCELLENT",IF(Table1_1[[#This Row],[Customer Rating]]&lt;=4,"GOOD","AVERAGE"))</f>
        <v>GOOD</v>
      </c>
    </row>
    <row r="893" spans="1:12" x14ac:dyDescent="0.3">
      <c r="A893" t="s">
        <v>186</v>
      </c>
      <c r="B893" t="s">
        <v>1062</v>
      </c>
      <c r="C893" t="s">
        <v>1051</v>
      </c>
      <c r="D893">
        <v>48346.41</v>
      </c>
      <c r="E893">
        <v>3</v>
      </c>
      <c r="F893">
        <f>SUM(Table1_1[[#This Row],[Price (INR)]]*Table1_1[[#This Row],[Quantity Sold]])</f>
        <v>145039.23000000001</v>
      </c>
      <c r="G893">
        <v>145039.23000000001</v>
      </c>
      <c r="H893" s="1">
        <v>45684</v>
      </c>
      <c r="I893" t="s">
        <v>1049</v>
      </c>
      <c r="J893">
        <v>1.4</v>
      </c>
      <c r="K893" t="str">
        <f>IF(Table1_1[[#This Row],[Quantity Sold]]&gt;=3,"BULK ORDER","REGULAR ORDER")</f>
        <v>BULK ORDER</v>
      </c>
      <c r="L893" t="str">
        <f>IF(Table1_1[[#This Row],[Customer Rating]]&gt;=4.5,"EXCELLENT",IF(Table1_1[[#This Row],[Customer Rating]]&lt;=4,"GOOD","AVERAGE"))</f>
        <v>GOOD</v>
      </c>
    </row>
    <row r="894" spans="1:12" x14ac:dyDescent="0.3">
      <c r="A894" t="s">
        <v>256</v>
      </c>
      <c r="B894" t="s">
        <v>1060</v>
      </c>
      <c r="C894" t="s">
        <v>1051</v>
      </c>
      <c r="D894">
        <v>34459.99</v>
      </c>
      <c r="E894">
        <v>3</v>
      </c>
      <c r="F894">
        <f>SUM(Table1_1[[#This Row],[Price (INR)]]*Table1_1[[#This Row],[Quantity Sold]])</f>
        <v>103379.97</v>
      </c>
      <c r="G894">
        <v>103379.97</v>
      </c>
      <c r="H894" s="1">
        <v>45570</v>
      </c>
      <c r="I894" t="s">
        <v>1049</v>
      </c>
      <c r="J894">
        <v>1.4</v>
      </c>
      <c r="K894" t="str">
        <f>IF(Table1_1[[#This Row],[Quantity Sold]]&gt;=3,"BULK ORDER","REGULAR ORDER")</f>
        <v>BULK ORDER</v>
      </c>
      <c r="L894" t="str">
        <f>IF(Table1_1[[#This Row],[Customer Rating]]&gt;=4.5,"EXCELLENT",IF(Table1_1[[#This Row],[Customer Rating]]&lt;=4,"GOOD","AVERAGE"))</f>
        <v>GOOD</v>
      </c>
    </row>
    <row r="895" spans="1:12" x14ac:dyDescent="0.3">
      <c r="A895" t="s">
        <v>262</v>
      </c>
      <c r="B895" t="s">
        <v>1080</v>
      </c>
      <c r="C895" t="s">
        <v>1051</v>
      </c>
      <c r="D895">
        <v>44241.68</v>
      </c>
      <c r="E895">
        <v>4</v>
      </c>
      <c r="F895">
        <f>SUM(Table1_1[[#This Row],[Price (INR)]]*Table1_1[[#This Row],[Quantity Sold]])</f>
        <v>176966.72</v>
      </c>
      <c r="G895">
        <v>176966.72</v>
      </c>
      <c r="H895" s="1">
        <v>45553</v>
      </c>
      <c r="I895" t="s">
        <v>42</v>
      </c>
      <c r="J895">
        <v>1.4</v>
      </c>
      <c r="K895" t="str">
        <f>IF(Table1_1[[#This Row],[Quantity Sold]]&gt;=3,"BULK ORDER","REGULAR ORDER")</f>
        <v>BULK ORDER</v>
      </c>
      <c r="L895" t="str">
        <f>IF(Table1_1[[#This Row],[Customer Rating]]&gt;=4.5,"EXCELLENT",IF(Table1_1[[#This Row],[Customer Rating]]&lt;=4,"GOOD","AVERAGE"))</f>
        <v>GOOD</v>
      </c>
    </row>
    <row r="896" spans="1:12" x14ac:dyDescent="0.3">
      <c r="A896" t="s">
        <v>291</v>
      </c>
      <c r="B896" t="s">
        <v>1054</v>
      </c>
      <c r="C896" t="s">
        <v>1055</v>
      </c>
      <c r="D896">
        <v>16272.38</v>
      </c>
      <c r="E896">
        <v>3</v>
      </c>
      <c r="F896">
        <f>SUM(Table1_1[[#This Row],[Price (INR)]]*Table1_1[[#This Row],[Quantity Sold]])</f>
        <v>48817.14</v>
      </c>
      <c r="G896">
        <v>48817.14</v>
      </c>
      <c r="H896" s="1">
        <v>45458</v>
      </c>
      <c r="I896" t="s">
        <v>1049</v>
      </c>
      <c r="J896">
        <v>1.4</v>
      </c>
      <c r="K896" t="str">
        <f>IF(Table1_1[[#This Row],[Quantity Sold]]&gt;=3,"BULK ORDER","REGULAR ORDER")</f>
        <v>BULK ORDER</v>
      </c>
      <c r="L896" t="str">
        <f>IF(Table1_1[[#This Row],[Customer Rating]]&gt;=4.5,"EXCELLENT",IF(Table1_1[[#This Row],[Customer Rating]]&lt;=4,"GOOD","AVERAGE"))</f>
        <v>GOOD</v>
      </c>
    </row>
    <row r="897" spans="1:12" x14ac:dyDescent="0.3">
      <c r="A897" t="s">
        <v>300</v>
      </c>
      <c r="B897" t="s">
        <v>1062</v>
      </c>
      <c r="C897" t="s">
        <v>1051</v>
      </c>
      <c r="D897">
        <v>15068.72</v>
      </c>
      <c r="E897">
        <v>4</v>
      </c>
      <c r="F897">
        <f>SUM(Table1_1[[#This Row],[Price (INR)]]*Table1_1[[#This Row],[Quantity Sold]])</f>
        <v>60274.879999999997</v>
      </c>
      <c r="G897">
        <v>60274.879999999997</v>
      </c>
      <c r="H897" s="1">
        <v>45374</v>
      </c>
      <c r="I897" t="s">
        <v>1049</v>
      </c>
      <c r="J897">
        <v>1.4</v>
      </c>
      <c r="K897" t="str">
        <f>IF(Table1_1[[#This Row],[Quantity Sold]]&gt;=3,"BULK ORDER","REGULAR ORDER")</f>
        <v>BULK ORDER</v>
      </c>
      <c r="L897" t="str">
        <f>IF(Table1_1[[#This Row],[Customer Rating]]&gt;=4.5,"EXCELLENT",IF(Table1_1[[#This Row],[Customer Rating]]&lt;=4,"GOOD","AVERAGE"))</f>
        <v>GOOD</v>
      </c>
    </row>
    <row r="898" spans="1:12" x14ac:dyDescent="0.3">
      <c r="A898" t="s">
        <v>371</v>
      </c>
      <c r="B898" t="s">
        <v>1063</v>
      </c>
      <c r="C898" t="s">
        <v>1055</v>
      </c>
      <c r="D898">
        <v>18386.259999999998</v>
      </c>
      <c r="E898">
        <v>1</v>
      </c>
      <c r="F898">
        <f>SUM(Table1_1[[#This Row],[Price (INR)]]*Table1_1[[#This Row],[Quantity Sold]])</f>
        <v>18386.259999999998</v>
      </c>
      <c r="G898">
        <v>18386.259999999998</v>
      </c>
      <c r="H898" s="1">
        <v>45571</v>
      </c>
      <c r="I898" t="s">
        <v>1068</v>
      </c>
      <c r="J898">
        <v>1.4</v>
      </c>
      <c r="K898" t="str">
        <f>IF(Table1_1[[#This Row],[Quantity Sold]]&gt;=3,"BULK ORDER","REGULAR ORDER")</f>
        <v>REGULAR ORDER</v>
      </c>
      <c r="L898" t="str">
        <f>IF(Table1_1[[#This Row],[Customer Rating]]&gt;=4.5,"EXCELLENT",IF(Table1_1[[#This Row],[Customer Rating]]&lt;=4,"GOOD","AVERAGE"))</f>
        <v>GOOD</v>
      </c>
    </row>
    <row r="899" spans="1:12" x14ac:dyDescent="0.3">
      <c r="A899" t="s">
        <v>400</v>
      </c>
      <c r="B899" t="s">
        <v>1078</v>
      </c>
      <c r="C899" t="s">
        <v>1048</v>
      </c>
      <c r="D899">
        <v>34116.230000000003</v>
      </c>
      <c r="E899">
        <v>3</v>
      </c>
      <c r="F899">
        <f>SUM(Table1_1[[#This Row],[Price (INR)]]*Table1_1[[#This Row],[Quantity Sold]])</f>
        <v>102348.69</v>
      </c>
      <c r="G899">
        <v>102348.69</v>
      </c>
      <c r="H899" s="1">
        <v>45371</v>
      </c>
      <c r="I899" t="s">
        <v>1059</v>
      </c>
      <c r="J899">
        <v>1.4</v>
      </c>
      <c r="K899" t="str">
        <f>IF(Table1_1[[#This Row],[Quantity Sold]]&gt;=3,"BULK ORDER","REGULAR ORDER")</f>
        <v>BULK ORDER</v>
      </c>
      <c r="L899" t="str">
        <f>IF(Table1_1[[#This Row],[Customer Rating]]&gt;=4.5,"EXCELLENT",IF(Table1_1[[#This Row],[Customer Rating]]&lt;=4,"GOOD","AVERAGE"))</f>
        <v>GOOD</v>
      </c>
    </row>
    <row r="900" spans="1:12" x14ac:dyDescent="0.3">
      <c r="A900" t="s">
        <v>419</v>
      </c>
      <c r="B900" t="s">
        <v>1066</v>
      </c>
      <c r="C900" t="s">
        <v>1055</v>
      </c>
      <c r="D900">
        <v>11507.22</v>
      </c>
      <c r="E900">
        <v>4</v>
      </c>
      <c r="F900">
        <f>SUM(Table1_1[[#This Row],[Price (INR)]]*Table1_1[[#This Row],[Quantity Sold]])</f>
        <v>46028.88</v>
      </c>
      <c r="G900">
        <v>46028.88</v>
      </c>
      <c r="H900" s="1">
        <v>45399</v>
      </c>
      <c r="I900" t="s">
        <v>1049</v>
      </c>
      <c r="J900">
        <v>1.4</v>
      </c>
      <c r="K900" t="str">
        <f>IF(Table1_1[[#This Row],[Quantity Sold]]&gt;=3,"BULK ORDER","REGULAR ORDER")</f>
        <v>BULK ORDER</v>
      </c>
      <c r="L900" t="str">
        <f>IF(Table1_1[[#This Row],[Customer Rating]]&gt;=4.5,"EXCELLENT",IF(Table1_1[[#This Row],[Customer Rating]]&lt;=4,"GOOD","AVERAGE"))</f>
        <v>GOOD</v>
      </c>
    </row>
    <row r="901" spans="1:12" x14ac:dyDescent="0.3">
      <c r="A901" t="s">
        <v>427</v>
      </c>
      <c r="B901" t="s">
        <v>1054</v>
      </c>
      <c r="C901" t="s">
        <v>1055</v>
      </c>
      <c r="D901">
        <v>40862.870000000003</v>
      </c>
      <c r="E901">
        <v>2</v>
      </c>
      <c r="F901">
        <f>SUM(Table1_1[[#This Row],[Price (INR)]]*Table1_1[[#This Row],[Quantity Sold]])</f>
        <v>81725.740000000005</v>
      </c>
      <c r="G901">
        <v>81725.740000000005</v>
      </c>
      <c r="H901" s="1">
        <v>45434</v>
      </c>
      <c r="I901" t="s">
        <v>1049</v>
      </c>
      <c r="J901">
        <v>1.4</v>
      </c>
      <c r="K901" t="str">
        <f>IF(Table1_1[[#This Row],[Quantity Sold]]&gt;=3,"BULK ORDER","REGULAR ORDER")</f>
        <v>REGULAR ORDER</v>
      </c>
      <c r="L901" t="str">
        <f>IF(Table1_1[[#This Row],[Customer Rating]]&gt;=4.5,"EXCELLENT",IF(Table1_1[[#This Row],[Customer Rating]]&lt;=4,"GOOD","AVERAGE"))</f>
        <v>GOOD</v>
      </c>
    </row>
    <row r="902" spans="1:12" x14ac:dyDescent="0.3">
      <c r="A902" t="s">
        <v>467</v>
      </c>
      <c r="B902" t="s">
        <v>1078</v>
      </c>
      <c r="C902" t="s">
        <v>1048</v>
      </c>
      <c r="D902">
        <v>28818.74</v>
      </c>
      <c r="E902">
        <v>3</v>
      </c>
      <c r="F902">
        <f>SUM(Table1_1[[#This Row],[Price (INR)]]*Table1_1[[#This Row],[Quantity Sold]])</f>
        <v>86456.22</v>
      </c>
      <c r="G902">
        <v>86456.22</v>
      </c>
      <c r="H902" s="1">
        <v>45470</v>
      </c>
      <c r="I902" t="s">
        <v>1049</v>
      </c>
      <c r="J902">
        <v>1.4</v>
      </c>
      <c r="K902" t="str">
        <f>IF(Table1_1[[#This Row],[Quantity Sold]]&gt;=3,"BULK ORDER","REGULAR ORDER")</f>
        <v>BULK ORDER</v>
      </c>
      <c r="L902" t="str">
        <f>IF(Table1_1[[#This Row],[Customer Rating]]&gt;=4.5,"EXCELLENT",IF(Table1_1[[#This Row],[Customer Rating]]&lt;=4,"GOOD","AVERAGE"))</f>
        <v>GOOD</v>
      </c>
    </row>
    <row r="903" spans="1:12" x14ac:dyDescent="0.3">
      <c r="A903" t="s">
        <v>542</v>
      </c>
      <c r="B903" t="s">
        <v>1047</v>
      </c>
      <c r="C903" t="s">
        <v>1048</v>
      </c>
      <c r="D903">
        <v>6884.74</v>
      </c>
      <c r="E903">
        <v>5</v>
      </c>
      <c r="F903">
        <f>SUM(Table1_1[[#This Row],[Price (INR)]]*Table1_1[[#This Row],[Quantity Sold]])</f>
        <v>34423.699999999997</v>
      </c>
      <c r="G903">
        <v>34423.699999999997</v>
      </c>
      <c r="H903" s="1">
        <v>45516</v>
      </c>
      <c r="I903" t="s">
        <v>1071</v>
      </c>
      <c r="J903">
        <v>1.4</v>
      </c>
      <c r="K903" t="str">
        <f>IF(Table1_1[[#This Row],[Quantity Sold]]&gt;=3,"BULK ORDER","REGULAR ORDER")</f>
        <v>BULK ORDER</v>
      </c>
      <c r="L903" t="str">
        <f>IF(Table1_1[[#This Row],[Customer Rating]]&gt;=4.5,"EXCELLENT",IF(Table1_1[[#This Row],[Customer Rating]]&lt;=4,"GOOD","AVERAGE"))</f>
        <v>GOOD</v>
      </c>
    </row>
    <row r="904" spans="1:12" x14ac:dyDescent="0.3">
      <c r="A904" t="s">
        <v>574</v>
      </c>
      <c r="B904" t="s">
        <v>1052</v>
      </c>
      <c r="C904" t="s">
        <v>1053</v>
      </c>
      <c r="D904">
        <v>22534.799999999999</v>
      </c>
      <c r="E904">
        <v>4</v>
      </c>
      <c r="F904">
        <f>SUM(Table1_1[[#This Row],[Price (INR)]]*Table1_1[[#This Row],[Quantity Sold]])</f>
        <v>90139.199999999997</v>
      </c>
      <c r="G904">
        <v>90139.199999999997</v>
      </c>
      <c r="H904" s="1">
        <v>45534</v>
      </c>
      <c r="I904" t="s">
        <v>42</v>
      </c>
      <c r="J904">
        <v>1.4</v>
      </c>
      <c r="K904" t="str">
        <f>IF(Table1_1[[#This Row],[Quantity Sold]]&gt;=3,"BULK ORDER","REGULAR ORDER")</f>
        <v>BULK ORDER</v>
      </c>
      <c r="L904" t="str">
        <f>IF(Table1_1[[#This Row],[Customer Rating]]&gt;=4.5,"EXCELLENT",IF(Table1_1[[#This Row],[Customer Rating]]&lt;=4,"GOOD","AVERAGE"))</f>
        <v>GOOD</v>
      </c>
    </row>
    <row r="905" spans="1:12" x14ac:dyDescent="0.3">
      <c r="A905" t="s">
        <v>670</v>
      </c>
      <c r="B905" t="s">
        <v>1077</v>
      </c>
      <c r="C905" t="s">
        <v>1048</v>
      </c>
      <c r="D905">
        <v>8598.2199999999993</v>
      </c>
      <c r="E905">
        <v>5</v>
      </c>
      <c r="F905">
        <f>SUM(Table1_1[[#This Row],[Price (INR)]]*Table1_1[[#This Row],[Quantity Sold]])</f>
        <v>42991.1</v>
      </c>
      <c r="G905">
        <v>42991.1</v>
      </c>
      <c r="H905" s="1">
        <v>45695</v>
      </c>
      <c r="I905" t="s">
        <v>16</v>
      </c>
      <c r="J905">
        <v>1.4</v>
      </c>
      <c r="K905" t="str">
        <f>IF(Table1_1[[#This Row],[Quantity Sold]]&gt;=3,"BULK ORDER","REGULAR ORDER")</f>
        <v>BULK ORDER</v>
      </c>
      <c r="L905" t="str">
        <f>IF(Table1_1[[#This Row],[Customer Rating]]&gt;=4.5,"EXCELLENT",IF(Table1_1[[#This Row],[Customer Rating]]&lt;=4,"GOOD","AVERAGE"))</f>
        <v>GOOD</v>
      </c>
    </row>
    <row r="906" spans="1:12" x14ac:dyDescent="0.3">
      <c r="A906" t="s">
        <v>725</v>
      </c>
      <c r="B906" t="s">
        <v>1078</v>
      </c>
      <c r="C906" t="s">
        <v>1048</v>
      </c>
      <c r="D906">
        <v>31332.42</v>
      </c>
      <c r="E906">
        <v>4</v>
      </c>
      <c r="F906">
        <f>SUM(Table1_1[[#This Row],[Price (INR)]]*Table1_1[[#This Row],[Quantity Sold]])</f>
        <v>125329.68</v>
      </c>
      <c r="G906">
        <v>125329.68</v>
      </c>
      <c r="H906" s="1">
        <v>45543</v>
      </c>
      <c r="I906" t="s">
        <v>1068</v>
      </c>
      <c r="J906">
        <v>1.4</v>
      </c>
      <c r="K906" t="str">
        <f>IF(Table1_1[[#This Row],[Quantity Sold]]&gt;=3,"BULK ORDER","REGULAR ORDER")</f>
        <v>BULK ORDER</v>
      </c>
      <c r="L906" t="str">
        <f>IF(Table1_1[[#This Row],[Customer Rating]]&gt;=4.5,"EXCELLENT",IF(Table1_1[[#This Row],[Customer Rating]]&lt;=4,"GOOD","AVERAGE"))</f>
        <v>GOOD</v>
      </c>
    </row>
    <row r="907" spans="1:12" x14ac:dyDescent="0.3">
      <c r="A907" t="s">
        <v>842</v>
      </c>
      <c r="B907" t="s">
        <v>1050</v>
      </c>
      <c r="C907" t="s">
        <v>1051</v>
      </c>
      <c r="D907">
        <v>41121.949999999997</v>
      </c>
      <c r="E907">
        <v>3</v>
      </c>
      <c r="F907">
        <f>SUM(Table1_1[[#This Row],[Price (INR)]]*Table1_1[[#This Row],[Quantity Sold]])</f>
        <v>123365.84999999999</v>
      </c>
      <c r="G907">
        <v>123365.85</v>
      </c>
      <c r="H907" s="1">
        <v>45342</v>
      </c>
      <c r="I907" t="s">
        <v>42</v>
      </c>
      <c r="J907">
        <v>1.4</v>
      </c>
      <c r="K907" t="str">
        <f>IF(Table1_1[[#This Row],[Quantity Sold]]&gt;=3,"BULK ORDER","REGULAR ORDER")</f>
        <v>BULK ORDER</v>
      </c>
      <c r="L907" t="str">
        <f>IF(Table1_1[[#This Row],[Customer Rating]]&gt;=4.5,"EXCELLENT",IF(Table1_1[[#This Row],[Customer Rating]]&lt;=4,"GOOD","AVERAGE"))</f>
        <v>GOOD</v>
      </c>
    </row>
    <row r="908" spans="1:12" x14ac:dyDescent="0.3">
      <c r="A908" t="s">
        <v>853</v>
      </c>
      <c r="B908" t="s">
        <v>1074</v>
      </c>
      <c r="C908" t="s">
        <v>1055</v>
      </c>
      <c r="D908">
        <v>45786.559999999998</v>
      </c>
      <c r="E908">
        <v>5</v>
      </c>
      <c r="F908">
        <f>SUM(Table1_1[[#This Row],[Price (INR)]]*Table1_1[[#This Row],[Quantity Sold]])</f>
        <v>228932.8</v>
      </c>
      <c r="G908">
        <v>228932.8</v>
      </c>
      <c r="H908" s="1">
        <v>45648</v>
      </c>
      <c r="I908" t="s">
        <v>1059</v>
      </c>
      <c r="J908">
        <v>1.4</v>
      </c>
      <c r="K908" t="str">
        <f>IF(Table1_1[[#This Row],[Quantity Sold]]&gt;=3,"BULK ORDER","REGULAR ORDER")</f>
        <v>BULK ORDER</v>
      </c>
      <c r="L908" t="str">
        <f>IF(Table1_1[[#This Row],[Customer Rating]]&gt;=4.5,"EXCELLENT",IF(Table1_1[[#This Row],[Customer Rating]]&lt;=4,"GOOD","AVERAGE"))</f>
        <v>GOOD</v>
      </c>
    </row>
    <row r="909" spans="1:12" x14ac:dyDescent="0.3">
      <c r="A909" t="s">
        <v>855</v>
      </c>
      <c r="B909" t="s">
        <v>1060</v>
      </c>
      <c r="C909" t="s">
        <v>1051</v>
      </c>
      <c r="D909">
        <v>27367.02</v>
      </c>
      <c r="E909">
        <v>3</v>
      </c>
      <c r="F909">
        <f>SUM(Table1_1[[#This Row],[Price (INR)]]*Table1_1[[#This Row],[Quantity Sold]])</f>
        <v>82101.06</v>
      </c>
      <c r="G909">
        <v>82101.06</v>
      </c>
      <c r="H909" s="1">
        <v>45476</v>
      </c>
      <c r="I909" t="s">
        <v>1059</v>
      </c>
      <c r="J909">
        <v>1.4</v>
      </c>
      <c r="K909" t="str">
        <f>IF(Table1_1[[#This Row],[Quantity Sold]]&gt;=3,"BULK ORDER","REGULAR ORDER")</f>
        <v>BULK ORDER</v>
      </c>
      <c r="L909" t="str">
        <f>IF(Table1_1[[#This Row],[Customer Rating]]&gt;=4.5,"EXCELLENT",IF(Table1_1[[#This Row],[Customer Rating]]&lt;=4,"GOOD","AVERAGE"))</f>
        <v>GOOD</v>
      </c>
    </row>
    <row r="910" spans="1:12" x14ac:dyDescent="0.3">
      <c r="A910" t="s">
        <v>939</v>
      </c>
      <c r="B910" t="s">
        <v>1063</v>
      </c>
      <c r="C910" t="s">
        <v>1055</v>
      </c>
      <c r="D910">
        <v>1002.29</v>
      </c>
      <c r="E910">
        <v>1</v>
      </c>
      <c r="F910">
        <f>SUM(Table1_1[[#This Row],[Price (INR)]]*Table1_1[[#This Row],[Quantity Sold]])</f>
        <v>1002.29</v>
      </c>
      <c r="G910">
        <v>1002.29</v>
      </c>
      <c r="H910" s="1">
        <v>45665</v>
      </c>
      <c r="I910" t="s">
        <v>16</v>
      </c>
      <c r="J910">
        <v>1.4</v>
      </c>
      <c r="K910" t="str">
        <f>IF(Table1_1[[#This Row],[Quantity Sold]]&gt;=3,"BULK ORDER","REGULAR ORDER")</f>
        <v>REGULAR ORDER</v>
      </c>
      <c r="L910" t="str">
        <f>IF(Table1_1[[#This Row],[Customer Rating]]&gt;=4.5,"EXCELLENT",IF(Table1_1[[#This Row],[Customer Rating]]&lt;=4,"GOOD","AVERAGE"))</f>
        <v>GOOD</v>
      </c>
    </row>
    <row r="911" spans="1:12" x14ac:dyDescent="0.3">
      <c r="A911" t="s">
        <v>991</v>
      </c>
      <c r="B911" t="s">
        <v>1080</v>
      </c>
      <c r="C911" t="s">
        <v>1051</v>
      </c>
      <c r="D911">
        <v>22870.53</v>
      </c>
      <c r="E911">
        <v>5</v>
      </c>
      <c r="F911">
        <f>SUM(Table1_1[[#This Row],[Price (INR)]]*Table1_1[[#This Row],[Quantity Sold]])</f>
        <v>114352.65</v>
      </c>
      <c r="G911">
        <v>114352.65</v>
      </c>
      <c r="H911" s="1">
        <v>45463</v>
      </c>
      <c r="I911" t="s">
        <v>42</v>
      </c>
      <c r="J911">
        <v>1.4</v>
      </c>
      <c r="K911" t="str">
        <f>IF(Table1_1[[#This Row],[Quantity Sold]]&gt;=3,"BULK ORDER","REGULAR ORDER")</f>
        <v>BULK ORDER</v>
      </c>
      <c r="L911" t="str">
        <f>IF(Table1_1[[#This Row],[Customer Rating]]&gt;=4.5,"EXCELLENT",IF(Table1_1[[#This Row],[Customer Rating]]&lt;=4,"GOOD","AVERAGE"))</f>
        <v>GOOD</v>
      </c>
    </row>
    <row r="912" spans="1:12" x14ac:dyDescent="0.3">
      <c r="A912" t="s">
        <v>39</v>
      </c>
      <c r="B912" t="s">
        <v>1065</v>
      </c>
      <c r="C912" t="s">
        <v>1053</v>
      </c>
      <c r="D912">
        <v>48780.78</v>
      </c>
      <c r="E912">
        <v>5</v>
      </c>
      <c r="F912">
        <f>SUM(Table1_1[[#This Row],[Price (INR)]]*Table1_1[[#This Row],[Quantity Sold]])</f>
        <v>243903.9</v>
      </c>
      <c r="G912">
        <v>243903.9</v>
      </c>
      <c r="H912" s="1">
        <v>45395</v>
      </c>
      <c r="I912" t="s">
        <v>16</v>
      </c>
      <c r="J912">
        <v>1.3</v>
      </c>
      <c r="K912" t="str">
        <f>IF(Table1_1[[#This Row],[Quantity Sold]]&gt;=3,"BULK ORDER","REGULAR ORDER")</f>
        <v>BULK ORDER</v>
      </c>
      <c r="L912" t="str">
        <f>IF(Table1_1[[#This Row],[Customer Rating]]&gt;=4.5,"EXCELLENT",IF(Table1_1[[#This Row],[Customer Rating]]&lt;=4,"GOOD","AVERAGE"))</f>
        <v>GOOD</v>
      </c>
    </row>
    <row r="913" spans="1:12" x14ac:dyDescent="0.3">
      <c r="A913" t="s">
        <v>94</v>
      </c>
      <c r="B913" t="s">
        <v>1063</v>
      </c>
      <c r="C913" t="s">
        <v>1055</v>
      </c>
      <c r="D913">
        <v>11864.13</v>
      </c>
      <c r="E913">
        <v>5</v>
      </c>
      <c r="F913">
        <f>SUM(Table1_1[[#This Row],[Price (INR)]]*Table1_1[[#This Row],[Quantity Sold]])</f>
        <v>59320.649999999994</v>
      </c>
      <c r="G913">
        <v>59320.65</v>
      </c>
      <c r="H913" s="1">
        <v>45607</v>
      </c>
      <c r="I913" t="s">
        <v>1049</v>
      </c>
      <c r="J913">
        <v>1.3</v>
      </c>
      <c r="K913" t="str">
        <f>IF(Table1_1[[#This Row],[Quantity Sold]]&gt;=3,"BULK ORDER","REGULAR ORDER")</f>
        <v>BULK ORDER</v>
      </c>
      <c r="L913" t="str">
        <f>IF(Table1_1[[#This Row],[Customer Rating]]&gt;=4.5,"EXCELLENT",IF(Table1_1[[#This Row],[Customer Rating]]&lt;=4,"GOOD","AVERAGE"))</f>
        <v>GOOD</v>
      </c>
    </row>
    <row r="914" spans="1:12" x14ac:dyDescent="0.3">
      <c r="A914" t="s">
        <v>127</v>
      </c>
      <c r="B914" t="s">
        <v>1076</v>
      </c>
      <c r="C914" t="s">
        <v>1055</v>
      </c>
      <c r="D914">
        <v>28892.73</v>
      </c>
      <c r="E914">
        <v>4</v>
      </c>
      <c r="F914">
        <f>SUM(Table1_1[[#This Row],[Price (INR)]]*Table1_1[[#This Row],[Quantity Sold]])</f>
        <v>115570.92</v>
      </c>
      <c r="G914">
        <v>115570.92</v>
      </c>
      <c r="H914" s="1">
        <v>45607</v>
      </c>
      <c r="I914" t="s">
        <v>42</v>
      </c>
      <c r="J914">
        <v>1.3</v>
      </c>
      <c r="K914" t="str">
        <f>IF(Table1_1[[#This Row],[Quantity Sold]]&gt;=3,"BULK ORDER","REGULAR ORDER")</f>
        <v>BULK ORDER</v>
      </c>
      <c r="L914" t="str">
        <f>IF(Table1_1[[#This Row],[Customer Rating]]&gt;=4.5,"EXCELLENT",IF(Table1_1[[#This Row],[Customer Rating]]&lt;=4,"GOOD","AVERAGE"))</f>
        <v>GOOD</v>
      </c>
    </row>
    <row r="915" spans="1:12" x14ac:dyDescent="0.3">
      <c r="A915" t="s">
        <v>164</v>
      </c>
      <c r="B915" t="s">
        <v>1061</v>
      </c>
      <c r="C915" t="s">
        <v>1057</v>
      </c>
      <c r="D915">
        <v>37405.46</v>
      </c>
      <c r="E915">
        <v>4</v>
      </c>
      <c r="F915">
        <f>SUM(Table1_1[[#This Row],[Price (INR)]]*Table1_1[[#This Row],[Quantity Sold]])</f>
        <v>149621.84</v>
      </c>
      <c r="G915">
        <v>149621.84</v>
      </c>
      <c r="H915" s="1">
        <v>45672</v>
      </c>
      <c r="I915" t="s">
        <v>1059</v>
      </c>
      <c r="J915">
        <v>1.3</v>
      </c>
      <c r="K915" t="str">
        <f>IF(Table1_1[[#This Row],[Quantity Sold]]&gt;=3,"BULK ORDER","REGULAR ORDER")</f>
        <v>BULK ORDER</v>
      </c>
      <c r="L915" t="str">
        <f>IF(Table1_1[[#This Row],[Customer Rating]]&gt;=4.5,"EXCELLENT",IF(Table1_1[[#This Row],[Customer Rating]]&lt;=4,"GOOD","AVERAGE"))</f>
        <v>GOOD</v>
      </c>
    </row>
    <row r="916" spans="1:12" x14ac:dyDescent="0.3">
      <c r="A916" t="s">
        <v>226</v>
      </c>
      <c r="B916" t="s">
        <v>1079</v>
      </c>
      <c r="C916" t="s">
        <v>1057</v>
      </c>
      <c r="D916">
        <v>44882.2</v>
      </c>
      <c r="E916">
        <v>1</v>
      </c>
      <c r="F916">
        <f>SUM(Table1_1[[#This Row],[Price (INR)]]*Table1_1[[#This Row],[Quantity Sold]])</f>
        <v>44882.2</v>
      </c>
      <c r="G916">
        <v>44882.2</v>
      </c>
      <c r="H916" s="1">
        <v>45423</v>
      </c>
      <c r="I916" t="s">
        <v>42</v>
      </c>
      <c r="J916">
        <v>1.3</v>
      </c>
      <c r="K916" t="str">
        <f>IF(Table1_1[[#This Row],[Quantity Sold]]&gt;=3,"BULK ORDER","REGULAR ORDER")</f>
        <v>REGULAR ORDER</v>
      </c>
      <c r="L916" t="str">
        <f>IF(Table1_1[[#This Row],[Customer Rating]]&gt;=4.5,"EXCELLENT",IF(Table1_1[[#This Row],[Customer Rating]]&lt;=4,"GOOD","AVERAGE"))</f>
        <v>GOOD</v>
      </c>
    </row>
    <row r="917" spans="1:12" x14ac:dyDescent="0.3">
      <c r="A917" t="s">
        <v>240</v>
      </c>
      <c r="B917" t="s">
        <v>1066</v>
      </c>
      <c r="C917" t="s">
        <v>1055</v>
      </c>
      <c r="D917">
        <v>5850.81</v>
      </c>
      <c r="E917">
        <v>5</v>
      </c>
      <c r="F917">
        <f>SUM(Table1_1[[#This Row],[Price (INR)]]*Table1_1[[#This Row],[Quantity Sold]])</f>
        <v>29254.050000000003</v>
      </c>
      <c r="G917">
        <v>29254.05</v>
      </c>
      <c r="H917" s="1">
        <v>45624</v>
      </c>
      <c r="I917" t="s">
        <v>42</v>
      </c>
      <c r="J917">
        <v>1.3</v>
      </c>
      <c r="K917" t="str">
        <f>IF(Table1_1[[#This Row],[Quantity Sold]]&gt;=3,"BULK ORDER","REGULAR ORDER")</f>
        <v>BULK ORDER</v>
      </c>
      <c r="L917" t="str">
        <f>IF(Table1_1[[#This Row],[Customer Rating]]&gt;=4.5,"EXCELLENT",IF(Table1_1[[#This Row],[Customer Rating]]&lt;=4,"GOOD","AVERAGE"))</f>
        <v>GOOD</v>
      </c>
    </row>
    <row r="918" spans="1:12" x14ac:dyDescent="0.3">
      <c r="A918" t="s">
        <v>353</v>
      </c>
      <c r="B918" t="s">
        <v>1047</v>
      </c>
      <c r="C918" t="s">
        <v>1048</v>
      </c>
      <c r="D918">
        <v>29568.18</v>
      </c>
      <c r="E918">
        <v>3</v>
      </c>
      <c r="F918">
        <f>SUM(Table1_1[[#This Row],[Price (INR)]]*Table1_1[[#This Row],[Quantity Sold]])</f>
        <v>88704.540000000008</v>
      </c>
      <c r="G918">
        <v>88704.54</v>
      </c>
      <c r="H918" s="1">
        <v>45669</v>
      </c>
      <c r="I918" t="s">
        <v>1068</v>
      </c>
      <c r="J918">
        <v>1.3</v>
      </c>
      <c r="K918" t="str">
        <f>IF(Table1_1[[#This Row],[Quantity Sold]]&gt;=3,"BULK ORDER","REGULAR ORDER")</f>
        <v>BULK ORDER</v>
      </c>
      <c r="L918" t="str">
        <f>IF(Table1_1[[#This Row],[Customer Rating]]&gt;=4.5,"EXCELLENT",IF(Table1_1[[#This Row],[Customer Rating]]&lt;=4,"GOOD","AVERAGE"))</f>
        <v>GOOD</v>
      </c>
    </row>
    <row r="919" spans="1:12" x14ac:dyDescent="0.3">
      <c r="A919" t="s">
        <v>462</v>
      </c>
      <c r="B919" t="s">
        <v>1070</v>
      </c>
      <c r="C919" t="s">
        <v>1051</v>
      </c>
      <c r="D919">
        <v>29466.3</v>
      </c>
      <c r="E919">
        <v>5</v>
      </c>
      <c r="F919">
        <f>SUM(Table1_1[[#This Row],[Price (INR)]]*Table1_1[[#This Row],[Quantity Sold]])</f>
        <v>147331.5</v>
      </c>
      <c r="G919">
        <v>147331.5</v>
      </c>
      <c r="H919" s="1">
        <v>45496</v>
      </c>
      <c r="I919" t="s">
        <v>1071</v>
      </c>
      <c r="J919">
        <v>1.3</v>
      </c>
      <c r="K919" t="str">
        <f>IF(Table1_1[[#This Row],[Quantity Sold]]&gt;=3,"BULK ORDER","REGULAR ORDER")</f>
        <v>BULK ORDER</v>
      </c>
      <c r="L919" t="str">
        <f>IF(Table1_1[[#This Row],[Customer Rating]]&gt;=4.5,"EXCELLENT",IF(Table1_1[[#This Row],[Customer Rating]]&lt;=4,"GOOD","AVERAGE"))</f>
        <v>GOOD</v>
      </c>
    </row>
    <row r="920" spans="1:12" x14ac:dyDescent="0.3">
      <c r="A920" t="s">
        <v>471</v>
      </c>
      <c r="B920" t="s">
        <v>1077</v>
      </c>
      <c r="C920" t="s">
        <v>1048</v>
      </c>
      <c r="D920">
        <v>25144.48</v>
      </c>
      <c r="E920">
        <v>4</v>
      </c>
      <c r="F920">
        <f>SUM(Table1_1[[#This Row],[Price (INR)]]*Table1_1[[#This Row],[Quantity Sold]])</f>
        <v>100577.92</v>
      </c>
      <c r="G920">
        <v>100577.92</v>
      </c>
      <c r="H920" s="1">
        <v>45417</v>
      </c>
      <c r="I920" t="s">
        <v>1071</v>
      </c>
      <c r="J920">
        <v>1.3</v>
      </c>
      <c r="K920" t="str">
        <f>IF(Table1_1[[#This Row],[Quantity Sold]]&gt;=3,"BULK ORDER","REGULAR ORDER")</f>
        <v>BULK ORDER</v>
      </c>
      <c r="L920" t="str">
        <f>IF(Table1_1[[#This Row],[Customer Rating]]&gt;=4.5,"EXCELLENT",IF(Table1_1[[#This Row],[Customer Rating]]&lt;=4,"GOOD","AVERAGE"))</f>
        <v>GOOD</v>
      </c>
    </row>
    <row r="921" spans="1:12" x14ac:dyDescent="0.3">
      <c r="A921" t="s">
        <v>642</v>
      </c>
      <c r="B921" t="s">
        <v>1076</v>
      </c>
      <c r="C921" t="s">
        <v>1055</v>
      </c>
      <c r="D921">
        <v>22353.43</v>
      </c>
      <c r="E921">
        <v>3</v>
      </c>
      <c r="F921">
        <f>SUM(Table1_1[[#This Row],[Price (INR)]]*Table1_1[[#This Row],[Quantity Sold]])</f>
        <v>67060.290000000008</v>
      </c>
      <c r="G921">
        <v>67060.289999999994</v>
      </c>
      <c r="H921" s="1">
        <v>45628</v>
      </c>
      <c r="I921" t="s">
        <v>1049</v>
      </c>
      <c r="J921">
        <v>1.3</v>
      </c>
      <c r="K921" t="str">
        <f>IF(Table1_1[[#This Row],[Quantity Sold]]&gt;=3,"BULK ORDER","REGULAR ORDER")</f>
        <v>BULK ORDER</v>
      </c>
      <c r="L921" t="str">
        <f>IF(Table1_1[[#This Row],[Customer Rating]]&gt;=4.5,"EXCELLENT",IF(Table1_1[[#This Row],[Customer Rating]]&lt;=4,"GOOD","AVERAGE"))</f>
        <v>GOOD</v>
      </c>
    </row>
    <row r="922" spans="1:12" x14ac:dyDescent="0.3">
      <c r="A922" t="s">
        <v>795</v>
      </c>
      <c r="B922" t="s">
        <v>1062</v>
      </c>
      <c r="C922" t="s">
        <v>1051</v>
      </c>
      <c r="D922">
        <v>13557.11</v>
      </c>
      <c r="E922">
        <v>5</v>
      </c>
      <c r="F922">
        <f>SUM(Table1_1[[#This Row],[Price (INR)]]*Table1_1[[#This Row],[Quantity Sold]])</f>
        <v>67785.55</v>
      </c>
      <c r="G922">
        <v>67785.55</v>
      </c>
      <c r="H922" s="1">
        <v>45437</v>
      </c>
      <c r="I922" t="s">
        <v>1071</v>
      </c>
      <c r="J922">
        <v>1.3</v>
      </c>
      <c r="K922" t="str">
        <f>IF(Table1_1[[#This Row],[Quantity Sold]]&gt;=3,"BULK ORDER","REGULAR ORDER")</f>
        <v>BULK ORDER</v>
      </c>
      <c r="L922" t="str">
        <f>IF(Table1_1[[#This Row],[Customer Rating]]&gt;=4.5,"EXCELLENT",IF(Table1_1[[#This Row],[Customer Rating]]&lt;=4,"GOOD","AVERAGE"))</f>
        <v>GOOD</v>
      </c>
    </row>
    <row r="923" spans="1:12" x14ac:dyDescent="0.3">
      <c r="A923" t="s">
        <v>829</v>
      </c>
      <c r="B923" t="s">
        <v>1061</v>
      </c>
      <c r="C923" t="s">
        <v>1057</v>
      </c>
      <c r="D923">
        <v>15793.43</v>
      </c>
      <c r="E923">
        <v>5</v>
      </c>
      <c r="F923">
        <f>SUM(Table1_1[[#This Row],[Price (INR)]]*Table1_1[[#This Row],[Quantity Sold]])</f>
        <v>78967.149999999994</v>
      </c>
      <c r="G923">
        <v>78967.149999999994</v>
      </c>
      <c r="H923" s="1">
        <v>45557</v>
      </c>
      <c r="I923" t="s">
        <v>1071</v>
      </c>
      <c r="J923">
        <v>1.3</v>
      </c>
      <c r="K923" t="str">
        <f>IF(Table1_1[[#This Row],[Quantity Sold]]&gt;=3,"BULK ORDER","REGULAR ORDER")</f>
        <v>BULK ORDER</v>
      </c>
      <c r="L923" t="str">
        <f>IF(Table1_1[[#This Row],[Customer Rating]]&gt;=4.5,"EXCELLENT",IF(Table1_1[[#This Row],[Customer Rating]]&lt;=4,"GOOD","AVERAGE"))</f>
        <v>GOOD</v>
      </c>
    </row>
    <row r="924" spans="1:12" x14ac:dyDescent="0.3">
      <c r="A924" t="s">
        <v>890</v>
      </c>
      <c r="B924" t="s">
        <v>1061</v>
      </c>
      <c r="C924" t="s">
        <v>1057</v>
      </c>
      <c r="D924">
        <v>33814.720000000001</v>
      </c>
      <c r="E924">
        <v>2</v>
      </c>
      <c r="F924">
        <f>SUM(Table1_1[[#This Row],[Price (INR)]]*Table1_1[[#This Row],[Quantity Sold]])</f>
        <v>67629.440000000002</v>
      </c>
      <c r="G924">
        <v>67629.440000000002</v>
      </c>
      <c r="H924" s="1">
        <v>45574</v>
      </c>
      <c r="I924" t="s">
        <v>1071</v>
      </c>
      <c r="J924">
        <v>1.3</v>
      </c>
      <c r="K924" t="str">
        <f>IF(Table1_1[[#This Row],[Quantity Sold]]&gt;=3,"BULK ORDER","REGULAR ORDER")</f>
        <v>REGULAR ORDER</v>
      </c>
      <c r="L924" t="str">
        <f>IF(Table1_1[[#This Row],[Customer Rating]]&gt;=4.5,"EXCELLENT",IF(Table1_1[[#This Row],[Customer Rating]]&lt;=4,"GOOD","AVERAGE"))</f>
        <v>GOOD</v>
      </c>
    </row>
    <row r="925" spans="1:12" x14ac:dyDescent="0.3">
      <c r="A925" t="s">
        <v>893</v>
      </c>
      <c r="B925" t="s">
        <v>1066</v>
      </c>
      <c r="C925" t="s">
        <v>1055</v>
      </c>
      <c r="D925">
        <v>22868.39</v>
      </c>
      <c r="E925">
        <v>4</v>
      </c>
      <c r="F925">
        <f>SUM(Table1_1[[#This Row],[Price (INR)]]*Table1_1[[#This Row],[Quantity Sold]])</f>
        <v>91473.56</v>
      </c>
      <c r="G925">
        <v>91473.56</v>
      </c>
      <c r="H925" s="1">
        <v>45446</v>
      </c>
      <c r="I925" t="s">
        <v>1049</v>
      </c>
      <c r="J925">
        <v>1.3</v>
      </c>
      <c r="K925" t="str">
        <f>IF(Table1_1[[#This Row],[Quantity Sold]]&gt;=3,"BULK ORDER","REGULAR ORDER")</f>
        <v>BULK ORDER</v>
      </c>
      <c r="L925" t="str">
        <f>IF(Table1_1[[#This Row],[Customer Rating]]&gt;=4.5,"EXCELLENT",IF(Table1_1[[#This Row],[Customer Rating]]&lt;=4,"GOOD","AVERAGE"))</f>
        <v>GOOD</v>
      </c>
    </row>
    <row r="926" spans="1:12" x14ac:dyDescent="0.3">
      <c r="A926" t="s">
        <v>901</v>
      </c>
      <c r="B926" t="s">
        <v>1067</v>
      </c>
      <c r="C926" t="s">
        <v>1048</v>
      </c>
      <c r="D926">
        <v>3697.32</v>
      </c>
      <c r="E926">
        <v>4</v>
      </c>
      <c r="F926">
        <f>SUM(Table1_1[[#This Row],[Price (INR)]]*Table1_1[[#This Row],[Quantity Sold]])</f>
        <v>14789.28</v>
      </c>
      <c r="G926">
        <v>14789.28</v>
      </c>
      <c r="H926" s="1">
        <v>45349</v>
      </c>
      <c r="I926" t="s">
        <v>16</v>
      </c>
      <c r="J926">
        <v>1.3</v>
      </c>
      <c r="K926" t="str">
        <f>IF(Table1_1[[#This Row],[Quantity Sold]]&gt;=3,"BULK ORDER","REGULAR ORDER")</f>
        <v>BULK ORDER</v>
      </c>
      <c r="L926" t="str">
        <f>IF(Table1_1[[#This Row],[Customer Rating]]&gt;=4.5,"EXCELLENT",IF(Table1_1[[#This Row],[Customer Rating]]&lt;=4,"GOOD","AVERAGE"))</f>
        <v>GOOD</v>
      </c>
    </row>
    <row r="927" spans="1:12" x14ac:dyDescent="0.3">
      <c r="A927" t="s">
        <v>1020</v>
      </c>
      <c r="B927" t="s">
        <v>1079</v>
      </c>
      <c r="C927" t="s">
        <v>1057</v>
      </c>
      <c r="D927">
        <v>38545.29</v>
      </c>
      <c r="E927">
        <v>1</v>
      </c>
      <c r="F927">
        <f>SUM(Table1_1[[#This Row],[Price (INR)]]*Table1_1[[#This Row],[Quantity Sold]])</f>
        <v>38545.29</v>
      </c>
      <c r="G927">
        <v>38545.29</v>
      </c>
      <c r="H927" s="1">
        <v>45541</v>
      </c>
      <c r="I927" t="s">
        <v>1059</v>
      </c>
      <c r="J927">
        <v>1.3</v>
      </c>
      <c r="K927" t="str">
        <f>IF(Table1_1[[#This Row],[Quantity Sold]]&gt;=3,"BULK ORDER","REGULAR ORDER")</f>
        <v>REGULAR ORDER</v>
      </c>
      <c r="L927" t="str">
        <f>IF(Table1_1[[#This Row],[Customer Rating]]&gt;=4.5,"EXCELLENT",IF(Table1_1[[#This Row],[Customer Rating]]&lt;=4,"GOOD","AVERAGE"))</f>
        <v>GOOD</v>
      </c>
    </row>
    <row r="928" spans="1:12" x14ac:dyDescent="0.3">
      <c r="A928" t="s">
        <v>1021</v>
      </c>
      <c r="B928" t="s">
        <v>1065</v>
      </c>
      <c r="C928" t="s">
        <v>1053</v>
      </c>
      <c r="D928">
        <v>8188.18</v>
      </c>
      <c r="E928">
        <v>2</v>
      </c>
      <c r="F928">
        <f>SUM(Table1_1[[#This Row],[Price (INR)]]*Table1_1[[#This Row],[Quantity Sold]])</f>
        <v>16376.36</v>
      </c>
      <c r="G928">
        <v>16376.36</v>
      </c>
      <c r="H928" s="1">
        <v>45519</v>
      </c>
      <c r="I928" t="s">
        <v>1059</v>
      </c>
      <c r="J928">
        <v>1.3</v>
      </c>
      <c r="K928" t="str">
        <f>IF(Table1_1[[#This Row],[Quantity Sold]]&gt;=3,"BULK ORDER","REGULAR ORDER")</f>
        <v>REGULAR ORDER</v>
      </c>
      <c r="L928" t="str">
        <f>IF(Table1_1[[#This Row],[Customer Rating]]&gt;=4.5,"EXCELLENT",IF(Table1_1[[#This Row],[Customer Rating]]&lt;=4,"GOOD","AVERAGE"))</f>
        <v>GOOD</v>
      </c>
    </row>
    <row r="929" spans="1:12" x14ac:dyDescent="0.3">
      <c r="A929" t="s">
        <v>41</v>
      </c>
      <c r="B929" t="s">
        <v>1047</v>
      </c>
      <c r="C929" t="s">
        <v>1048</v>
      </c>
      <c r="D929">
        <v>6670.82</v>
      </c>
      <c r="E929">
        <v>5</v>
      </c>
      <c r="F929">
        <f>SUM(Table1_1[[#This Row],[Price (INR)]]*Table1_1[[#This Row],[Quantity Sold]])</f>
        <v>33354.1</v>
      </c>
      <c r="G929">
        <v>33354.1</v>
      </c>
      <c r="H929" s="1">
        <v>45345</v>
      </c>
      <c r="I929" t="s">
        <v>42</v>
      </c>
      <c r="J929">
        <v>1.2</v>
      </c>
      <c r="K929" t="str">
        <f>IF(Table1_1[[#This Row],[Quantity Sold]]&gt;=3,"BULK ORDER","REGULAR ORDER")</f>
        <v>BULK ORDER</v>
      </c>
      <c r="L929" t="str">
        <f>IF(Table1_1[[#This Row],[Customer Rating]]&gt;=4.5,"EXCELLENT",IF(Table1_1[[#This Row],[Customer Rating]]&lt;=4,"GOOD","AVERAGE"))</f>
        <v>GOOD</v>
      </c>
    </row>
    <row r="930" spans="1:12" x14ac:dyDescent="0.3">
      <c r="A930" t="s">
        <v>112</v>
      </c>
      <c r="B930" t="s">
        <v>1056</v>
      </c>
      <c r="C930" t="s">
        <v>1057</v>
      </c>
      <c r="D930">
        <v>2707.97</v>
      </c>
      <c r="E930">
        <v>1</v>
      </c>
      <c r="F930">
        <f>SUM(Table1_1[[#This Row],[Price (INR)]]*Table1_1[[#This Row],[Quantity Sold]])</f>
        <v>2707.97</v>
      </c>
      <c r="G930">
        <v>2707.97</v>
      </c>
      <c r="H930" s="1">
        <v>45410</v>
      </c>
      <c r="I930" t="s">
        <v>1071</v>
      </c>
      <c r="J930">
        <v>1.2</v>
      </c>
      <c r="K930" t="str">
        <f>IF(Table1_1[[#This Row],[Quantity Sold]]&gt;=3,"BULK ORDER","REGULAR ORDER")</f>
        <v>REGULAR ORDER</v>
      </c>
      <c r="L930" t="str">
        <f>IF(Table1_1[[#This Row],[Customer Rating]]&gt;=4.5,"EXCELLENT",IF(Table1_1[[#This Row],[Customer Rating]]&lt;=4,"GOOD","AVERAGE"))</f>
        <v>GOOD</v>
      </c>
    </row>
    <row r="931" spans="1:12" x14ac:dyDescent="0.3">
      <c r="A931" t="s">
        <v>251</v>
      </c>
      <c r="B931" t="s">
        <v>1079</v>
      </c>
      <c r="C931" t="s">
        <v>1057</v>
      </c>
      <c r="D931">
        <v>40298.9</v>
      </c>
      <c r="E931">
        <v>1</v>
      </c>
      <c r="F931">
        <f>SUM(Table1_1[[#This Row],[Price (INR)]]*Table1_1[[#This Row],[Quantity Sold]])</f>
        <v>40298.9</v>
      </c>
      <c r="G931">
        <v>40298.9</v>
      </c>
      <c r="H931" s="1">
        <v>45460</v>
      </c>
      <c r="I931" t="s">
        <v>1049</v>
      </c>
      <c r="J931">
        <v>1.2</v>
      </c>
      <c r="K931" t="str">
        <f>IF(Table1_1[[#This Row],[Quantity Sold]]&gt;=3,"BULK ORDER","REGULAR ORDER")</f>
        <v>REGULAR ORDER</v>
      </c>
      <c r="L931" t="str">
        <f>IF(Table1_1[[#This Row],[Customer Rating]]&gt;=4.5,"EXCELLENT",IF(Table1_1[[#This Row],[Customer Rating]]&lt;=4,"GOOD","AVERAGE"))</f>
        <v>GOOD</v>
      </c>
    </row>
    <row r="932" spans="1:12" x14ac:dyDescent="0.3">
      <c r="A932" t="s">
        <v>278</v>
      </c>
      <c r="B932" t="s">
        <v>1067</v>
      </c>
      <c r="C932" t="s">
        <v>1048</v>
      </c>
      <c r="D932">
        <v>35665.26</v>
      </c>
      <c r="E932">
        <v>3</v>
      </c>
      <c r="F932">
        <f>SUM(Table1_1[[#This Row],[Price (INR)]]*Table1_1[[#This Row],[Quantity Sold]])</f>
        <v>106995.78</v>
      </c>
      <c r="G932">
        <v>106995.78</v>
      </c>
      <c r="H932" s="1">
        <v>45381</v>
      </c>
      <c r="I932" t="s">
        <v>1059</v>
      </c>
      <c r="J932">
        <v>1.2</v>
      </c>
      <c r="K932" t="str">
        <f>IF(Table1_1[[#This Row],[Quantity Sold]]&gt;=3,"BULK ORDER","REGULAR ORDER")</f>
        <v>BULK ORDER</v>
      </c>
      <c r="L932" t="str">
        <f>IF(Table1_1[[#This Row],[Customer Rating]]&gt;=4.5,"EXCELLENT",IF(Table1_1[[#This Row],[Customer Rating]]&lt;=4,"GOOD","AVERAGE"))</f>
        <v>GOOD</v>
      </c>
    </row>
    <row r="933" spans="1:12" x14ac:dyDescent="0.3">
      <c r="A933" t="s">
        <v>307</v>
      </c>
      <c r="B933" t="s">
        <v>1066</v>
      </c>
      <c r="C933" t="s">
        <v>1055</v>
      </c>
      <c r="D933">
        <v>19915.59</v>
      </c>
      <c r="E933">
        <v>5</v>
      </c>
      <c r="F933">
        <f>SUM(Table1_1[[#This Row],[Price (INR)]]*Table1_1[[#This Row],[Quantity Sold]])</f>
        <v>99577.95</v>
      </c>
      <c r="G933">
        <v>99577.95</v>
      </c>
      <c r="H933" s="1">
        <v>45541</v>
      </c>
      <c r="I933" t="s">
        <v>42</v>
      </c>
      <c r="J933">
        <v>1.2</v>
      </c>
      <c r="K933" t="str">
        <f>IF(Table1_1[[#This Row],[Quantity Sold]]&gt;=3,"BULK ORDER","REGULAR ORDER")</f>
        <v>BULK ORDER</v>
      </c>
      <c r="L933" t="str">
        <f>IF(Table1_1[[#This Row],[Customer Rating]]&gt;=4.5,"EXCELLENT",IF(Table1_1[[#This Row],[Customer Rating]]&lt;=4,"GOOD","AVERAGE"))</f>
        <v>GOOD</v>
      </c>
    </row>
    <row r="934" spans="1:12" x14ac:dyDescent="0.3">
      <c r="A934" t="s">
        <v>308</v>
      </c>
      <c r="B934" t="s">
        <v>1066</v>
      </c>
      <c r="C934" t="s">
        <v>1055</v>
      </c>
      <c r="D934">
        <v>18366.97</v>
      </c>
      <c r="E934">
        <v>4</v>
      </c>
      <c r="F934">
        <f>SUM(Table1_1[[#This Row],[Price (INR)]]*Table1_1[[#This Row],[Quantity Sold]])</f>
        <v>73467.88</v>
      </c>
      <c r="G934">
        <v>73467.88</v>
      </c>
      <c r="H934" s="1">
        <v>45434</v>
      </c>
      <c r="I934" t="s">
        <v>42</v>
      </c>
      <c r="J934">
        <v>1.2</v>
      </c>
      <c r="K934" t="str">
        <f>IF(Table1_1[[#This Row],[Quantity Sold]]&gt;=3,"BULK ORDER","REGULAR ORDER")</f>
        <v>BULK ORDER</v>
      </c>
      <c r="L934" t="str">
        <f>IF(Table1_1[[#This Row],[Customer Rating]]&gt;=4.5,"EXCELLENT",IF(Table1_1[[#This Row],[Customer Rating]]&lt;=4,"GOOD","AVERAGE"))</f>
        <v>GOOD</v>
      </c>
    </row>
    <row r="935" spans="1:12" x14ac:dyDescent="0.3">
      <c r="A935" t="s">
        <v>349</v>
      </c>
      <c r="B935" t="s">
        <v>1070</v>
      </c>
      <c r="C935" t="s">
        <v>1051</v>
      </c>
      <c r="D935">
        <v>29527.22</v>
      </c>
      <c r="E935">
        <v>3</v>
      </c>
      <c r="F935">
        <f>SUM(Table1_1[[#This Row],[Price (INR)]]*Table1_1[[#This Row],[Quantity Sold]])</f>
        <v>88581.66</v>
      </c>
      <c r="G935">
        <v>88581.66</v>
      </c>
      <c r="H935" s="1">
        <v>45381</v>
      </c>
      <c r="I935" t="s">
        <v>42</v>
      </c>
      <c r="J935">
        <v>1.2</v>
      </c>
      <c r="K935" t="str">
        <f>IF(Table1_1[[#This Row],[Quantity Sold]]&gt;=3,"BULK ORDER","REGULAR ORDER")</f>
        <v>BULK ORDER</v>
      </c>
      <c r="L935" t="str">
        <f>IF(Table1_1[[#This Row],[Customer Rating]]&gt;=4.5,"EXCELLENT",IF(Table1_1[[#This Row],[Customer Rating]]&lt;=4,"GOOD","AVERAGE"))</f>
        <v>GOOD</v>
      </c>
    </row>
    <row r="936" spans="1:12" x14ac:dyDescent="0.3">
      <c r="A936" t="s">
        <v>389</v>
      </c>
      <c r="B936" t="s">
        <v>1063</v>
      </c>
      <c r="C936" t="s">
        <v>1055</v>
      </c>
      <c r="D936">
        <v>37181.040000000001</v>
      </c>
      <c r="E936">
        <v>1</v>
      </c>
      <c r="F936">
        <f>SUM(Table1_1[[#This Row],[Price (INR)]]*Table1_1[[#This Row],[Quantity Sold]])</f>
        <v>37181.040000000001</v>
      </c>
      <c r="G936">
        <v>37181.040000000001</v>
      </c>
      <c r="H936" s="1">
        <v>45372</v>
      </c>
      <c r="I936" t="s">
        <v>1059</v>
      </c>
      <c r="J936">
        <v>1.2</v>
      </c>
      <c r="K936" t="str">
        <f>IF(Table1_1[[#This Row],[Quantity Sold]]&gt;=3,"BULK ORDER","REGULAR ORDER")</f>
        <v>REGULAR ORDER</v>
      </c>
      <c r="L936" t="str">
        <f>IF(Table1_1[[#This Row],[Customer Rating]]&gt;=4.5,"EXCELLENT",IF(Table1_1[[#This Row],[Customer Rating]]&lt;=4,"GOOD","AVERAGE"))</f>
        <v>GOOD</v>
      </c>
    </row>
    <row r="937" spans="1:12" x14ac:dyDescent="0.3">
      <c r="A937" t="s">
        <v>436</v>
      </c>
      <c r="B937" t="s">
        <v>1047</v>
      </c>
      <c r="C937" t="s">
        <v>1048</v>
      </c>
      <c r="D937">
        <v>36535.74</v>
      </c>
      <c r="E937">
        <v>3</v>
      </c>
      <c r="F937">
        <f>SUM(Table1_1[[#This Row],[Price (INR)]]*Table1_1[[#This Row],[Quantity Sold]])</f>
        <v>109607.22</v>
      </c>
      <c r="G937">
        <v>109607.22</v>
      </c>
      <c r="H937" s="1">
        <v>45475</v>
      </c>
      <c r="I937" t="s">
        <v>16</v>
      </c>
      <c r="J937">
        <v>1.2</v>
      </c>
      <c r="K937" t="str">
        <f>IF(Table1_1[[#This Row],[Quantity Sold]]&gt;=3,"BULK ORDER","REGULAR ORDER")</f>
        <v>BULK ORDER</v>
      </c>
      <c r="L937" t="str">
        <f>IF(Table1_1[[#This Row],[Customer Rating]]&gt;=4.5,"EXCELLENT",IF(Table1_1[[#This Row],[Customer Rating]]&lt;=4,"GOOD","AVERAGE"))</f>
        <v>GOOD</v>
      </c>
    </row>
    <row r="938" spans="1:12" x14ac:dyDescent="0.3">
      <c r="A938" t="s">
        <v>492</v>
      </c>
      <c r="B938" t="s">
        <v>1073</v>
      </c>
      <c r="C938" t="s">
        <v>1053</v>
      </c>
      <c r="D938">
        <v>35810.629999999997</v>
      </c>
      <c r="E938">
        <v>4</v>
      </c>
      <c r="F938">
        <f>SUM(Table1_1[[#This Row],[Price (INR)]]*Table1_1[[#This Row],[Quantity Sold]])</f>
        <v>143242.51999999999</v>
      </c>
      <c r="G938">
        <v>143242.51999999999</v>
      </c>
      <c r="H938" s="1">
        <v>45388</v>
      </c>
      <c r="I938" t="s">
        <v>16</v>
      </c>
      <c r="J938">
        <v>1.2</v>
      </c>
      <c r="K938" t="str">
        <f>IF(Table1_1[[#This Row],[Quantity Sold]]&gt;=3,"BULK ORDER","REGULAR ORDER")</f>
        <v>BULK ORDER</v>
      </c>
      <c r="L938" t="str">
        <f>IF(Table1_1[[#This Row],[Customer Rating]]&gt;=4.5,"EXCELLENT",IF(Table1_1[[#This Row],[Customer Rating]]&lt;=4,"GOOD","AVERAGE"))</f>
        <v>GOOD</v>
      </c>
    </row>
    <row r="939" spans="1:12" x14ac:dyDescent="0.3">
      <c r="A939" t="s">
        <v>504</v>
      </c>
      <c r="B939" t="s">
        <v>1047</v>
      </c>
      <c r="C939" t="s">
        <v>1048</v>
      </c>
      <c r="D939">
        <v>23520.5</v>
      </c>
      <c r="E939">
        <v>5</v>
      </c>
      <c r="F939">
        <f>SUM(Table1_1[[#This Row],[Price (INR)]]*Table1_1[[#This Row],[Quantity Sold]])</f>
        <v>117602.5</v>
      </c>
      <c r="G939">
        <v>117602.5</v>
      </c>
      <c r="H939" s="1">
        <v>45408</v>
      </c>
      <c r="I939" t="s">
        <v>1049</v>
      </c>
      <c r="J939">
        <v>1.2</v>
      </c>
      <c r="K939" t="str">
        <f>IF(Table1_1[[#This Row],[Quantity Sold]]&gt;=3,"BULK ORDER","REGULAR ORDER")</f>
        <v>BULK ORDER</v>
      </c>
      <c r="L939" t="str">
        <f>IF(Table1_1[[#This Row],[Customer Rating]]&gt;=4.5,"EXCELLENT",IF(Table1_1[[#This Row],[Customer Rating]]&lt;=4,"GOOD","AVERAGE"))</f>
        <v>GOOD</v>
      </c>
    </row>
    <row r="940" spans="1:12" x14ac:dyDescent="0.3">
      <c r="A940" t="s">
        <v>552</v>
      </c>
      <c r="B940" t="s">
        <v>1065</v>
      </c>
      <c r="C940" t="s">
        <v>1053</v>
      </c>
      <c r="D940">
        <v>20228.05</v>
      </c>
      <c r="E940">
        <v>3</v>
      </c>
      <c r="F940">
        <f>SUM(Table1_1[[#This Row],[Price (INR)]]*Table1_1[[#This Row],[Quantity Sold]])</f>
        <v>60684.149999999994</v>
      </c>
      <c r="G940">
        <v>60684.15</v>
      </c>
      <c r="H940" s="1">
        <v>45689</v>
      </c>
      <c r="I940" t="s">
        <v>16</v>
      </c>
      <c r="J940">
        <v>1.2</v>
      </c>
      <c r="K940" t="str">
        <f>IF(Table1_1[[#This Row],[Quantity Sold]]&gt;=3,"BULK ORDER","REGULAR ORDER")</f>
        <v>BULK ORDER</v>
      </c>
      <c r="L940" t="str">
        <f>IF(Table1_1[[#This Row],[Customer Rating]]&gt;=4.5,"EXCELLENT",IF(Table1_1[[#This Row],[Customer Rating]]&lt;=4,"GOOD","AVERAGE"))</f>
        <v>GOOD</v>
      </c>
    </row>
    <row r="941" spans="1:12" x14ac:dyDescent="0.3">
      <c r="A941" t="s">
        <v>627</v>
      </c>
      <c r="B941" t="s">
        <v>1067</v>
      </c>
      <c r="C941" t="s">
        <v>1048</v>
      </c>
      <c r="D941">
        <v>29635.8</v>
      </c>
      <c r="E941">
        <v>3</v>
      </c>
      <c r="F941">
        <f>SUM(Table1_1[[#This Row],[Price (INR)]]*Table1_1[[#This Row],[Quantity Sold]])</f>
        <v>88907.4</v>
      </c>
      <c r="G941">
        <v>88907.4</v>
      </c>
      <c r="H941" s="1">
        <v>45673</v>
      </c>
      <c r="I941" t="s">
        <v>1068</v>
      </c>
      <c r="J941">
        <v>1.2</v>
      </c>
      <c r="K941" t="str">
        <f>IF(Table1_1[[#This Row],[Quantity Sold]]&gt;=3,"BULK ORDER","REGULAR ORDER")</f>
        <v>BULK ORDER</v>
      </c>
      <c r="L941" t="str">
        <f>IF(Table1_1[[#This Row],[Customer Rating]]&gt;=4.5,"EXCELLENT",IF(Table1_1[[#This Row],[Customer Rating]]&lt;=4,"GOOD","AVERAGE"))</f>
        <v>GOOD</v>
      </c>
    </row>
    <row r="942" spans="1:12" x14ac:dyDescent="0.3">
      <c r="A942" t="s">
        <v>659</v>
      </c>
      <c r="B942" t="s">
        <v>1047</v>
      </c>
      <c r="C942" t="s">
        <v>1048</v>
      </c>
      <c r="D942">
        <v>24444.89</v>
      </c>
      <c r="E942">
        <v>3</v>
      </c>
      <c r="F942">
        <f>SUM(Table1_1[[#This Row],[Price (INR)]]*Table1_1[[#This Row],[Quantity Sold]])</f>
        <v>73334.67</v>
      </c>
      <c r="G942">
        <v>73334.67</v>
      </c>
      <c r="H942" s="1">
        <v>45533</v>
      </c>
      <c r="I942" t="s">
        <v>1059</v>
      </c>
      <c r="J942">
        <v>1.2</v>
      </c>
      <c r="K942" t="str">
        <f>IF(Table1_1[[#This Row],[Quantity Sold]]&gt;=3,"BULK ORDER","REGULAR ORDER")</f>
        <v>BULK ORDER</v>
      </c>
      <c r="L942" t="str">
        <f>IF(Table1_1[[#This Row],[Customer Rating]]&gt;=4.5,"EXCELLENT",IF(Table1_1[[#This Row],[Customer Rating]]&lt;=4,"GOOD","AVERAGE"))</f>
        <v>GOOD</v>
      </c>
    </row>
    <row r="943" spans="1:12" x14ac:dyDescent="0.3">
      <c r="A943" t="s">
        <v>720</v>
      </c>
      <c r="B943" t="s">
        <v>1063</v>
      </c>
      <c r="C943" t="s">
        <v>1055</v>
      </c>
      <c r="D943">
        <v>38571.81</v>
      </c>
      <c r="E943">
        <v>4</v>
      </c>
      <c r="F943">
        <f>SUM(Table1_1[[#This Row],[Price (INR)]]*Table1_1[[#This Row],[Quantity Sold]])</f>
        <v>154287.24</v>
      </c>
      <c r="G943">
        <v>154287.24</v>
      </c>
      <c r="H943" s="1">
        <v>45367</v>
      </c>
      <c r="I943" t="s">
        <v>42</v>
      </c>
      <c r="J943">
        <v>1.2</v>
      </c>
      <c r="K943" t="str">
        <f>IF(Table1_1[[#This Row],[Quantity Sold]]&gt;=3,"BULK ORDER","REGULAR ORDER")</f>
        <v>BULK ORDER</v>
      </c>
      <c r="L943" t="str">
        <f>IF(Table1_1[[#This Row],[Customer Rating]]&gt;=4.5,"EXCELLENT",IF(Table1_1[[#This Row],[Customer Rating]]&lt;=4,"GOOD","AVERAGE"))</f>
        <v>GOOD</v>
      </c>
    </row>
    <row r="944" spans="1:12" x14ac:dyDescent="0.3">
      <c r="A944" t="s">
        <v>756</v>
      </c>
      <c r="B944" t="s">
        <v>1050</v>
      </c>
      <c r="C944" t="s">
        <v>1051</v>
      </c>
      <c r="D944">
        <v>40046.19</v>
      </c>
      <c r="E944">
        <v>2</v>
      </c>
      <c r="F944">
        <f>SUM(Table1_1[[#This Row],[Price (INR)]]*Table1_1[[#This Row],[Quantity Sold]])</f>
        <v>80092.38</v>
      </c>
      <c r="G944">
        <v>80092.38</v>
      </c>
      <c r="H944" s="1">
        <v>45419</v>
      </c>
      <c r="I944" t="s">
        <v>16</v>
      </c>
      <c r="J944">
        <v>1.2</v>
      </c>
      <c r="K944" t="str">
        <f>IF(Table1_1[[#This Row],[Quantity Sold]]&gt;=3,"BULK ORDER","REGULAR ORDER")</f>
        <v>REGULAR ORDER</v>
      </c>
      <c r="L944" t="str">
        <f>IF(Table1_1[[#This Row],[Customer Rating]]&gt;=4.5,"EXCELLENT",IF(Table1_1[[#This Row],[Customer Rating]]&lt;=4,"GOOD","AVERAGE"))</f>
        <v>GOOD</v>
      </c>
    </row>
    <row r="945" spans="1:12" x14ac:dyDescent="0.3">
      <c r="A945" t="s">
        <v>838</v>
      </c>
      <c r="B945" t="s">
        <v>1058</v>
      </c>
      <c r="C945" t="s">
        <v>1057</v>
      </c>
      <c r="D945">
        <v>14796.32</v>
      </c>
      <c r="E945">
        <v>2</v>
      </c>
      <c r="F945">
        <f>SUM(Table1_1[[#This Row],[Price (INR)]]*Table1_1[[#This Row],[Quantity Sold]])</f>
        <v>29592.639999999999</v>
      </c>
      <c r="G945">
        <v>29592.639999999999</v>
      </c>
      <c r="H945" s="1">
        <v>45625</v>
      </c>
      <c r="I945" t="s">
        <v>1059</v>
      </c>
      <c r="J945">
        <v>1.2</v>
      </c>
      <c r="K945" t="str">
        <f>IF(Table1_1[[#This Row],[Quantity Sold]]&gt;=3,"BULK ORDER","REGULAR ORDER")</f>
        <v>REGULAR ORDER</v>
      </c>
      <c r="L945" t="str">
        <f>IF(Table1_1[[#This Row],[Customer Rating]]&gt;=4.5,"EXCELLENT",IF(Table1_1[[#This Row],[Customer Rating]]&lt;=4,"GOOD","AVERAGE"))</f>
        <v>GOOD</v>
      </c>
    </row>
    <row r="946" spans="1:12" x14ac:dyDescent="0.3">
      <c r="A946" t="s">
        <v>914</v>
      </c>
      <c r="B946" t="s">
        <v>1064</v>
      </c>
      <c r="C946" t="s">
        <v>1053</v>
      </c>
      <c r="D946">
        <v>37424.589999999997</v>
      </c>
      <c r="E946">
        <v>4</v>
      </c>
      <c r="F946">
        <f>SUM(Table1_1[[#This Row],[Price (INR)]]*Table1_1[[#This Row],[Quantity Sold]])</f>
        <v>149698.35999999999</v>
      </c>
      <c r="G946">
        <v>149698.35999999999</v>
      </c>
      <c r="H946" s="1">
        <v>45505</v>
      </c>
      <c r="I946" t="s">
        <v>1071</v>
      </c>
      <c r="J946">
        <v>1.2</v>
      </c>
      <c r="K946" t="str">
        <f>IF(Table1_1[[#This Row],[Quantity Sold]]&gt;=3,"BULK ORDER","REGULAR ORDER")</f>
        <v>BULK ORDER</v>
      </c>
      <c r="L946" t="str">
        <f>IF(Table1_1[[#This Row],[Customer Rating]]&gt;=4.5,"EXCELLENT",IF(Table1_1[[#This Row],[Customer Rating]]&lt;=4,"GOOD","AVERAGE"))</f>
        <v>GOOD</v>
      </c>
    </row>
    <row r="947" spans="1:12" x14ac:dyDescent="0.3">
      <c r="A947" t="s">
        <v>940</v>
      </c>
      <c r="B947" t="s">
        <v>1076</v>
      </c>
      <c r="C947" t="s">
        <v>1055</v>
      </c>
      <c r="D947">
        <v>26448.240000000002</v>
      </c>
      <c r="E947">
        <v>4</v>
      </c>
      <c r="F947">
        <f>SUM(Table1_1[[#This Row],[Price (INR)]]*Table1_1[[#This Row],[Quantity Sold]])</f>
        <v>105792.96000000001</v>
      </c>
      <c r="G947">
        <v>105792.96000000001</v>
      </c>
      <c r="H947" s="1">
        <v>45493</v>
      </c>
      <c r="I947" t="s">
        <v>1071</v>
      </c>
      <c r="J947">
        <v>1.2</v>
      </c>
      <c r="K947" t="str">
        <f>IF(Table1_1[[#This Row],[Quantity Sold]]&gt;=3,"BULK ORDER","REGULAR ORDER")</f>
        <v>BULK ORDER</v>
      </c>
      <c r="L947" t="str">
        <f>IF(Table1_1[[#This Row],[Customer Rating]]&gt;=4.5,"EXCELLENT",IF(Table1_1[[#This Row],[Customer Rating]]&lt;=4,"GOOD","AVERAGE"))</f>
        <v>GOOD</v>
      </c>
    </row>
    <row r="948" spans="1:12" x14ac:dyDescent="0.3">
      <c r="A948" t="s">
        <v>976</v>
      </c>
      <c r="B948" t="s">
        <v>1077</v>
      </c>
      <c r="C948" t="s">
        <v>1048</v>
      </c>
      <c r="D948">
        <v>791.45</v>
      </c>
      <c r="E948">
        <v>4</v>
      </c>
      <c r="F948">
        <f>SUM(Table1_1[[#This Row],[Price (INR)]]*Table1_1[[#This Row],[Quantity Sold]])</f>
        <v>3165.8</v>
      </c>
      <c r="G948">
        <v>3165.8</v>
      </c>
      <c r="H948" s="1">
        <v>45372</v>
      </c>
      <c r="I948" t="s">
        <v>1068</v>
      </c>
      <c r="J948">
        <v>1.2</v>
      </c>
      <c r="K948" t="str">
        <f>IF(Table1_1[[#This Row],[Quantity Sold]]&gt;=3,"BULK ORDER","REGULAR ORDER")</f>
        <v>BULK ORDER</v>
      </c>
      <c r="L948" t="str">
        <f>IF(Table1_1[[#This Row],[Customer Rating]]&gt;=4.5,"EXCELLENT",IF(Table1_1[[#This Row],[Customer Rating]]&lt;=4,"GOOD","AVERAGE"))</f>
        <v>GOOD</v>
      </c>
    </row>
    <row r="949" spans="1:12" x14ac:dyDescent="0.3">
      <c r="A949" t="s">
        <v>978</v>
      </c>
      <c r="B949" t="s">
        <v>1058</v>
      </c>
      <c r="C949" t="s">
        <v>1057</v>
      </c>
      <c r="D949">
        <v>13371.43</v>
      </c>
      <c r="E949">
        <v>4</v>
      </c>
      <c r="F949">
        <f>SUM(Table1_1[[#This Row],[Price (INR)]]*Table1_1[[#This Row],[Quantity Sold]])</f>
        <v>53485.72</v>
      </c>
      <c r="G949">
        <v>53485.72</v>
      </c>
      <c r="H949" s="1">
        <v>45449</v>
      </c>
      <c r="I949" t="s">
        <v>1071</v>
      </c>
      <c r="J949">
        <v>1.2</v>
      </c>
      <c r="K949" t="str">
        <f>IF(Table1_1[[#This Row],[Quantity Sold]]&gt;=3,"BULK ORDER","REGULAR ORDER")</f>
        <v>BULK ORDER</v>
      </c>
      <c r="L949" t="str">
        <f>IF(Table1_1[[#This Row],[Customer Rating]]&gt;=4.5,"EXCELLENT",IF(Table1_1[[#This Row],[Customer Rating]]&lt;=4,"GOOD","AVERAGE"))</f>
        <v>GOOD</v>
      </c>
    </row>
    <row r="950" spans="1:12" x14ac:dyDescent="0.3">
      <c r="A950" t="s">
        <v>988</v>
      </c>
      <c r="B950" t="s">
        <v>1077</v>
      </c>
      <c r="C950" t="s">
        <v>1048</v>
      </c>
      <c r="D950">
        <v>46563.35</v>
      </c>
      <c r="E950">
        <v>5</v>
      </c>
      <c r="F950">
        <f>SUM(Table1_1[[#This Row],[Price (INR)]]*Table1_1[[#This Row],[Quantity Sold]])</f>
        <v>232816.75</v>
      </c>
      <c r="G950">
        <v>232816.75</v>
      </c>
      <c r="H950" s="1">
        <v>45420</v>
      </c>
      <c r="I950" t="s">
        <v>1049</v>
      </c>
      <c r="J950">
        <v>1.2</v>
      </c>
      <c r="K950" t="str">
        <f>IF(Table1_1[[#This Row],[Quantity Sold]]&gt;=3,"BULK ORDER","REGULAR ORDER")</f>
        <v>BULK ORDER</v>
      </c>
      <c r="L950" t="str">
        <f>IF(Table1_1[[#This Row],[Customer Rating]]&gt;=4.5,"EXCELLENT",IF(Table1_1[[#This Row],[Customer Rating]]&lt;=4,"GOOD","AVERAGE"))</f>
        <v>GOOD</v>
      </c>
    </row>
    <row r="951" spans="1:12" x14ac:dyDescent="0.3">
      <c r="A951" t="s">
        <v>1003</v>
      </c>
      <c r="B951" t="s">
        <v>1076</v>
      </c>
      <c r="C951" t="s">
        <v>1055</v>
      </c>
      <c r="D951">
        <v>35278.46</v>
      </c>
      <c r="E951">
        <v>3</v>
      </c>
      <c r="F951">
        <f>SUM(Table1_1[[#This Row],[Price (INR)]]*Table1_1[[#This Row],[Quantity Sold]])</f>
        <v>105835.38</v>
      </c>
      <c r="G951">
        <v>105835.38</v>
      </c>
      <c r="H951" s="1">
        <v>45531</v>
      </c>
      <c r="I951" t="s">
        <v>42</v>
      </c>
      <c r="J951">
        <v>1.2</v>
      </c>
      <c r="K951" t="str">
        <f>IF(Table1_1[[#This Row],[Quantity Sold]]&gt;=3,"BULK ORDER","REGULAR ORDER")</f>
        <v>BULK ORDER</v>
      </c>
      <c r="L951" t="str">
        <f>IF(Table1_1[[#This Row],[Customer Rating]]&gt;=4.5,"EXCELLENT",IF(Table1_1[[#This Row],[Customer Rating]]&lt;=4,"GOOD","AVERAGE"))</f>
        <v>GOOD</v>
      </c>
    </row>
    <row r="952" spans="1:12" x14ac:dyDescent="0.3">
      <c r="A952" t="s">
        <v>1024</v>
      </c>
      <c r="B952" t="s">
        <v>1064</v>
      </c>
      <c r="C952" t="s">
        <v>1053</v>
      </c>
      <c r="D952">
        <v>35506.410000000003</v>
      </c>
      <c r="E952">
        <v>5</v>
      </c>
      <c r="F952">
        <f>SUM(Table1_1[[#This Row],[Price (INR)]]*Table1_1[[#This Row],[Quantity Sold]])</f>
        <v>177532.05000000002</v>
      </c>
      <c r="G952">
        <v>177532.05</v>
      </c>
      <c r="H952" s="1">
        <v>45350</v>
      </c>
      <c r="I952" t="s">
        <v>1059</v>
      </c>
      <c r="J952">
        <v>1.2</v>
      </c>
      <c r="K952" t="str">
        <f>IF(Table1_1[[#This Row],[Quantity Sold]]&gt;=3,"BULK ORDER","REGULAR ORDER")</f>
        <v>BULK ORDER</v>
      </c>
      <c r="L952" t="str">
        <f>IF(Table1_1[[#This Row],[Customer Rating]]&gt;=4.5,"EXCELLENT",IF(Table1_1[[#This Row],[Customer Rating]]&lt;=4,"GOOD","AVERAGE"))</f>
        <v>GOOD</v>
      </c>
    </row>
    <row r="953" spans="1:12" x14ac:dyDescent="0.3">
      <c r="A953" t="s">
        <v>1033</v>
      </c>
      <c r="B953" t="s">
        <v>1054</v>
      </c>
      <c r="C953" t="s">
        <v>1055</v>
      </c>
      <c r="D953">
        <v>49569.3</v>
      </c>
      <c r="E953">
        <v>4</v>
      </c>
      <c r="F953">
        <f>SUM(Table1_1[[#This Row],[Price (INR)]]*Table1_1[[#This Row],[Quantity Sold]])</f>
        <v>198277.2</v>
      </c>
      <c r="G953">
        <v>198277.2</v>
      </c>
      <c r="H953" s="1">
        <v>45423</v>
      </c>
      <c r="I953" t="s">
        <v>42</v>
      </c>
      <c r="J953">
        <v>1.2</v>
      </c>
      <c r="K953" t="str">
        <f>IF(Table1_1[[#This Row],[Quantity Sold]]&gt;=3,"BULK ORDER","REGULAR ORDER")</f>
        <v>BULK ORDER</v>
      </c>
      <c r="L953" t="str">
        <f>IF(Table1_1[[#This Row],[Customer Rating]]&gt;=4.5,"EXCELLENT",IF(Table1_1[[#This Row],[Customer Rating]]&lt;=4,"GOOD","AVERAGE"))</f>
        <v>GOOD</v>
      </c>
    </row>
    <row r="954" spans="1:12" x14ac:dyDescent="0.3">
      <c r="A954" t="s">
        <v>61</v>
      </c>
      <c r="B954" t="s">
        <v>1056</v>
      </c>
      <c r="C954" t="s">
        <v>1057</v>
      </c>
      <c r="D954">
        <v>4165.6400000000003</v>
      </c>
      <c r="E954">
        <v>2</v>
      </c>
      <c r="F954">
        <f>SUM(Table1_1[[#This Row],[Price (INR)]]*Table1_1[[#This Row],[Quantity Sold]])</f>
        <v>8331.2800000000007</v>
      </c>
      <c r="G954">
        <v>8331.2800000000007</v>
      </c>
      <c r="H954" s="1">
        <v>45620</v>
      </c>
      <c r="I954" t="s">
        <v>42</v>
      </c>
      <c r="J954">
        <v>1.1000000000000001</v>
      </c>
      <c r="K954" t="str">
        <f>IF(Table1_1[[#This Row],[Quantity Sold]]&gt;=3,"BULK ORDER","REGULAR ORDER")</f>
        <v>REGULAR ORDER</v>
      </c>
      <c r="L954" t="str">
        <f>IF(Table1_1[[#This Row],[Customer Rating]]&gt;=4.5,"EXCELLENT",IF(Table1_1[[#This Row],[Customer Rating]]&lt;=4,"GOOD","AVERAGE"))</f>
        <v>GOOD</v>
      </c>
    </row>
    <row r="955" spans="1:12" x14ac:dyDescent="0.3">
      <c r="A955" t="s">
        <v>68</v>
      </c>
      <c r="B955" t="s">
        <v>1073</v>
      </c>
      <c r="C955" t="s">
        <v>1053</v>
      </c>
      <c r="D955">
        <v>15046.01</v>
      </c>
      <c r="E955">
        <v>5</v>
      </c>
      <c r="F955">
        <f>SUM(Table1_1[[#This Row],[Price (INR)]]*Table1_1[[#This Row],[Quantity Sold]])</f>
        <v>75230.05</v>
      </c>
      <c r="G955">
        <v>75230.05</v>
      </c>
      <c r="H955" s="1">
        <v>45582</v>
      </c>
      <c r="I955" t="s">
        <v>42</v>
      </c>
      <c r="J955">
        <v>1.1000000000000001</v>
      </c>
      <c r="K955" t="str">
        <f>IF(Table1_1[[#This Row],[Quantity Sold]]&gt;=3,"BULK ORDER","REGULAR ORDER")</f>
        <v>BULK ORDER</v>
      </c>
      <c r="L955" t="str">
        <f>IF(Table1_1[[#This Row],[Customer Rating]]&gt;=4.5,"EXCELLENT",IF(Table1_1[[#This Row],[Customer Rating]]&lt;=4,"GOOD","AVERAGE"))</f>
        <v>GOOD</v>
      </c>
    </row>
    <row r="956" spans="1:12" x14ac:dyDescent="0.3">
      <c r="A956" t="s">
        <v>76</v>
      </c>
      <c r="B956" t="s">
        <v>1064</v>
      </c>
      <c r="C956" t="s">
        <v>1053</v>
      </c>
      <c r="D956">
        <v>34927.79</v>
      </c>
      <c r="E956">
        <v>4</v>
      </c>
      <c r="F956">
        <f>SUM(Table1_1[[#This Row],[Price (INR)]]*Table1_1[[#This Row],[Quantity Sold]])</f>
        <v>139711.16</v>
      </c>
      <c r="G956">
        <v>139711.16</v>
      </c>
      <c r="H956" s="1">
        <v>45470</v>
      </c>
      <c r="I956" t="s">
        <v>1068</v>
      </c>
      <c r="J956">
        <v>1.1000000000000001</v>
      </c>
      <c r="K956" t="str">
        <f>IF(Table1_1[[#This Row],[Quantity Sold]]&gt;=3,"BULK ORDER","REGULAR ORDER")</f>
        <v>BULK ORDER</v>
      </c>
      <c r="L956" t="str">
        <f>IF(Table1_1[[#This Row],[Customer Rating]]&gt;=4.5,"EXCELLENT",IF(Table1_1[[#This Row],[Customer Rating]]&lt;=4,"GOOD","AVERAGE"))</f>
        <v>GOOD</v>
      </c>
    </row>
    <row r="957" spans="1:12" x14ac:dyDescent="0.3">
      <c r="A957" t="s">
        <v>84</v>
      </c>
      <c r="B957" t="s">
        <v>1058</v>
      </c>
      <c r="C957" t="s">
        <v>1057</v>
      </c>
      <c r="D957">
        <v>8598.58</v>
      </c>
      <c r="E957">
        <v>1</v>
      </c>
      <c r="F957">
        <f>SUM(Table1_1[[#This Row],[Price (INR)]]*Table1_1[[#This Row],[Quantity Sold]])</f>
        <v>8598.58</v>
      </c>
      <c r="G957">
        <v>8598.58</v>
      </c>
      <c r="H957" s="1">
        <v>45574</v>
      </c>
      <c r="I957" t="s">
        <v>1049</v>
      </c>
      <c r="J957">
        <v>1.1000000000000001</v>
      </c>
      <c r="K957" t="str">
        <f>IF(Table1_1[[#This Row],[Quantity Sold]]&gt;=3,"BULK ORDER","REGULAR ORDER")</f>
        <v>REGULAR ORDER</v>
      </c>
      <c r="L957" t="str">
        <f>IF(Table1_1[[#This Row],[Customer Rating]]&gt;=4.5,"EXCELLENT",IF(Table1_1[[#This Row],[Customer Rating]]&lt;=4,"GOOD","AVERAGE"))</f>
        <v>GOOD</v>
      </c>
    </row>
    <row r="958" spans="1:12" x14ac:dyDescent="0.3">
      <c r="A958" t="s">
        <v>107</v>
      </c>
      <c r="B958" t="s">
        <v>1065</v>
      </c>
      <c r="C958" t="s">
        <v>1053</v>
      </c>
      <c r="D958">
        <v>11106.19</v>
      </c>
      <c r="E958">
        <v>2</v>
      </c>
      <c r="F958">
        <f>SUM(Table1_1[[#This Row],[Price (INR)]]*Table1_1[[#This Row],[Quantity Sold]])</f>
        <v>22212.38</v>
      </c>
      <c r="G958">
        <v>22212.38</v>
      </c>
      <c r="H958" s="1">
        <v>45648</v>
      </c>
      <c r="I958" t="s">
        <v>1059</v>
      </c>
      <c r="J958">
        <v>1.1000000000000001</v>
      </c>
      <c r="K958" t="str">
        <f>IF(Table1_1[[#This Row],[Quantity Sold]]&gt;=3,"BULK ORDER","REGULAR ORDER")</f>
        <v>REGULAR ORDER</v>
      </c>
      <c r="L958" t="str">
        <f>IF(Table1_1[[#This Row],[Customer Rating]]&gt;=4.5,"EXCELLENT",IF(Table1_1[[#This Row],[Customer Rating]]&lt;=4,"GOOD","AVERAGE"))</f>
        <v>GOOD</v>
      </c>
    </row>
    <row r="959" spans="1:12" x14ac:dyDescent="0.3">
      <c r="A959" t="s">
        <v>152</v>
      </c>
      <c r="B959" t="s">
        <v>1070</v>
      </c>
      <c r="C959" t="s">
        <v>1051</v>
      </c>
      <c r="D959">
        <v>44639</v>
      </c>
      <c r="E959">
        <v>5</v>
      </c>
      <c r="F959">
        <f>SUM(Table1_1[[#This Row],[Price (INR)]]*Table1_1[[#This Row],[Quantity Sold]])</f>
        <v>223195</v>
      </c>
      <c r="G959">
        <v>223195</v>
      </c>
      <c r="H959" s="1">
        <v>45416</v>
      </c>
      <c r="I959" t="s">
        <v>1068</v>
      </c>
      <c r="J959">
        <v>1.1000000000000001</v>
      </c>
      <c r="K959" t="str">
        <f>IF(Table1_1[[#This Row],[Quantity Sold]]&gt;=3,"BULK ORDER","REGULAR ORDER")</f>
        <v>BULK ORDER</v>
      </c>
      <c r="L959" t="str">
        <f>IF(Table1_1[[#This Row],[Customer Rating]]&gt;=4.5,"EXCELLENT",IF(Table1_1[[#This Row],[Customer Rating]]&lt;=4,"GOOD","AVERAGE"))</f>
        <v>GOOD</v>
      </c>
    </row>
    <row r="960" spans="1:12" x14ac:dyDescent="0.3">
      <c r="A960" t="s">
        <v>167</v>
      </c>
      <c r="B960" t="s">
        <v>1073</v>
      </c>
      <c r="C960" t="s">
        <v>1053</v>
      </c>
      <c r="D960">
        <v>12158.96</v>
      </c>
      <c r="E960">
        <v>3</v>
      </c>
      <c r="F960">
        <f>SUM(Table1_1[[#This Row],[Price (INR)]]*Table1_1[[#This Row],[Quantity Sold]])</f>
        <v>36476.879999999997</v>
      </c>
      <c r="G960">
        <v>36476.879999999997</v>
      </c>
      <c r="H960" s="1">
        <v>45372</v>
      </c>
      <c r="I960" t="s">
        <v>1071</v>
      </c>
      <c r="J960">
        <v>1.1000000000000001</v>
      </c>
      <c r="K960" t="str">
        <f>IF(Table1_1[[#This Row],[Quantity Sold]]&gt;=3,"BULK ORDER","REGULAR ORDER")</f>
        <v>BULK ORDER</v>
      </c>
      <c r="L960" t="str">
        <f>IF(Table1_1[[#This Row],[Customer Rating]]&gt;=4.5,"EXCELLENT",IF(Table1_1[[#This Row],[Customer Rating]]&lt;=4,"GOOD","AVERAGE"))</f>
        <v>GOOD</v>
      </c>
    </row>
    <row r="961" spans="1:12" x14ac:dyDescent="0.3">
      <c r="A961" t="s">
        <v>242</v>
      </c>
      <c r="B961" t="s">
        <v>1054</v>
      </c>
      <c r="C961" t="s">
        <v>1055</v>
      </c>
      <c r="D961">
        <v>11103.44</v>
      </c>
      <c r="E961">
        <v>1</v>
      </c>
      <c r="F961">
        <f>SUM(Table1_1[[#This Row],[Price (INR)]]*Table1_1[[#This Row],[Quantity Sold]])</f>
        <v>11103.44</v>
      </c>
      <c r="G961">
        <v>11103.44</v>
      </c>
      <c r="H961" s="1">
        <v>45421</v>
      </c>
      <c r="I961" t="s">
        <v>1059</v>
      </c>
      <c r="J961">
        <v>1.1000000000000001</v>
      </c>
      <c r="K961" t="str">
        <f>IF(Table1_1[[#This Row],[Quantity Sold]]&gt;=3,"BULK ORDER","REGULAR ORDER")</f>
        <v>REGULAR ORDER</v>
      </c>
      <c r="L961" t="str">
        <f>IF(Table1_1[[#This Row],[Customer Rating]]&gt;=4.5,"EXCELLENT",IF(Table1_1[[#This Row],[Customer Rating]]&lt;=4,"GOOD","AVERAGE"))</f>
        <v>GOOD</v>
      </c>
    </row>
    <row r="962" spans="1:12" x14ac:dyDescent="0.3">
      <c r="A962" t="s">
        <v>298</v>
      </c>
      <c r="B962" t="s">
        <v>1075</v>
      </c>
      <c r="C962" t="s">
        <v>1053</v>
      </c>
      <c r="D962">
        <v>18787.05</v>
      </c>
      <c r="E962">
        <v>4</v>
      </c>
      <c r="F962">
        <f>SUM(Table1_1[[#This Row],[Price (INR)]]*Table1_1[[#This Row],[Quantity Sold]])</f>
        <v>75148.2</v>
      </c>
      <c r="G962">
        <v>75148.2</v>
      </c>
      <c r="H962" s="1">
        <v>45684</v>
      </c>
      <c r="I962" t="s">
        <v>1068</v>
      </c>
      <c r="J962">
        <v>1.1000000000000001</v>
      </c>
      <c r="K962" t="str">
        <f>IF(Table1_1[[#This Row],[Quantity Sold]]&gt;=3,"BULK ORDER","REGULAR ORDER")</f>
        <v>BULK ORDER</v>
      </c>
      <c r="L962" t="str">
        <f>IF(Table1_1[[#This Row],[Customer Rating]]&gt;=4.5,"EXCELLENT",IF(Table1_1[[#This Row],[Customer Rating]]&lt;=4,"GOOD","AVERAGE"))</f>
        <v>GOOD</v>
      </c>
    </row>
    <row r="963" spans="1:12" x14ac:dyDescent="0.3">
      <c r="A963" t="s">
        <v>303</v>
      </c>
      <c r="B963" t="s">
        <v>1056</v>
      </c>
      <c r="C963" t="s">
        <v>1057</v>
      </c>
      <c r="D963">
        <v>2923.95</v>
      </c>
      <c r="E963">
        <v>5</v>
      </c>
      <c r="F963">
        <f>SUM(Table1_1[[#This Row],[Price (INR)]]*Table1_1[[#This Row],[Quantity Sold]])</f>
        <v>14619.75</v>
      </c>
      <c r="G963">
        <v>14619.75</v>
      </c>
      <c r="H963" s="1">
        <v>45520</v>
      </c>
      <c r="I963" t="s">
        <v>1071</v>
      </c>
      <c r="J963">
        <v>1.1000000000000001</v>
      </c>
      <c r="K963" t="str">
        <f>IF(Table1_1[[#This Row],[Quantity Sold]]&gt;=3,"BULK ORDER","REGULAR ORDER")</f>
        <v>BULK ORDER</v>
      </c>
      <c r="L963" t="str">
        <f>IF(Table1_1[[#This Row],[Customer Rating]]&gt;=4.5,"EXCELLENT",IF(Table1_1[[#This Row],[Customer Rating]]&lt;=4,"GOOD","AVERAGE"))</f>
        <v>GOOD</v>
      </c>
    </row>
    <row r="964" spans="1:12" x14ac:dyDescent="0.3">
      <c r="A964" t="s">
        <v>304</v>
      </c>
      <c r="B964" t="s">
        <v>1075</v>
      </c>
      <c r="C964" t="s">
        <v>1053</v>
      </c>
      <c r="D964">
        <v>7339.66</v>
      </c>
      <c r="E964">
        <v>2</v>
      </c>
      <c r="F964">
        <f>SUM(Table1_1[[#This Row],[Price (INR)]]*Table1_1[[#This Row],[Quantity Sold]])</f>
        <v>14679.32</v>
      </c>
      <c r="G964">
        <v>14679.32</v>
      </c>
      <c r="H964" s="1">
        <v>45625</v>
      </c>
      <c r="I964" t="s">
        <v>1071</v>
      </c>
      <c r="J964">
        <v>1.1000000000000001</v>
      </c>
      <c r="K964" t="str">
        <f>IF(Table1_1[[#This Row],[Quantity Sold]]&gt;=3,"BULK ORDER","REGULAR ORDER")</f>
        <v>REGULAR ORDER</v>
      </c>
      <c r="L964" t="str">
        <f>IF(Table1_1[[#This Row],[Customer Rating]]&gt;=4.5,"EXCELLENT",IF(Table1_1[[#This Row],[Customer Rating]]&lt;=4,"GOOD","AVERAGE"))</f>
        <v>GOOD</v>
      </c>
    </row>
    <row r="965" spans="1:12" x14ac:dyDescent="0.3">
      <c r="A965" t="s">
        <v>342</v>
      </c>
      <c r="B965" t="s">
        <v>1047</v>
      </c>
      <c r="C965" t="s">
        <v>1048</v>
      </c>
      <c r="D965">
        <v>43965.67</v>
      </c>
      <c r="E965">
        <v>3</v>
      </c>
      <c r="F965">
        <f>SUM(Table1_1[[#This Row],[Price (INR)]]*Table1_1[[#This Row],[Quantity Sold]])</f>
        <v>131897.01</v>
      </c>
      <c r="G965">
        <v>131897.01</v>
      </c>
      <c r="H965" s="1">
        <v>45529</v>
      </c>
      <c r="I965" t="s">
        <v>1049</v>
      </c>
      <c r="J965">
        <v>1.1000000000000001</v>
      </c>
      <c r="K965" t="str">
        <f>IF(Table1_1[[#This Row],[Quantity Sold]]&gt;=3,"BULK ORDER","REGULAR ORDER")</f>
        <v>BULK ORDER</v>
      </c>
      <c r="L965" t="str">
        <f>IF(Table1_1[[#This Row],[Customer Rating]]&gt;=4.5,"EXCELLENT",IF(Table1_1[[#This Row],[Customer Rating]]&lt;=4,"GOOD","AVERAGE"))</f>
        <v>GOOD</v>
      </c>
    </row>
    <row r="966" spans="1:12" x14ac:dyDescent="0.3">
      <c r="A966" t="s">
        <v>368</v>
      </c>
      <c r="B966" t="s">
        <v>1077</v>
      </c>
      <c r="C966" t="s">
        <v>1048</v>
      </c>
      <c r="D966">
        <v>30395.25</v>
      </c>
      <c r="E966">
        <v>1</v>
      </c>
      <c r="F966">
        <f>SUM(Table1_1[[#This Row],[Price (INR)]]*Table1_1[[#This Row],[Quantity Sold]])</f>
        <v>30395.25</v>
      </c>
      <c r="G966">
        <v>30395.25</v>
      </c>
      <c r="H966" s="1">
        <v>45389</v>
      </c>
      <c r="I966" t="s">
        <v>42</v>
      </c>
      <c r="J966">
        <v>1.1000000000000001</v>
      </c>
      <c r="K966" t="str">
        <f>IF(Table1_1[[#This Row],[Quantity Sold]]&gt;=3,"BULK ORDER","REGULAR ORDER")</f>
        <v>REGULAR ORDER</v>
      </c>
      <c r="L966" t="str">
        <f>IF(Table1_1[[#This Row],[Customer Rating]]&gt;=4.5,"EXCELLENT",IF(Table1_1[[#This Row],[Customer Rating]]&lt;=4,"GOOD","AVERAGE"))</f>
        <v>GOOD</v>
      </c>
    </row>
    <row r="967" spans="1:12" x14ac:dyDescent="0.3">
      <c r="A967" t="s">
        <v>384</v>
      </c>
      <c r="B967" t="s">
        <v>1061</v>
      </c>
      <c r="C967" t="s">
        <v>1057</v>
      </c>
      <c r="D967">
        <v>41841.57</v>
      </c>
      <c r="E967">
        <v>2</v>
      </c>
      <c r="F967">
        <f>SUM(Table1_1[[#This Row],[Price (INR)]]*Table1_1[[#This Row],[Quantity Sold]])</f>
        <v>83683.14</v>
      </c>
      <c r="G967">
        <v>83683.14</v>
      </c>
      <c r="H967" s="1">
        <v>45439</v>
      </c>
      <c r="I967" t="s">
        <v>42</v>
      </c>
      <c r="J967">
        <v>1.1000000000000001</v>
      </c>
      <c r="K967" t="str">
        <f>IF(Table1_1[[#This Row],[Quantity Sold]]&gt;=3,"BULK ORDER","REGULAR ORDER")</f>
        <v>REGULAR ORDER</v>
      </c>
      <c r="L967" t="str">
        <f>IF(Table1_1[[#This Row],[Customer Rating]]&gt;=4.5,"EXCELLENT",IF(Table1_1[[#This Row],[Customer Rating]]&lt;=4,"GOOD","AVERAGE"))</f>
        <v>GOOD</v>
      </c>
    </row>
    <row r="968" spans="1:12" x14ac:dyDescent="0.3">
      <c r="A968" t="s">
        <v>387</v>
      </c>
      <c r="B968" t="s">
        <v>1076</v>
      </c>
      <c r="C968" t="s">
        <v>1055</v>
      </c>
      <c r="D968">
        <v>26992.720000000001</v>
      </c>
      <c r="E968">
        <v>3</v>
      </c>
      <c r="F968">
        <f>SUM(Table1_1[[#This Row],[Price (INR)]]*Table1_1[[#This Row],[Quantity Sold]])</f>
        <v>80978.16</v>
      </c>
      <c r="G968">
        <v>80978.16</v>
      </c>
      <c r="H968" s="1">
        <v>45337</v>
      </c>
      <c r="I968" t="s">
        <v>1059</v>
      </c>
      <c r="J968">
        <v>1.1000000000000001</v>
      </c>
      <c r="K968" t="str">
        <f>IF(Table1_1[[#This Row],[Quantity Sold]]&gt;=3,"BULK ORDER","REGULAR ORDER")</f>
        <v>BULK ORDER</v>
      </c>
      <c r="L968" t="str">
        <f>IF(Table1_1[[#This Row],[Customer Rating]]&gt;=4.5,"EXCELLENT",IF(Table1_1[[#This Row],[Customer Rating]]&lt;=4,"GOOD","AVERAGE"))</f>
        <v>GOOD</v>
      </c>
    </row>
    <row r="969" spans="1:12" x14ac:dyDescent="0.3">
      <c r="A969" t="s">
        <v>425</v>
      </c>
      <c r="B969" t="s">
        <v>1062</v>
      </c>
      <c r="C969" t="s">
        <v>1051</v>
      </c>
      <c r="D969">
        <v>24062.33</v>
      </c>
      <c r="E969">
        <v>4</v>
      </c>
      <c r="F969">
        <f>SUM(Table1_1[[#This Row],[Price (INR)]]*Table1_1[[#This Row],[Quantity Sold]])</f>
        <v>96249.32</v>
      </c>
      <c r="G969">
        <v>96249.32</v>
      </c>
      <c r="H969" s="1">
        <v>45676</v>
      </c>
      <c r="I969" t="s">
        <v>1049</v>
      </c>
      <c r="J969">
        <v>1.1000000000000001</v>
      </c>
      <c r="K969" t="str">
        <f>IF(Table1_1[[#This Row],[Quantity Sold]]&gt;=3,"BULK ORDER","REGULAR ORDER")</f>
        <v>BULK ORDER</v>
      </c>
      <c r="L969" t="str">
        <f>IF(Table1_1[[#This Row],[Customer Rating]]&gt;=4.5,"EXCELLENT",IF(Table1_1[[#This Row],[Customer Rating]]&lt;=4,"GOOD","AVERAGE"))</f>
        <v>GOOD</v>
      </c>
    </row>
    <row r="970" spans="1:12" x14ac:dyDescent="0.3">
      <c r="A970" t="s">
        <v>432</v>
      </c>
      <c r="B970" t="s">
        <v>1078</v>
      </c>
      <c r="C970" t="s">
        <v>1048</v>
      </c>
      <c r="D970">
        <v>47819.23</v>
      </c>
      <c r="E970">
        <v>4</v>
      </c>
      <c r="F970">
        <f>SUM(Table1_1[[#This Row],[Price (INR)]]*Table1_1[[#This Row],[Quantity Sold]])</f>
        <v>191276.92</v>
      </c>
      <c r="G970">
        <v>191276.92</v>
      </c>
      <c r="H970" s="1">
        <v>45446</v>
      </c>
      <c r="I970" t="s">
        <v>1059</v>
      </c>
      <c r="J970">
        <v>1.1000000000000001</v>
      </c>
      <c r="K970" t="str">
        <f>IF(Table1_1[[#This Row],[Quantity Sold]]&gt;=3,"BULK ORDER","REGULAR ORDER")</f>
        <v>BULK ORDER</v>
      </c>
      <c r="L970" t="str">
        <f>IF(Table1_1[[#This Row],[Customer Rating]]&gt;=4.5,"EXCELLENT",IF(Table1_1[[#This Row],[Customer Rating]]&lt;=4,"GOOD","AVERAGE"))</f>
        <v>GOOD</v>
      </c>
    </row>
    <row r="971" spans="1:12" x14ac:dyDescent="0.3">
      <c r="A971" t="s">
        <v>435</v>
      </c>
      <c r="B971" t="s">
        <v>1065</v>
      </c>
      <c r="C971" t="s">
        <v>1053</v>
      </c>
      <c r="D971">
        <v>11186.35</v>
      </c>
      <c r="E971">
        <v>2</v>
      </c>
      <c r="F971">
        <f>SUM(Table1_1[[#This Row],[Price (INR)]]*Table1_1[[#This Row],[Quantity Sold]])</f>
        <v>22372.7</v>
      </c>
      <c r="G971">
        <v>22372.7</v>
      </c>
      <c r="H971" s="1">
        <v>45593</v>
      </c>
      <c r="I971" t="s">
        <v>42</v>
      </c>
      <c r="J971">
        <v>1.1000000000000001</v>
      </c>
      <c r="K971" t="str">
        <f>IF(Table1_1[[#This Row],[Quantity Sold]]&gt;=3,"BULK ORDER","REGULAR ORDER")</f>
        <v>REGULAR ORDER</v>
      </c>
      <c r="L971" t="str">
        <f>IF(Table1_1[[#This Row],[Customer Rating]]&gt;=4.5,"EXCELLENT",IF(Table1_1[[#This Row],[Customer Rating]]&lt;=4,"GOOD","AVERAGE"))</f>
        <v>GOOD</v>
      </c>
    </row>
    <row r="972" spans="1:12" x14ac:dyDescent="0.3">
      <c r="A972" t="s">
        <v>452</v>
      </c>
      <c r="B972" t="s">
        <v>1070</v>
      </c>
      <c r="C972" t="s">
        <v>1051</v>
      </c>
      <c r="D972">
        <v>21705.78</v>
      </c>
      <c r="E972">
        <v>1</v>
      </c>
      <c r="F972">
        <f>SUM(Table1_1[[#This Row],[Price (INR)]]*Table1_1[[#This Row],[Quantity Sold]])</f>
        <v>21705.78</v>
      </c>
      <c r="G972">
        <v>21705.78</v>
      </c>
      <c r="H972" s="1">
        <v>45570</v>
      </c>
      <c r="I972" t="s">
        <v>42</v>
      </c>
      <c r="J972">
        <v>1.1000000000000001</v>
      </c>
      <c r="K972" t="str">
        <f>IF(Table1_1[[#This Row],[Quantity Sold]]&gt;=3,"BULK ORDER","REGULAR ORDER")</f>
        <v>REGULAR ORDER</v>
      </c>
      <c r="L972" t="str">
        <f>IF(Table1_1[[#This Row],[Customer Rating]]&gt;=4.5,"EXCELLENT",IF(Table1_1[[#This Row],[Customer Rating]]&lt;=4,"GOOD","AVERAGE"))</f>
        <v>GOOD</v>
      </c>
    </row>
    <row r="973" spans="1:12" x14ac:dyDescent="0.3">
      <c r="A973" t="s">
        <v>600</v>
      </c>
      <c r="B973" t="s">
        <v>1074</v>
      </c>
      <c r="C973" t="s">
        <v>1055</v>
      </c>
      <c r="D973">
        <v>38488.04</v>
      </c>
      <c r="E973">
        <v>2</v>
      </c>
      <c r="F973">
        <f>SUM(Table1_1[[#This Row],[Price (INR)]]*Table1_1[[#This Row],[Quantity Sold]])</f>
        <v>76976.08</v>
      </c>
      <c r="G973">
        <v>76976.08</v>
      </c>
      <c r="H973" s="1">
        <v>45508</v>
      </c>
      <c r="I973" t="s">
        <v>16</v>
      </c>
      <c r="J973">
        <v>1.1000000000000001</v>
      </c>
      <c r="K973" t="str">
        <f>IF(Table1_1[[#This Row],[Quantity Sold]]&gt;=3,"BULK ORDER","REGULAR ORDER")</f>
        <v>REGULAR ORDER</v>
      </c>
      <c r="L973" t="str">
        <f>IF(Table1_1[[#This Row],[Customer Rating]]&gt;=4.5,"EXCELLENT",IF(Table1_1[[#This Row],[Customer Rating]]&lt;=4,"GOOD","AVERAGE"))</f>
        <v>GOOD</v>
      </c>
    </row>
    <row r="974" spans="1:12" x14ac:dyDescent="0.3">
      <c r="A974" t="s">
        <v>603</v>
      </c>
      <c r="B974" t="s">
        <v>1064</v>
      </c>
      <c r="C974" t="s">
        <v>1053</v>
      </c>
      <c r="D974">
        <v>9946.27</v>
      </c>
      <c r="E974">
        <v>1</v>
      </c>
      <c r="F974">
        <f>SUM(Table1_1[[#This Row],[Price (INR)]]*Table1_1[[#This Row],[Quantity Sold]])</f>
        <v>9946.27</v>
      </c>
      <c r="G974">
        <v>9946.27</v>
      </c>
      <c r="H974" s="1">
        <v>45645</v>
      </c>
      <c r="I974" t="s">
        <v>1068</v>
      </c>
      <c r="J974">
        <v>1.1000000000000001</v>
      </c>
      <c r="K974" t="str">
        <f>IF(Table1_1[[#This Row],[Quantity Sold]]&gt;=3,"BULK ORDER","REGULAR ORDER")</f>
        <v>REGULAR ORDER</v>
      </c>
      <c r="L974" t="str">
        <f>IF(Table1_1[[#This Row],[Customer Rating]]&gt;=4.5,"EXCELLENT",IF(Table1_1[[#This Row],[Customer Rating]]&lt;=4,"GOOD","AVERAGE"))</f>
        <v>GOOD</v>
      </c>
    </row>
    <row r="975" spans="1:12" x14ac:dyDescent="0.3">
      <c r="A975" t="s">
        <v>615</v>
      </c>
      <c r="B975" t="s">
        <v>1061</v>
      </c>
      <c r="C975" t="s">
        <v>1057</v>
      </c>
      <c r="D975">
        <v>33547.94</v>
      </c>
      <c r="E975">
        <v>2</v>
      </c>
      <c r="F975">
        <f>SUM(Table1_1[[#This Row],[Price (INR)]]*Table1_1[[#This Row],[Quantity Sold]])</f>
        <v>67095.88</v>
      </c>
      <c r="G975">
        <v>67095.88</v>
      </c>
      <c r="H975" s="1">
        <v>45672</v>
      </c>
      <c r="I975" t="s">
        <v>1071</v>
      </c>
      <c r="J975">
        <v>1.1000000000000001</v>
      </c>
      <c r="K975" t="str">
        <f>IF(Table1_1[[#This Row],[Quantity Sold]]&gt;=3,"BULK ORDER","REGULAR ORDER")</f>
        <v>REGULAR ORDER</v>
      </c>
      <c r="L975" t="str">
        <f>IF(Table1_1[[#This Row],[Customer Rating]]&gt;=4.5,"EXCELLENT",IF(Table1_1[[#This Row],[Customer Rating]]&lt;=4,"GOOD","AVERAGE"))</f>
        <v>GOOD</v>
      </c>
    </row>
    <row r="976" spans="1:12" x14ac:dyDescent="0.3">
      <c r="A976" t="s">
        <v>628</v>
      </c>
      <c r="B976" t="s">
        <v>1054</v>
      </c>
      <c r="C976" t="s">
        <v>1055</v>
      </c>
      <c r="D976">
        <v>7892.27</v>
      </c>
      <c r="E976">
        <v>2</v>
      </c>
      <c r="F976">
        <f>SUM(Table1_1[[#This Row],[Price (INR)]]*Table1_1[[#This Row],[Quantity Sold]])</f>
        <v>15784.54</v>
      </c>
      <c r="G976">
        <v>15784.54</v>
      </c>
      <c r="H976" s="1">
        <v>45414</v>
      </c>
      <c r="I976" t="s">
        <v>1071</v>
      </c>
      <c r="J976">
        <v>1.1000000000000001</v>
      </c>
      <c r="K976" t="str">
        <f>IF(Table1_1[[#This Row],[Quantity Sold]]&gt;=3,"BULK ORDER","REGULAR ORDER")</f>
        <v>REGULAR ORDER</v>
      </c>
      <c r="L976" t="str">
        <f>IF(Table1_1[[#This Row],[Customer Rating]]&gt;=4.5,"EXCELLENT",IF(Table1_1[[#This Row],[Customer Rating]]&lt;=4,"GOOD","AVERAGE"))</f>
        <v>GOOD</v>
      </c>
    </row>
    <row r="977" spans="1:12" x14ac:dyDescent="0.3">
      <c r="A977" t="s">
        <v>663</v>
      </c>
      <c r="B977" t="s">
        <v>1065</v>
      </c>
      <c r="C977" t="s">
        <v>1053</v>
      </c>
      <c r="D977">
        <v>7718.78</v>
      </c>
      <c r="E977">
        <v>1</v>
      </c>
      <c r="F977">
        <f>SUM(Table1_1[[#This Row],[Price (INR)]]*Table1_1[[#This Row],[Quantity Sold]])</f>
        <v>7718.78</v>
      </c>
      <c r="G977">
        <v>7718.78</v>
      </c>
      <c r="H977" s="1">
        <v>45654</v>
      </c>
      <c r="I977" t="s">
        <v>1049</v>
      </c>
      <c r="J977">
        <v>1.1000000000000001</v>
      </c>
      <c r="K977" t="str">
        <f>IF(Table1_1[[#This Row],[Quantity Sold]]&gt;=3,"BULK ORDER","REGULAR ORDER")</f>
        <v>REGULAR ORDER</v>
      </c>
      <c r="L977" t="str">
        <f>IF(Table1_1[[#This Row],[Customer Rating]]&gt;=4.5,"EXCELLENT",IF(Table1_1[[#This Row],[Customer Rating]]&lt;=4,"GOOD","AVERAGE"))</f>
        <v>GOOD</v>
      </c>
    </row>
    <row r="978" spans="1:12" x14ac:dyDescent="0.3">
      <c r="A978" t="s">
        <v>667</v>
      </c>
      <c r="B978" t="s">
        <v>1076</v>
      </c>
      <c r="C978" t="s">
        <v>1055</v>
      </c>
      <c r="D978">
        <v>48287.49</v>
      </c>
      <c r="E978">
        <v>4</v>
      </c>
      <c r="F978">
        <f>SUM(Table1_1[[#This Row],[Price (INR)]]*Table1_1[[#This Row],[Quantity Sold]])</f>
        <v>193149.96</v>
      </c>
      <c r="G978">
        <v>193149.96</v>
      </c>
      <c r="H978" s="1">
        <v>45624</v>
      </c>
      <c r="I978" t="s">
        <v>16</v>
      </c>
      <c r="J978">
        <v>1.1000000000000001</v>
      </c>
      <c r="K978" t="str">
        <f>IF(Table1_1[[#This Row],[Quantity Sold]]&gt;=3,"BULK ORDER","REGULAR ORDER")</f>
        <v>BULK ORDER</v>
      </c>
      <c r="L978" t="str">
        <f>IF(Table1_1[[#This Row],[Customer Rating]]&gt;=4.5,"EXCELLENT",IF(Table1_1[[#This Row],[Customer Rating]]&lt;=4,"GOOD","AVERAGE"))</f>
        <v>GOOD</v>
      </c>
    </row>
    <row r="979" spans="1:12" x14ac:dyDescent="0.3">
      <c r="A979" t="s">
        <v>701</v>
      </c>
      <c r="B979" t="s">
        <v>1075</v>
      </c>
      <c r="C979" t="s">
        <v>1053</v>
      </c>
      <c r="D979">
        <v>44953.24</v>
      </c>
      <c r="E979">
        <v>5</v>
      </c>
      <c r="F979">
        <f>SUM(Table1_1[[#This Row],[Price (INR)]]*Table1_1[[#This Row],[Quantity Sold]])</f>
        <v>224766.19999999998</v>
      </c>
      <c r="G979">
        <v>224766.2</v>
      </c>
      <c r="H979" s="1">
        <v>45500</v>
      </c>
      <c r="I979" t="s">
        <v>1059</v>
      </c>
      <c r="J979">
        <v>1.1000000000000001</v>
      </c>
      <c r="K979" t="str">
        <f>IF(Table1_1[[#This Row],[Quantity Sold]]&gt;=3,"BULK ORDER","REGULAR ORDER")</f>
        <v>BULK ORDER</v>
      </c>
      <c r="L979" t="str">
        <f>IF(Table1_1[[#This Row],[Customer Rating]]&gt;=4.5,"EXCELLENT",IF(Table1_1[[#This Row],[Customer Rating]]&lt;=4,"GOOD","AVERAGE"))</f>
        <v>GOOD</v>
      </c>
    </row>
    <row r="980" spans="1:12" x14ac:dyDescent="0.3">
      <c r="A980" t="s">
        <v>729</v>
      </c>
      <c r="B980" t="s">
        <v>1047</v>
      </c>
      <c r="C980" t="s">
        <v>1048</v>
      </c>
      <c r="D980">
        <v>8970.27</v>
      </c>
      <c r="E980">
        <v>3</v>
      </c>
      <c r="F980">
        <f>SUM(Table1_1[[#This Row],[Price (INR)]]*Table1_1[[#This Row],[Quantity Sold]])</f>
        <v>26910.81</v>
      </c>
      <c r="G980">
        <v>26910.81</v>
      </c>
      <c r="H980" s="1">
        <v>45464</v>
      </c>
      <c r="I980" t="s">
        <v>42</v>
      </c>
      <c r="J980">
        <v>1.1000000000000001</v>
      </c>
      <c r="K980" t="str">
        <f>IF(Table1_1[[#This Row],[Quantity Sold]]&gt;=3,"BULK ORDER","REGULAR ORDER")</f>
        <v>BULK ORDER</v>
      </c>
      <c r="L980" t="str">
        <f>IF(Table1_1[[#This Row],[Customer Rating]]&gt;=4.5,"EXCELLENT",IF(Table1_1[[#This Row],[Customer Rating]]&lt;=4,"GOOD","AVERAGE"))</f>
        <v>GOOD</v>
      </c>
    </row>
    <row r="981" spans="1:12" x14ac:dyDescent="0.3">
      <c r="A981" t="s">
        <v>769</v>
      </c>
      <c r="B981" t="s">
        <v>1056</v>
      </c>
      <c r="C981" t="s">
        <v>1057</v>
      </c>
      <c r="D981">
        <v>30836.98</v>
      </c>
      <c r="E981">
        <v>4</v>
      </c>
      <c r="F981">
        <f>SUM(Table1_1[[#This Row],[Price (INR)]]*Table1_1[[#This Row],[Quantity Sold]])</f>
        <v>123347.92</v>
      </c>
      <c r="G981">
        <v>123347.92</v>
      </c>
      <c r="H981" s="1">
        <v>45336</v>
      </c>
      <c r="I981" t="s">
        <v>1059</v>
      </c>
      <c r="J981">
        <v>1.1000000000000001</v>
      </c>
      <c r="K981" t="str">
        <f>IF(Table1_1[[#This Row],[Quantity Sold]]&gt;=3,"BULK ORDER","REGULAR ORDER")</f>
        <v>BULK ORDER</v>
      </c>
      <c r="L981" t="str">
        <f>IF(Table1_1[[#This Row],[Customer Rating]]&gt;=4.5,"EXCELLENT",IF(Table1_1[[#This Row],[Customer Rating]]&lt;=4,"GOOD","AVERAGE"))</f>
        <v>GOOD</v>
      </c>
    </row>
    <row r="982" spans="1:12" x14ac:dyDescent="0.3">
      <c r="A982" t="s">
        <v>835</v>
      </c>
      <c r="B982" t="s">
        <v>1047</v>
      </c>
      <c r="C982" t="s">
        <v>1048</v>
      </c>
      <c r="D982">
        <v>48742</v>
      </c>
      <c r="E982">
        <v>1</v>
      </c>
      <c r="F982">
        <f>SUM(Table1_1[[#This Row],[Price (INR)]]*Table1_1[[#This Row],[Quantity Sold]])</f>
        <v>48742</v>
      </c>
      <c r="G982">
        <v>48742</v>
      </c>
      <c r="H982" s="1">
        <v>45551</v>
      </c>
      <c r="I982" t="s">
        <v>16</v>
      </c>
      <c r="J982">
        <v>1.1000000000000001</v>
      </c>
      <c r="K982" t="str">
        <f>IF(Table1_1[[#This Row],[Quantity Sold]]&gt;=3,"BULK ORDER","REGULAR ORDER")</f>
        <v>REGULAR ORDER</v>
      </c>
      <c r="L982" t="str">
        <f>IF(Table1_1[[#This Row],[Customer Rating]]&gt;=4.5,"EXCELLENT",IF(Table1_1[[#This Row],[Customer Rating]]&lt;=4,"GOOD","AVERAGE"))</f>
        <v>GOOD</v>
      </c>
    </row>
    <row r="983" spans="1:12" x14ac:dyDescent="0.3">
      <c r="A983" t="s">
        <v>849</v>
      </c>
      <c r="B983" t="s">
        <v>1074</v>
      </c>
      <c r="C983" t="s">
        <v>1055</v>
      </c>
      <c r="D983">
        <v>7672.34</v>
      </c>
      <c r="E983">
        <v>4</v>
      </c>
      <c r="F983">
        <f>SUM(Table1_1[[#This Row],[Price (INR)]]*Table1_1[[#This Row],[Quantity Sold]])</f>
        <v>30689.360000000001</v>
      </c>
      <c r="G983">
        <v>30689.360000000001</v>
      </c>
      <c r="H983" s="1">
        <v>45392</v>
      </c>
      <c r="I983" t="s">
        <v>16</v>
      </c>
      <c r="J983">
        <v>1.1000000000000001</v>
      </c>
      <c r="K983" t="str">
        <f>IF(Table1_1[[#This Row],[Quantity Sold]]&gt;=3,"BULK ORDER","REGULAR ORDER")</f>
        <v>BULK ORDER</v>
      </c>
      <c r="L983" t="str">
        <f>IF(Table1_1[[#This Row],[Customer Rating]]&gt;=4.5,"EXCELLENT",IF(Table1_1[[#This Row],[Customer Rating]]&lt;=4,"GOOD","AVERAGE"))</f>
        <v>GOOD</v>
      </c>
    </row>
    <row r="984" spans="1:12" x14ac:dyDescent="0.3">
      <c r="A984" t="s">
        <v>905</v>
      </c>
      <c r="B984" t="s">
        <v>1073</v>
      </c>
      <c r="C984" t="s">
        <v>1053</v>
      </c>
      <c r="D984">
        <v>43300.52</v>
      </c>
      <c r="E984">
        <v>4</v>
      </c>
      <c r="F984">
        <f>SUM(Table1_1[[#This Row],[Price (INR)]]*Table1_1[[#This Row],[Quantity Sold]])</f>
        <v>173202.08</v>
      </c>
      <c r="G984">
        <v>173202.08</v>
      </c>
      <c r="H984" s="1">
        <v>45588</v>
      </c>
      <c r="I984" t="s">
        <v>42</v>
      </c>
      <c r="J984">
        <v>1.1000000000000001</v>
      </c>
      <c r="K984" t="str">
        <f>IF(Table1_1[[#This Row],[Quantity Sold]]&gt;=3,"BULK ORDER","REGULAR ORDER")</f>
        <v>BULK ORDER</v>
      </c>
      <c r="L984" t="str">
        <f>IF(Table1_1[[#This Row],[Customer Rating]]&gt;=4.5,"EXCELLENT",IF(Table1_1[[#This Row],[Customer Rating]]&lt;=4,"GOOD","AVERAGE"))</f>
        <v>GOOD</v>
      </c>
    </row>
    <row r="985" spans="1:12" x14ac:dyDescent="0.3">
      <c r="A985" t="s">
        <v>945</v>
      </c>
      <c r="B985" t="s">
        <v>1065</v>
      </c>
      <c r="C985" t="s">
        <v>1053</v>
      </c>
      <c r="D985">
        <v>3481.52</v>
      </c>
      <c r="E985">
        <v>3</v>
      </c>
      <c r="F985">
        <f>SUM(Table1_1[[#This Row],[Price (INR)]]*Table1_1[[#This Row],[Quantity Sold]])</f>
        <v>10444.56</v>
      </c>
      <c r="G985">
        <v>10444.56</v>
      </c>
      <c r="H985" s="1">
        <v>45508</v>
      </c>
      <c r="I985" t="s">
        <v>1071</v>
      </c>
      <c r="J985">
        <v>1.1000000000000001</v>
      </c>
      <c r="K985" t="str">
        <f>IF(Table1_1[[#This Row],[Quantity Sold]]&gt;=3,"BULK ORDER","REGULAR ORDER")</f>
        <v>BULK ORDER</v>
      </c>
      <c r="L985" t="str">
        <f>IF(Table1_1[[#This Row],[Customer Rating]]&gt;=4.5,"EXCELLENT",IF(Table1_1[[#This Row],[Customer Rating]]&lt;=4,"GOOD","AVERAGE"))</f>
        <v>GOOD</v>
      </c>
    </row>
    <row r="986" spans="1:12" x14ac:dyDescent="0.3">
      <c r="A986" t="s">
        <v>958</v>
      </c>
      <c r="B986" t="s">
        <v>1061</v>
      </c>
      <c r="C986" t="s">
        <v>1057</v>
      </c>
      <c r="D986">
        <v>30805.88</v>
      </c>
      <c r="E986">
        <v>5</v>
      </c>
      <c r="F986">
        <f>SUM(Table1_1[[#This Row],[Price (INR)]]*Table1_1[[#This Row],[Quantity Sold]])</f>
        <v>154029.4</v>
      </c>
      <c r="G986">
        <v>154029.4</v>
      </c>
      <c r="H986" s="1">
        <v>45458</v>
      </c>
      <c r="I986" t="s">
        <v>1068</v>
      </c>
      <c r="J986">
        <v>1.1000000000000001</v>
      </c>
      <c r="K986" t="str">
        <f>IF(Table1_1[[#This Row],[Quantity Sold]]&gt;=3,"BULK ORDER","REGULAR ORDER")</f>
        <v>BULK ORDER</v>
      </c>
      <c r="L986" t="str">
        <f>IF(Table1_1[[#This Row],[Customer Rating]]&gt;=4.5,"EXCELLENT",IF(Table1_1[[#This Row],[Customer Rating]]&lt;=4,"GOOD","AVERAGE"))</f>
        <v>GOOD</v>
      </c>
    </row>
    <row r="987" spans="1:12" x14ac:dyDescent="0.3">
      <c r="A987" t="s">
        <v>1005</v>
      </c>
      <c r="B987" t="s">
        <v>1067</v>
      </c>
      <c r="C987" t="s">
        <v>1048</v>
      </c>
      <c r="D987">
        <v>31159.759999999998</v>
      </c>
      <c r="E987">
        <v>5</v>
      </c>
      <c r="F987">
        <f>SUM(Table1_1[[#This Row],[Price (INR)]]*Table1_1[[#This Row],[Quantity Sold]])</f>
        <v>155798.79999999999</v>
      </c>
      <c r="G987">
        <v>155798.79999999999</v>
      </c>
      <c r="H987" s="1">
        <v>45682</v>
      </c>
      <c r="I987" t="s">
        <v>1059</v>
      </c>
      <c r="J987">
        <v>1.1000000000000001</v>
      </c>
      <c r="K987" t="str">
        <f>IF(Table1_1[[#This Row],[Quantity Sold]]&gt;=3,"BULK ORDER","REGULAR ORDER")</f>
        <v>BULK ORDER</v>
      </c>
      <c r="L987" t="str">
        <f>IF(Table1_1[[#This Row],[Customer Rating]]&gt;=4.5,"EXCELLENT",IF(Table1_1[[#This Row],[Customer Rating]]&lt;=4,"GOOD","AVERAGE"))</f>
        <v>GOOD</v>
      </c>
    </row>
    <row r="988" spans="1:12" x14ac:dyDescent="0.3">
      <c r="A988" t="s">
        <v>117</v>
      </c>
      <c r="B988" t="s">
        <v>1060</v>
      </c>
      <c r="C988" t="s">
        <v>1051</v>
      </c>
      <c r="D988">
        <v>1542.1</v>
      </c>
      <c r="E988">
        <v>4</v>
      </c>
      <c r="F988">
        <f>SUM(Table1_1[[#This Row],[Price (INR)]]*Table1_1[[#This Row],[Quantity Sold]])</f>
        <v>6168.4</v>
      </c>
      <c r="G988">
        <v>6168.4</v>
      </c>
      <c r="H988" s="1">
        <v>45529</v>
      </c>
      <c r="I988" t="s">
        <v>1068</v>
      </c>
      <c r="J988">
        <v>1</v>
      </c>
      <c r="K988" t="str">
        <f>IF(Table1_1[[#This Row],[Quantity Sold]]&gt;=3,"BULK ORDER","REGULAR ORDER")</f>
        <v>BULK ORDER</v>
      </c>
      <c r="L988" t="str">
        <f>IF(Table1_1[[#This Row],[Customer Rating]]&gt;=4.5,"EXCELLENT",IF(Table1_1[[#This Row],[Customer Rating]]&lt;=4,"GOOD","AVERAGE"))</f>
        <v>GOOD</v>
      </c>
    </row>
    <row r="989" spans="1:12" x14ac:dyDescent="0.3">
      <c r="A989" t="s">
        <v>196</v>
      </c>
      <c r="B989" t="s">
        <v>1060</v>
      </c>
      <c r="C989" t="s">
        <v>1051</v>
      </c>
      <c r="D989">
        <v>48940.95</v>
      </c>
      <c r="E989">
        <v>1</v>
      </c>
      <c r="F989">
        <f>SUM(Table1_1[[#This Row],[Price (INR)]]*Table1_1[[#This Row],[Quantity Sold]])</f>
        <v>48940.95</v>
      </c>
      <c r="G989">
        <v>48940.95</v>
      </c>
      <c r="H989" s="1">
        <v>45342</v>
      </c>
      <c r="I989" t="s">
        <v>1071</v>
      </c>
      <c r="J989">
        <v>1</v>
      </c>
      <c r="K989" t="str">
        <f>IF(Table1_1[[#This Row],[Quantity Sold]]&gt;=3,"BULK ORDER","REGULAR ORDER")</f>
        <v>REGULAR ORDER</v>
      </c>
      <c r="L989" t="str">
        <f>IF(Table1_1[[#This Row],[Customer Rating]]&gt;=4.5,"EXCELLENT",IF(Table1_1[[#This Row],[Customer Rating]]&lt;=4,"GOOD","AVERAGE"))</f>
        <v>GOOD</v>
      </c>
    </row>
    <row r="990" spans="1:12" x14ac:dyDescent="0.3">
      <c r="A990" t="s">
        <v>266</v>
      </c>
      <c r="B990" t="s">
        <v>1078</v>
      </c>
      <c r="C990" t="s">
        <v>1048</v>
      </c>
      <c r="D990">
        <v>22851.63</v>
      </c>
      <c r="E990">
        <v>1</v>
      </c>
      <c r="F990">
        <f>SUM(Table1_1[[#This Row],[Price (INR)]]*Table1_1[[#This Row],[Quantity Sold]])</f>
        <v>22851.63</v>
      </c>
      <c r="G990">
        <v>22851.63</v>
      </c>
      <c r="H990" s="1">
        <v>45426</v>
      </c>
      <c r="I990" t="s">
        <v>1059</v>
      </c>
      <c r="J990">
        <v>1</v>
      </c>
      <c r="K990" t="str">
        <f>IF(Table1_1[[#This Row],[Quantity Sold]]&gt;=3,"BULK ORDER","REGULAR ORDER")</f>
        <v>REGULAR ORDER</v>
      </c>
      <c r="L990" t="str">
        <f>IF(Table1_1[[#This Row],[Customer Rating]]&gt;=4.5,"EXCELLENT",IF(Table1_1[[#This Row],[Customer Rating]]&lt;=4,"GOOD","AVERAGE"))</f>
        <v>GOOD</v>
      </c>
    </row>
    <row r="991" spans="1:12" x14ac:dyDescent="0.3">
      <c r="A991" t="s">
        <v>428</v>
      </c>
      <c r="B991" t="s">
        <v>1060</v>
      </c>
      <c r="C991" t="s">
        <v>1051</v>
      </c>
      <c r="D991">
        <v>11399.26</v>
      </c>
      <c r="E991">
        <v>2</v>
      </c>
      <c r="F991">
        <f>SUM(Table1_1[[#This Row],[Price (INR)]]*Table1_1[[#This Row],[Quantity Sold]])</f>
        <v>22798.52</v>
      </c>
      <c r="G991">
        <v>22798.52</v>
      </c>
      <c r="H991" s="1">
        <v>45339</v>
      </c>
      <c r="I991" t="s">
        <v>1071</v>
      </c>
      <c r="J991">
        <v>1</v>
      </c>
      <c r="K991" t="str">
        <f>IF(Table1_1[[#This Row],[Quantity Sold]]&gt;=3,"BULK ORDER","REGULAR ORDER")</f>
        <v>REGULAR ORDER</v>
      </c>
      <c r="L991" t="str">
        <f>IF(Table1_1[[#This Row],[Customer Rating]]&gt;=4.5,"EXCELLENT",IF(Table1_1[[#This Row],[Customer Rating]]&lt;=4,"GOOD","AVERAGE"))</f>
        <v>GOOD</v>
      </c>
    </row>
    <row r="992" spans="1:12" x14ac:dyDescent="0.3">
      <c r="A992" t="s">
        <v>444</v>
      </c>
      <c r="B992" t="s">
        <v>1075</v>
      </c>
      <c r="C992" t="s">
        <v>1053</v>
      </c>
      <c r="D992">
        <v>25794.78</v>
      </c>
      <c r="E992">
        <v>5</v>
      </c>
      <c r="F992">
        <f>SUM(Table1_1[[#This Row],[Price (INR)]]*Table1_1[[#This Row],[Quantity Sold]])</f>
        <v>128973.9</v>
      </c>
      <c r="G992">
        <v>128973.9</v>
      </c>
      <c r="H992" s="1">
        <v>45517</v>
      </c>
      <c r="I992" t="s">
        <v>1049</v>
      </c>
      <c r="J992">
        <v>1</v>
      </c>
      <c r="K992" t="str">
        <f>IF(Table1_1[[#This Row],[Quantity Sold]]&gt;=3,"BULK ORDER","REGULAR ORDER")</f>
        <v>BULK ORDER</v>
      </c>
      <c r="L992" t="str">
        <f>IF(Table1_1[[#This Row],[Customer Rating]]&gt;=4.5,"EXCELLENT",IF(Table1_1[[#This Row],[Customer Rating]]&lt;=4,"GOOD","AVERAGE"))</f>
        <v>GOOD</v>
      </c>
    </row>
    <row r="993" spans="1:12" x14ac:dyDescent="0.3">
      <c r="A993" t="s">
        <v>505</v>
      </c>
      <c r="B993" t="s">
        <v>1052</v>
      </c>
      <c r="C993" t="s">
        <v>1053</v>
      </c>
      <c r="D993">
        <v>18729.61</v>
      </c>
      <c r="E993">
        <v>1</v>
      </c>
      <c r="F993">
        <f>SUM(Table1_1[[#This Row],[Price (INR)]]*Table1_1[[#This Row],[Quantity Sold]])</f>
        <v>18729.61</v>
      </c>
      <c r="G993">
        <v>18729.61</v>
      </c>
      <c r="H993" s="1">
        <v>45385</v>
      </c>
      <c r="I993" t="s">
        <v>42</v>
      </c>
      <c r="J993">
        <v>1</v>
      </c>
      <c r="K993" t="str">
        <f>IF(Table1_1[[#This Row],[Quantity Sold]]&gt;=3,"BULK ORDER","REGULAR ORDER")</f>
        <v>REGULAR ORDER</v>
      </c>
      <c r="L993" t="str">
        <f>IF(Table1_1[[#This Row],[Customer Rating]]&gt;=4.5,"EXCELLENT",IF(Table1_1[[#This Row],[Customer Rating]]&lt;=4,"GOOD","AVERAGE"))</f>
        <v>GOOD</v>
      </c>
    </row>
    <row r="994" spans="1:12" x14ac:dyDescent="0.3">
      <c r="A994" t="s">
        <v>625</v>
      </c>
      <c r="B994" t="s">
        <v>1062</v>
      </c>
      <c r="C994" t="s">
        <v>1051</v>
      </c>
      <c r="D994">
        <v>16129.77</v>
      </c>
      <c r="E994">
        <v>4</v>
      </c>
      <c r="F994">
        <f>SUM(Table1_1[[#This Row],[Price (INR)]]*Table1_1[[#This Row],[Quantity Sold]])</f>
        <v>64519.08</v>
      </c>
      <c r="G994">
        <v>64519.08</v>
      </c>
      <c r="H994" s="1">
        <v>45462</v>
      </c>
      <c r="I994" t="s">
        <v>1049</v>
      </c>
      <c r="J994">
        <v>1</v>
      </c>
      <c r="K994" t="str">
        <f>IF(Table1_1[[#This Row],[Quantity Sold]]&gt;=3,"BULK ORDER","REGULAR ORDER")</f>
        <v>BULK ORDER</v>
      </c>
      <c r="L994" t="str">
        <f>IF(Table1_1[[#This Row],[Customer Rating]]&gt;=4.5,"EXCELLENT",IF(Table1_1[[#This Row],[Customer Rating]]&lt;=4,"GOOD","AVERAGE"))</f>
        <v>GOOD</v>
      </c>
    </row>
    <row r="995" spans="1:12" x14ac:dyDescent="0.3">
      <c r="A995" t="s">
        <v>716</v>
      </c>
      <c r="B995" t="s">
        <v>1079</v>
      </c>
      <c r="C995" t="s">
        <v>1057</v>
      </c>
      <c r="D995">
        <v>15387.59</v>
      </c>
      <c r="E995">
        <v>4</v>
      </c>
      <c r="F995">
        <f>SUM(Table1_1[[#This Row],[Price (INR)]]*Table1_1[[#This Row],[Quantity Sold]])</f>
        <v>61550.36</v>
      </c>
      <c r="G995">
        <v>61550.36</v>
      </c>
      <c r="H995" s="1">
        <v>45558</v>
      </c>
      <c r="I995" t="s">
        <v>1059</v>
      </c>
      <c r="J995">
        <v>1</v>
      </c>
      <c r="K995" t="str">
        <f>IF(Table1_1[[#This Row],[Quantity Sold]]&gt;=3,"BULK ORDER","REGULAR ORDER")</f>
        <v>BULK ORDER</v>
      </c>
      <c r="L995" t="str">
        <f>IF(Table1_1[[#This Row],[Customer Rating]]&gt;=4.5,"EXCELLENT",IF(Table1_1[[#This Row],[Customer Rating]]&lt;=4,"GOOD","AVERAGE"))</f>
        <v>GOOD</v>
      </c>
    </row>
    <row r="996" spans="1:12" x14ac:dyDescent="0.3">
      <c r="A996" t="s">
        <v>718</v>
      </c>
      <c r="B996" t="s">
        <v>1073</v>
      </c>
      <c r="C996" t="s">
        <v>1053</v>
      </c>
      <c r="D996">
        <v>28568.97</v>
      </c>
      <c r="E996">
        <v>1</v>
      </c>
      <c r="F996">
        <f>SUM(Table1_1[[#This Row],[Price (INR)]]*Table1_1[[#This Row],[Quantity Sold]])</f>
        <v>28568.97</v>
      </c>
      <c r="G996">
        <v>28568.97</v>
      </c>
      <c r="H996" s="1">
        <v>45475</v>
      </c>
      <c r="I996" t="s">
        <v>1049</v>
      </c>
      <c r="J996">
        <v>1</v>
      </c>
      <c r="K996" t="str">
        <f>IF(Table1_1[[#This Row],[Quantity Sold]]&gt;=3,"BULK ORDER","REGULAR ORDER")</f>
        <v>REGULAR ORDER</v>
      </c>
      <c r="L996" t="str">
        <f>IF(Table1_1[[#This Row],[Customer Rating]]&gt;=4.5,"EXCELLENT",IF(Table1_1[[#This Row],[Customer Rating]]&lt;=4,"GOOD","AVERAGE"))</f>
        <v>GOOD</v>
      </c>
    </row>
    <row r="997" spans="1:12" x14ac:dyDescent="0.3">
      <c r="A997" t="s">
        <v>748</v>
      </c>
      <c r="B997" t="s">
        <v>1047</v>
      </c>
      <c r="C997" t="s">
        <v>1048</v>
      </c>
      <c r="D997">
        <v>32472.59</v>
      </c>
      <c r="E997">
        <v>1</v>
      </c>
      <c r="F997">
        <f>SUM(Table1_1[[#This Row],[Price (INR)]]*Table1_1[[#This Row],[Quantity Sold]])</f>
        <v>32472.59</v>
      </c>
      <c r="G997">
        <v>32472.59</v>
      </c>
      <c r="H997" s="1">
        <v>45378</v>
      </c>
      <c r="I997" t="s">
        <v>1059</v>
      </c>
      <c r="J997">
        <v>1</v>
      </c>
      <c r="K997" t="str">
        <f>IF(Table1_1[[#This Row],[Quantity Sold]]&gt;=3,"BULK ORDER","REGULAR ORDER")</f>
        <v>REGULAR ORDER</v>
      </c>
      <c r="L997" t="str">
        <f>IF(Table1_1[[#This Row],[Customer Rating]]&gt;=4.5,"EXCELLENT",IF(Table1_1[[#This Row],[Customer Rating]]&lt;=4,"GOOD","AVERAGE"))</f>
        <v>GOOD</v>
      </c>
    </row>
    <row r="998" spans="1:12" x14ac:dyDescent="0.3">
      <c r="A998" t="s">
        <v>796</v>
      </c>
      <c r="B998" t="s">
        <v>1058</v>
      </c>
      <c r="C998" t="s">
        <v>1057</v>
      </c>
      <c r="D998">
        <v>13559.18</v>
      </c>
      <c r="E998">
        <v>1</v>
      </c>
      <c r="F998">
        <f>SUM(Table1_1[[#This Row],[Price (INR)]]*Table1_1[[#This Row],[Quantity Sold]])</f>
        <v>13559.18</v>
      </c>
      <c r="G998">
        <v>13559.18</v>
      </c>
      <c r="H998" s="1">
        <v>45515</v>
      </c>
      <c r="I998" t="s">
        <v>1049</v>
      </c>
      <c r="J998">
        <v>1</v>
      </c>
      <c r="K998" t="str">
        <f>IF(Table1_1[[#This Row],[Quantity Sold]]&gt;=3,"BULK ORDER","REGULAR ORDER")</f>
        <v>REGULAR ORDER</v>
      </c>
      <c r="L998" t="str">
        <f>IF(Table1_1[[#This Row],[Customer Rating]]&gt;=4.5,"EXCELLENT",IF(Table1_1[[#This Row],[Customer Rating]]&lt;=4,"GOOD","AVERAGE"))</f>
        <v>GOOD</v>
      </c>
    </row>
    <row r="999" spans="1:12" x14ac:dyDescent="0.3">
      <c r="A999" t="s">
        <v>873</v>
      </c>
      <c r="B999" t="s">
        <v>1074</v>
      </c>
      <c r="C999" t="s">
        <v>1055</v>
      </c>
      <c r="D999">
        <v>32760.67</v>
      </c>
      <c r="E999">
        <v>3</v>
      </c>
      <c r="F999">
        <f>SUM(Table1_1[[#This Row],[Price (INR)]]*Table1_1[[#This Row],[Quantity Sold]])</f>
        <v>98282.01</v>
      </c>
      <c r="G999">
        <v>98282.01</v>
      </c>
      <c r="H999" s="1">
        <v>45469</v>
      </c>
      <c r="I999" t="s">
        <v>1071</v>
      </c>
      <c r="J999">
        <v>1</v>
      </c>
      <c r="K999" t="str">
        <f>IF(Table1_1[[#This Row],[Quantity Sold]]&gt;=3,"BULK ORDER","REGULAR ORDER")</f>
        <v>BULK ORDER</v>
      </c>
      <c r="L999" t="str">
        <f>IF(Table1_1[[#This Row],[Customer Rating]]&gt;=4.5,"EXCELLENT",IF(Table1_1[[#This Row],[Customer Rating]]&lt;=4,"GOOD","AVERAGE"))</f>
        <v>GOOD</v>
      </c>
    </row>
    <row r="1000" spans="1:12" x14ac:dyDescent="0.3">
      <c r="A1000" t="s">
        <v>919</v>
      </c>
      <c r="B1000" t="s">
        <v>1073</v>
      </c>
      <c r="C1000" t="s">
        <v>1053</v>
      </c>
      <c r="D1000">
        <v>49127.14</v>
      </c>
      <c r="E1000">
        <v>3</v>
      </c>
      <c r="F1000">
        <f>SUM(Table1_1[[#This Row],[Price (INR)]]*Table1_1[[#This Row],[Quantity Sold]])</f>
        <v>147381.41999999998</v>
      </c>
      <c r="G1000">
        <v>147381.42000000001</v>
      </c>
      <c r="H1000" s="1">
        <v>45535</v>
      </c>
      <c r="I1000" t="s">
        <v>16</v>
      </c>
      <c r="J1000">
        <v>1</v>
      </c>
      <c r="K1000" t="str">
        <f>IF(Table1_1[[#This Row],[Quantity Sold]]&gt;=3,"BULK ORDER","REGULAR ORDER")</f>
        <v>BULK ORDER</v>
      </c>
      <c r="L1000" t="str">
        <f>IF(Table1_1[[#This Row],[Customer Rating]]&gt;=4.5,"EXCELLENT",IF(Table1_1[[#This Row],[Customer Rating]]&lt;=4,"GOOD","AVERAGE"))</f>
        <v>GOOD</v>
      </c>
    </row>
    <row r="1001" spans="1:12" x14ac:dyDescent="0.3">
      <c r="A1001" t="s">
        <v>943</v>
      </c>
      <c r="B1001" t="s">
        <v>1080</v>
      </c>
      <c r="C1001" t="s">
        <v>1051</v>
      </c>
      <c r="D1001">
        <v>45516.21</v>
      </c>
      <c r="E1001">
        <v>1</v>
      </c>
      <c r="F1001">
        <f>SUM(Table1_1[[#This Row],[Price (INR)]]*Table1_1[[#This Row],[Quantity Sold]])</f>
        <v>45516.21</v>
      </c>
      <c r="G1001">
        <v>45516.21</v>
      </c>
      <c r="H1001" s="1">
        <v>45492</v>
      </c>
      <c r="I1001" t="s">
        <v>16</v>
      </c>
      <c r="J1001">
        <v>1</v>
      </c>
      <c r="K1001" t="str">
        <f>IF(Table1_1[[#This Row],[Quantity Sold]]&gt;=3,"BULK ORDER","REGULAR ORDER")</f>
        <v>REGULAR ORDER</v>
      </c>
      <c r="L1001" t="str">
        <f>IF(Table1_1[[#This Row],[Customer Rating]]&gt;=4.5,"EXCELLENT",IF(Table1_1[[#This Row],[Customer Rating]]&lt;=4,"GOOD","AVERAGE"))</f>
        <v>GOOD</v>
      </c>
    </row>
  </sheetData>
  <phoneticPr fontId="18" type="noConversion"/>
  <conditionalFormatting sqref="G2:G1001">
    <cfRule type="cellIs" dxfId="0" priority="1" operator="greaterThan">
      <formula>50000</formula>
    </cfRule>
  </conditionalFormatting>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902F0-F382-4FF8-BF87-7064C4D0271F}">
  <dimension ref="A1:AN29"/>
  <sheetViews>
    <sheetView zoomScale="96" zoomScaleNormal="42" workbookViewId="0"/>
  </sheetViews>
  <sheetFormatPr defaultRowHeight="14.4" x14ac:dyDescent="0.3"/>
  <cols>
    <col min="1" max="1" width="31.88671875" customWidth="1"/>
    <col min="2" max="2" width="14.77734375" customWidth="1"/>
    <col min="4" max="4" width="16" bestFit="1" customWidth="1"/>
    <col min="5" max="5" width="20.6640625" bestFit="1" customWidth="1"/>
    <col min="6" max="6" width="18.44140625" bestFit="1" customWidth="1"/>
    <col min="7" max="7" width="20.88671875" bestFit="1" customWidth="1"/>
    <col min="8" max="8" width="12.77734375" bestFit="1" customWidth="1"/>
    <col min="9" max="9" width="20.6640625" bestFit="1" customWidth="1"/>
    <col min="12" max="12" width="17.88671875" bestFit="1" customWidth="1"/>
    <col min="13" max="13" width="28.21875" bestFit="1" customWidth="1"/>
    <col min="14" max="14" width="18.44140625" bestFit="1" customWidth="1"/>
    <col min="15" max="15" width="20.88671875" bestFit="1" customWidth="1"/>
    <col min="16" max="16" width="23.77734375" bestFit="1" customWidth="1"/>
    <col min="17" max="17" width="18.88671875" bestFit="1" customWidth="1"/>
    <col min="18" max="18" width="20.6640625" bestFit="1" customWidth="1"/>
    <col min="19" max="19" width="15.33203125" bestFit="1" customWidth="1"/>
    <col min="20" max="20" width="15.109375" bestFit="1" customWidth="1"/>
    <col min="21" max="21" width="17.88671875" bestFit="1" customWidth="1"/>
    <col min="22" max="22" width="24.6640625" bestFit="1" customWidth="1"/>
    <col min="23" max="23" width="19" bestFit="1" customWidth="1"/>
    <col min="24" max="24" width="17.88671875" bestFit="1" customWidth="1"/>
    <col min="25" max="25" width="32.44140625" bestFit="1" customWidth="1"/>
    <col min="27" max="27" width="21" bestFit="1" customWidth="1"/>
    <col min="28" max="28" width="12.77734375" bestFit="1" customWidth="1"/>
    <col min="29" max="29" width="15.44140625" bestFit="1" customWidth="1"/>
    <col min="30" max="30" width="22.109375" bestFit="1" customWidth="1"/>
    <col min="31" max="31" width="20.109375" bestFit="1" customWidth="1"/>
    <col min="32" max="32" width="12.77734375" bestFit="1" customWidth="1"/>
    <col min="33" max="33" width="20.6640625" bestFit="1" customWidth="1"/>
    <col min="39" max="39" width="21.21875" bestFit="1" customWidth="1"/>
    <col min="40" max="40" width="37.44140625" bestFit="1" customWidth="1"/>
    <col min="41" max="41" width="22" bestFit="1" customWidth="1"/>
    <col min="42" max="42" width="11.109375" bestFit="1" customWidth="1"/>
    <col min="43" max="43" width="12.44140625" bestFit="1" customWidth="1"/>
    <col min="44" max="44" width="4" bestFit="1" customWidth="1"/>
    <col min="45" max="45" width="7.44140625" bestFit="1" customWidth="1"/>
    <col min="46" max="46" width="10.5546875" bestFit="1" customWidth="1"/>
    <col min="47" max="50" width="20.88671875" bestFit="1" customWidth="1"/>
    <col min="51" max="52" width="25.5546875" bestFit="1" customWidth="1"/>
    <col min="53" max="1039" width="9.6640625" bestFit="1" customWidth="1"/>
    <col min="1040" max="1040" width="10.5546875" bestFit="1" customWidth="1"/>
  </cols>
  <sheetData>
    <row r="1" spans="1:40" x14ac:dyDescent="0.3">
      <c r="A1" t="s">
        <v>1088</v>
      </c>
      <c r="B1" t="s">
        <v>1089</v>
      </c>
    </row>
    <row r="2" spans="1:40" x14ac:dyDescent="0.3">
      <c r="A2" t="s">
        <v>1087</v>
      </c>
      <c r="B2">
        <f>SUM(Table1_1[Total Sales (INR)])</f>
        <v>75213112.740000024</v>
      </c>
      <c r="D2" s="2" t="s">
        <v>1095</v>
      </c>
      <c r="E2" t="s">
        <v>1111</v>
      </c>
      <c r="H2" s="2" t="s">
        <v>1095</v>
      </c>
      <c r="I2" t="s">
        <v>1111</v>
      </c>
      <c r="AB2" s="2" t="s">
        <v>1095</v>
      </c>
      <c r="AC2" t="s">
        <v>1109</v>
      </c>
      <c r="AF2" s="2" t="s">
        <v>1095</v>
      </c>
      <c r="AG2" t="s">
        <v>1111</v>
      </c>
      <c r="AM2" s="2" t="s">
        <v>1095</v>
      </c>
      <c r="AN2" t="s">
        <v>1112</v>
      </c>
    </row>
    <row r="3" spans="1:40" x14ac:dyDescent="0.3">
      <c r="A3" t="s">
        <v>1092</v>
      </c>
      <c r="B3">
        <f>COUNTA(Table1_1[Order ID])</f>
        <v>1000</v>
      </c>
      <c r="D3" s="3" t="s">
        <v>1053</v>
      </c>
      <c r="E3">
        <v>14680584.049999999</v>
      </c>
      <c r="H3" s="3" t="s">
        <v>1097</v>
      </c>
      <c r="I3">
        <v>7160788.1700000009</v>
      </c>
      <c r="L3" s="2" t="s">
        <v>1095</v>
      </c>
      <c r="M3" t="s">
        <v>1111</v>
      </c>
      <c r="Q3" s="2" t="s">
        <v>1095</v>
      </c>
      <c r="R3" t="s">
        <v>1111</v>
      </c>
      <c r="U3" s="2" t="s">
        <v>1095</v>
      </c>
      <c r="V3" t="s">
        <v>1110</v>
      </c>
      <c r="X3" s="2" t="s">
        <v>1095</v>
      </c>
      <c r="Y3" t="s">
        <v>1112</v>
      </c>
      <c r="AB3" s="3" t="s">
        <v>42</v>
      </c>
      <c r="AC3">
        <v>169</v>
      </c>
      <c r="AF3" s="3" t="s">
        <v>42</v>
      </c>
      <c r="AG3">
        <v>12457136.549999999</v>
      </c>
      <c r="AM3" s="3" t="s">
        <v>42</v>
      </c>
      <c r="AN3">
        <v>2.9763313609467454</v>
      </c>
    </row>
    <row r="4" spans="1:40" x14ac:dyDescent="0.3">
      <c r="A4" t="s">
        <v>1090</v>
      </c>
      <c r="B4">
        <f>SUM(Table1_1[Quantity Sold])</f>
        <v>3097</v>
      </c>
      <c r="D4" s="3" t="s">
        <v>1048</v>
      </c>
      <c r="E4">
        <v>14785759.649999995</v>
      </c>
      <c r="H4" s="3" t="s">
        <v>1098</v>
      </c>
      <c r="I4">
        <v>5416573.21</v>
      </c>
      <c r="L4" s="3" t="s">
        <v>1113</v>
      </c>
      <c r="M4">
        <v>66546228.370000049</v>
      </c>
      <c r="Q4" s="3" t="s">
        <v>1072</v>
      </c>
      <c r="R4">
        <v>1883843.2799999998</v>
      </c>
      <c r="U4" s="3" t="s">
        <v>1053</v>
      </c>
      <c r="V4">
        <v>583</v>
      </c>
      <c r="X4" s="3" t="s">
        <v>1053</v>
      </c>
      <c r="Y4">
        <v>2.8723958333333339</v>
      </c>
      <c r="AB4" s="3" t="s">
        <v>1068</v>
      </c>
      <c r="AC4">
        <v>146</v>
      </c>
      <c r="AF4" s="3" t="s">
        <v>1068</v>
      </c>
      <c r="AG4">
        <v>11155785.989999998</v>
      </c>
      <c r="AM4" s="3" t="s">
        <v>1068</v>
      </c>
      <c r="AN4">
        <v>3.1191780821917807</v>
      </c>
    </row>
    <row r="5" spans="1:40" x14ac:dyDescent="0.3">
      <c r="A5" t="s">
        <v>1091</v>
      </c>
      <c r="B5">
        <f>AVERAGE(Table1_1[Total Sales (INR)])</f>
        <v>75213.112740000026</v>
      </c>
      <c r="D5" s="3" t="s">
        <v>1051</v>
      </c>
      <c r="E5">
        <v>15114386.860000005</v>
      </c>
      <c r="H5" s="3" t="s">
        <v>1099</v>
      </c>
      <c r="I5">
        <v>6508879.0399999991</v>
      </c>
      <c r="L5" s="3" t="s">
        <v>1114</v>
      </c>
      <c r="M5">
        <v>8666884.370000001</v>
      </c>
      <c r="Q5" s="3" t="s">
        <v>1067</v>
      </c>
      <c r="R5">
        <v>1938459.9799999995</v>
      </c>
      <c r="U5" s="3" t="s">
        <v>1048</v>
      </c>
      <c r="V5">
        <v>653</v>
      </c>
      <c r="X5" s="3" t="s">
        <v>1048</v>
      </c>
      <c r="Y5">
        <v>3.0799043062200977</v>
      </c>
      <c r="AB5" s="3" t="s">
        <v>1049</v>
      </c>
      <c r="AC5">
        <v>171</v>
      </c>
      <c r="AF5" s="3" t="s">
        <v>1049</v>
      </c>
      <c r="AG5">
        <v>12142559.040000003</v>
      </c>
      <c r="AM5" s="3" t="s">
        <v>1049</v>
      </c>
      <c r="AN5">
        <v>3.0134502923976605</v>
      </c>
    </row>
    <row r="6" spans="1:40" x14ac:dyDescent="0.3">
      <c r="A6" t="s">
        <v>1093</v>
      </c>
      <c r="B6">
        <f>AVERAGE(Table1_1[Quantity Sold])</f>
        <v>3.097</v>
      </c>
      <c r="D6" s="3" t="s">
        <v>1055</v>
      </c>
      <c r="E6">
        <v>17307173.070000004</v>
      </c>
      <c r="H6" s="3" t="s">
        <v>1100</v>
      </c>
      <c r="I6">
        <v>7334962.9200000018</v>
      </c>
      <c r="L6" s="3" t="s">
        <v>1096</v>
      </c>
      <c r="M6">
        <v>75213112.740000054</v>
      </c>
      <c r="Q6" s="3" t="s">
        <v>1069</v>
      </c>
      <c r="R6">
        <v>2514179.21</v>
      </c>
      <c r="U6" s="3" t="s">
        <v>1051</v>
      </c>
      <c r="V6">
        <v>609</v>
      </c>
      <c r="X6" s="3" t="s">
        <v>1051</v>
      </c>
      <c r="Y6">
        <v>2.9714285714285702</v>
      </c>
      <c r="AB6" s="3" t="s">
        <v>1071</v>
      </c>
      <c r="AC6">
        <v>166</v>
      </c>
      <c r="AF6" s="3" t="s">
        <v>1071</v>
      </c>
      <c r="AG6">
        <v>13219947.52</v>
      </c>
      <c r="AM6" s="3" t="s">
        <v>1071</v>
      </c>
      <c r="AN6">
        <v>2.9433734939759053</v>
      </c>
    </row>
    <row r="7" spans="1:40" x14ac:dyDescent="0.3">
      <c r="A7" t="s">
        <v>1094</v>
      </c>
      <c r="B7">
        <f>AVERAGE(Table1_1[Customer Rating])</f>
        <v>3.0110999999999986</v>
      </c>
      <c r="D7" s="3" t="s">
        <v>1057</v>
      </c>
      <c r="E7">
        <v>13325209.110000007</v>
      </c>
      <c r="H7" s="3" t="s">
        <v>1101</v>
      </c>
      <c r="I7">
        <v>6706004.9699999979</v>
      </c>
      <c r="Q7" s="3" t="s">
        <v>1056</v>
      </c>
      <c r="R7">
        <v>2490551.4299999997</v>
      </c>
      <c r="U7" s="3" t="s">
        <v>1055</v>
      </c>
      <c r="V7">
        <v>673</v>
      </c>
      <c r="X7" s="3" t="s">
        <v>1055</v>
      </c>
      <c r="Y7">
        <v>2.9884792626728096</v>
      </c>
      <c r="AB7" s="3" t="s">
        <v>16</v>
      </c>
      <c r="AC7">
        <v>176</v>
      </c>
      <c r="AF7" s="3" t="s">
        <v>16</v>
      </c>
      <c r="AG7">
        <v>12790919.48</v>
      </c>
      <c r="AM7" s="3" t="s">
        <v>16</v>
      </c>
      <c r="AN7">
        <v>3.0715909090909106</v>
      </c>
    </row>
    <row r="8" spans="1:40" x14ac:dyDescent="0.3">
      <c r="A8" t="s">
        <v>1115</v>
      </c>
      <c r="B8">
        <f>COUNTA(Table1_1[Product Name])</f>
        <v>1000</v>
      </c>
      <c r="D8" s="3" t="s">
        <v>1096</v>
      </c>
      <c r="E8">
        <v>75213112.74000001</v>
      </c>
      <c r="H8" s="3" t="s">
        <v>1102</v>
      </c>
      <c r="I8">
        <v>4992364.75</v>
      </c>
      <c r="Q8" s="3" t="s">
        <v>1080</v>
      </c>
      <c r="R8">
        <v>2477929.9300000002</v>
      </c>
      <c r="U8" s="3" t="s">
        <v>1057</v>
      </c>
      <c r="V8">
        <v>579</v>
      </c>
      <c r="X8" s="3" t="s">
        <v>1057</v>
      </c>
      <c r="Y8">
        <v>3.1388601036269432</v>
      </c>
      <c r="AB8" s="3" t="s">
        <v>1059</v>
      </c>
      <c r="AC8">
        <v>172</v>
      </c>
      <c r="AF8" s="3" t="s">
        <v>1059</v>
      </c>
      <c r="AG8">
        <v>13446764.160000002</v>
      </c>
      <c r="AM8" s="3" t="s">
        <v>1059</v>
      </c>
      <c r="AN8">
        <v>2.9546511627906971</v>
      </c>
    </row>
    <row r="9" spans="1:40" x14ac:dyDescent="0.3">
      <c r="A9" t="s">
        <v>1116</v>
      </c>
      <c r="B9">
        <f>MAX(Table1_1[Customer Rating])</f>
        <v>5</v>
      </c>
      <c r="H9" s="3" t="s">
        <v>1103</v>
      </c>
      <c r="I9">
        <v>7637324.9499999983</v>
      </c>
      <c r="Q9" s="3" t="s">
        <v>1047</v>
      </c>
      <c r="R9">
        <v>4522055.3500000006</v>
      </c>
      <c r="U9" s="3" t="s">
        <v>1096</v>
      </c>
      <c r="V9">
        <v>3097</v>
      </c>
      <c r="X9" s="3" t="s">
        <v>1096</v>
      </c>
      <c r="Y9">
        <v>3.011099999999995</v>
      </c>
      <c r="AB9" s="3" t="s">
        <v>1096</v>
      </c>
      <c r="AC9">
        <v>1000</v>
      </c>
      <c r="AF9" s="3" t="s">
        <v>1096</v>
      </c>
      <c r="AG9">
        <v>75213112.739999995</v>
      </c>
      <c r="AM9" s="3" t="s">
        <v>1096</v>
      </c>
      <c r="AN9">
        <v>3.0111000000000008</v>
      </c>
    </row>
    <row r="10" spans="1:40" x14ac:dyDescent="0.3">
      <c r="A10" t="s">
        <v>1117</v>
      </c>
      <c r="B10">
        <f>MIN(Table1_1[Customer Rating])</f>
        <v>1</v>
      </c>
      <c r="H10" s="3" t="s">
        <v>1104</v>
      </c>
      <c r="I10">
        <v>5418893.9799999995</v>
      </c>
      <c r="Q10" s="3" t="s">
        <v>1052</v>
      </c>
      <c r="R10">
        <v>3646816.9700000011</v>
      </c>
    </row>
    <row r="11" spans="1:40" x14ac:dyDescent="0.3">
      <c r="H11" s="3" t="s">
        <v>1105</v>
      </c>
      <c r="I11">
        <v>6264222.3100000015</v>
      </c>
      <c r="Q11" s="3" t="s">
        <v>1077</v>
      </c>
      <c r="R11">
        <v>3172999.9099999992</v>
      </c>
    </row>
    <row r="12" spans="1:40" x14ac:dyDescent="0.3">
      <c r="H12" s="3" t="s">
        <v>1106</v>
      </c>
      <c r="I12">
        <v>5702923.3700000001</v>
      </c>
      <c r="Q12" s="3" t="s">
        <v>1073</v>
      </c>
      <c r="R12">
        <v>2505130.6700000004</v>
      </c>
    </row>
    <row r="13" spans="1:40" x14ac:dyDescent="0.3">
      <c r="H13" s="3" t="s">
        <v>1107</v>
      </c>
      <c r="I13">
        <v>5578535.0799999991</v>
      </c>
      <c r="Q13" s="3" t="s">
        <v>1076</v>
      </c>
      <c r="R13">
        <v>3722765.2699999991</v>
      </c>
    </row>
    <row r="14" spans="1:40" x14ac:dyDescent="0.3">
      <c r="H14" s="3" t="s">
        <v>1108</v>
      </c>
      <c r="I14">
        <v>6491639.9899999965</v>
      </c>
      <c r="Q14" s="3" t="s">
        <v>1062</v>
      </c>
      <c r="R14">
        <v>3161049.0499999993</v>
      </c>
    </row>
    <row r="15" spans="1:40" x14ac:dyDescent="0.3">
      <c r="H15" s="3" t="s">
        <v>1096</v>
      </c>
      <c r="I15">
        <v>75213112.739999995</v>
      </c>
      <c r="Q15" s="3" t="s">
        <v>1050</v>
      </c>
      <c r="R15">
        <v>3685259.600000001</v>
      </c>
    </row>
    <row r="16" spans="1:40" x14ac:dyDescent="0.3">
      <c r="Q16" s="3" t="s">
        <v>1074</v>
      </c>
      <c r="R16">
        <v>4132783.7199999993</v>
      </c>
    </row>
    <row r="17" spans="17:18" x14ac:dyDescent="0.3">
      <c r="Q17" s="3" t="s">
        <v>1065</v>
      </c>
      <c r="R17">
        <v>2844209.0799999991</v>
      </c>
    </row>
    <row r="18" spans="17:18" x14ac:dyDescent="0.3">
      <c r="Q18" s="3" t="s">
        <v>1058</v>
      </c>
      <c r="R18">
        <v>2297176.6000000006</v>
      </c>
    </row>
    <row r="19" spans="17:18" x14ac:dyDescent="0.3">
      <c r="Q19" s="3" t="s">
        <v>1064</v>
      </c>
      <c r="R19">
        <v>3266905.7500000005</v>
      </c>
    </row>
    <row r="20" spans="17:18" x14ac:dyDescent="0.3">
      <c r="Q20" s="3" t="s">
        <v>1078</v>
      </c>
      <c r="R20">
        <v>2638065.2000000007</v>
      </c>
    </row>
    <row r="21" spans="17:18" x14ac:dyDescent="0.3">
      <c r="Q21" s="3" t="s">
        <v>1075</v>
      </c>
      <c r="R21">
        <v>2417521.58</v>
      </c>
    </row>
    <row r="22" spans="17:18" x14ac:dyDescent="0.3">
      <c r="Q22" s="3" t="s">
        <v>1066</v>
      </c>
      <c r="R22">
        <v>2875922.8299999996</v>
      </c>
    </row>
    <row r="23" spans="17:18" x14ac:dyDescent="0.3">
      <c r="Q23" s="3" t="s">
        <v>1054</v>
      </c>
      <c r="R23">
        <v>3680177.8000000003</v>
      </c>
    </row>
    <row r="24" spans="17:18" x14ac:dyDescent="0.3">
      <c r="Q24" s="3" t="s">
        <v>1060</v>
      </c>
      <c r="R24">
        <v>2883134.9600000004</v>
      </c>
    </row>
    <row r="25" spans="17:18" x14ac:dyDescent="0.3">
      <c r="Q25" s="3" t="s">
        <v>1079</v>
      </c>
      <c r="R25">
        <v>2666946.1200000006</v>
      </c>
    </row>
    <row r="26" spans="17:18" x14ac:dyDescent="0.3">
      <c r="Q26" s="3" t="s">
        <v>1061</v>
      </c>
      <c r="R26">
        <v>3986691.6800000011</v>
      </c>
    </row>
    <row r="27" spans="17:18" x14ac:dyDescent="0.3">
      <c r="Q27" s="3" t="s">
        <v>1063</v>
      </c>
      <c r="R27">
        <v>2895523.4499999993</v>
      </c>
    </row>
    <row r="28" spans="17:18" x14ac:dyDescent="0.3">
      <c r="Q28" s="3" t="s">
        <v>1070</v>
      </c>
      <c r="R28">
        <v>2907013.32</v>
      </c>
    </row>
    <row r="29" spans="17:18" x14ac:dyDescent="0.3">
      <c r="Q29" s="3" t="s">
        <v>1096</v>
      </c>
      <c r="R29">
        <v>75213112.739999995</v>
      </c>
    </row>
  </sheetData>
  <pageMargins left="0.7" right="0.7" top="0.75" bottom="0.75" header="0.3" footer="0.3"/>
  <drawing r:id="rId10"/>
  <tableParts count="1">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61D41-25C6-4D78-A5C7-BA4C551D264B}">
  <dimension ref="A1:W50"/>
  <sheetViews>
    <sheetView showGridLines="0" zoomScale="69" zoomScaleNormal="85" workbookViewId="0">
      <selection activeCell="S33" sqref="S33"/>
    </sheetView>
  </sheetViews>
  <sheetFormatPr defaultRowHeight="14.4" x14ac:dyDescent="0.3"/>
  <cols>
    <col min="4" max="6" width="8.88671875" customWidth="1"/>
    <col min="8" max="8" width="8.88671875" customWidth="1"/>
    <col min="18" max="18" width="20.21875" bestFit="1" customWidth="1"/>
    <col min="19" max="20" width="30.5546875" bestFit="1" customWidth="1"/>
    <col min="22" max="22" width="22.109375" customWidth="1"/>
    <col min="23" max="23" width="38" customWidth="1"/>
  </cols>
  <sheetData>
    <row r="1" spans="1:23" x14ac:dyDescent="0.3">
      <c r="A1" s="4"/>
      <c r="B1" s="4"/>
      <c r="C1" s="4"/>
      <c r="D1" s="4"/>
      <c r="E1" s="4"/>
      <c r="F1" s="4"/>
      <c r="G1" s="4"/>
      <c r="H1" s="4"/>
      <c r="I1" s="4"/>
      <c r="J1" s="4"/>
      <c r="K1" s="4"/>
      <c r="L1" s="4"/>
      <c r="M1" s="4"/>
      <c r="N1" s="4"/>
      <c r="O1" s="4"/>
      <c r="P1" s="4"/>
      <c r="Q1" s="4"/>
      <c r="R1" s="4"/>
      <c r="S1" s="4"/>
      <c r="T1" s="4"/>
      <c r="U1" s="4"/>
      <c r="V1" s="4"/>
      <c r="W1" s="4"/>
    </row>
    <row r="2" spans="1:23" x14ac:dyDescent="0.3">
      <c r="A2" s="4"/>
      <c r="B2" s="4"/>
      <c r="C2" s="4"/>
      <c r="D2" s="4"/>
      <c r="E2" s="4"/>
      <c r="F2" s="4"/>
      <c r="G2" s="4"/>
      <c r="H2" s="4"/>
      <c r="I2" s="4"/>
      <c r="J2" s="4"/>
      <c r="K2" s="4"/>
      <c r="L2" s="4"/>
      <c r="M2" s="4"/>
      <c r="N2" s="4"/>
      <c r="O2" s="4"/>
      <c r="P2" s="4"/>
      <c r="Q2" s="4"/>
      <c r="R2" s="4"/>
      <c r="S2" s="4"/>
      <c r="T2" s="4"/>
      <c r="U2" s="4"/>
      <c r="V2" s="4"/>
      <c r="W2" s="4"/>
    </row>
    <row r="3" spans="1:23" x14ac:dyDescent="0.3">
      <c r="A3" s="4"/>
      <c r="B3" s="4"/>
      <c r="C3" s="4"/>
      <c r="D3" s="4"/>
      <c r="E3" s="4"/>
      <c r="F3" s="4"/>
      <c r="G3" s="4"/>
      <c r="H3" s="4"/>
      <c r="I3" s="4"/>
      <c r="J3" s="4"/>
      <c r="K3" s="4"/>
      <c r="L3" s="4"/>
      <c r="M3" s="4"/>
      <c r="N3" s="4"/>
      <c r="O3" s="4"/>
      <c r="P3" s="4"/>
      <c r="Q3" s="4"/>
      <c r="R3" s="4"/>
      <c r="S3" s="4"/>
      <c r="T3" s="4"/>
      <c r="U3" s="4"/>
      <c r="V3" s="4"/>
      <c r="W3" s="4"/>
    </row>
    <row r="4" spans="1:23" x14ac:dyDescent="0.3">
      <c r="A4" s="4"/>
      <c r="B4" s="4"/>
      <c r="C4" s="4"/>
      <c r="D4" s="4"/>
      <c r="E4" s="4"/>
      <c r="F4" s="4"/>
      <c r="G4" s="4"/>
      <c r="H4" s="4"/>
      <c r="I4" s="4"/>
      <c r="J4" s="4"/>
      <c r="K4" s="4"/>
      <c r="L4" s="4"/>
      <c r="M4" s="4"/>
      <c r="N4" s="4"/>
      <c r="O4" s="4"/>
      <c r="P4" s="4"/>
      <c r="Q4" s="4"/>
      <c r="R4" s="4"/>
      <c r="S4" s="4"/>
      <c r="T4" s="4"/>
      <c r="U4" s="4"/>
      <c r="V4" s="4"/>
      <c r="W4" s="4"/>
    </row>
    <row r="5" spans="1:23" x14ac:dyDescent="0.3">
      <c r="A5" s="4"/>
      <c r="B5" s="4"/>
      <c r="C5" s="4"/>
      <c r="D5" s="4"/>
      <c r="E5" s="4"/>
      <c r="F5" s="4"/>
      <c r="G5" s="4"/>
      <c r="H5" s="4"/>
      <c r="I5" s="4"/>
      <c r="J5" s="4"/>
      <c r="K5" s="4"/>
      <c r="L5" s="4"/>
      <c r="M5" s="4"/>
      <c r="N5" s="4"/>
      <c r="O5" s="4"/>
      <c r="P5" s="4"/>
      <c r="Q5" s="4"/>
      <c r="R5" s="4"/>
      <c r="S5" s="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ht="8.4" customHeight="1"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ht="6.6" customHeight="1" x14ac:dyDescent="0.3">
      <c r="A16" s="4"/>
      <c r="B16" s="4"/>
      <c r="C16" s="4"/>
      <c r="D16" s="4"/>
      <c r="E16" s="4"/>
      <c r="F16" s="4"/>
      <c r="G16" s="4"/>
      <c r="H16" s="4"/>
      <c r="I16" s="4"/>
      <c r="J16" s="4"/>
      <c r="K16" s="4"/>
      <c r="L16" s="4"/>
      <c r="M16" s="4"/>
      <c r="N16" s="4"/>
      <c r="O16" s="4"/>
      <c r="P16" s="4"/>
      <c r="Q16" s="4"/>
      <c r="R16" s="4"/>
      <c r="S16" s="4"/>
      <c r="T16" s="4"/>
      <c r="U16" s="4"/>
      <c r="V16" s="4"/>
      <c r="W16" s="4"/>
    </row>
    <row r="17" spans="1:23" ht="24.6" customHeight="1" x14ac:dyDescent="0.3">
      <c r="A17" s="4"/>
      <c r="B17" s="4"/>
      <c r="C17" s="4"/>
      <c r="D17" s="4"/>
      <c r="E17" s="4"/>
      <c r="F17" s="4"/>
      <c r="G17" s="4"/>
      <c r="H17" s="4"/>
      <c r="I17" s="4"/>
      <c r="J17" s="4"/>
      <c r="K17" s="4"/>
      <c r="L17" s="4"/>
      <c r="M17" s="4"/>
      <c r="N17" s="4"/>
      <c r="O17" s="4"/>
      <c r="P17" s="4"/>
      <c r="Q17" s="4"/>
      <c r="R17" s="4"/>
      <c r="S17" s="4"/>
      <c r="T17" s="4"/>
      <c r="U17" s="4"/>
      <c r="V17" s="4"/>
      <c r="W17" s="4"/>
    </row>
    <row r="18" spans="1:23" ht="21" x14ac:dyDescent="0.4">
      <c r="A18" s="4"/>
      <c r="B18" s="4"/>
      <c r="C18" s="4"/>
      <c r="D18" s="4"/>
      <c r="E18" s="4"/>
      <c r="F18" s="4"/>
      <c r="G18" s="4"/>
      <c r="H18" s="4"/>
      <c r="I18" s="4"/>
      <c r="J18" s="4"/>
      <c r="K18" s="4"/>
      <c r="L18" s="4"/>
      <c r="M18" s="4"/>
      <c r="N18" s="4"/>
      <c r="O18" s="4"/>
      <c r="P18" s="4"/>
      <c r="Q18" s="4"/>
      <c r="R18" s="6" t="s">
        <v>2</v>
      </c>
      <c r="S18" s="7" t="s">
        <v>1111</v>
      </c>
      <c r="T18" s="4"/>
      <c r="U18" s="4"/>
      <c r="V18" s="4"/>
      <c r="W18" s="4"/>
    </row>
    <row r="19" spans="1:23" ht="18" x14ac:dyDescent="0.35">
      <c r="A19" s="4"/>
      <c r="B19" s="4"/>
      <c r="C19" s="4"/>
      <c r="D19" s="4"/>
      <c r="E19" s="4"/>
      <c r="F19" s="4"/>
      <c r="G19" s="4"/>
      <c r="H19" s="4"/>
      <c r="I19" s="4"/>
      <c r="J19" s="4"/>
      <c r="K19" s="4"/>
      <c r="L19" s="4"/>
      <c r="M19" s="4"/>
      <c r="N19" s="4"/>
      <c r="O19" s="4"/>
      <c r="P19" s="4"/>
      <c r="Q19" s="4"/>
      <c r="R19" s="5" t="s">
        <v>1053</v>
      </c>
      <c r="S19" s="10">
        <v>14680584.049999999</v>
      </c>
      <c r="T19" s="4"/>
      <c r="U19" s="4"/>
      <c r="V19" s="4"/>
      <c r="W19" s="4"/>
    </row>
    <row r="20" spans="1:23" ht="18" x14ac:dyDescent="0.35">
      <c r="A20" s="4"/>
      <c r="B20" s="4"/>
      <c r="C20" s="4"/>
      <c r="D20" s="4"/>
      <c r="E20" s="4"/>
      <c r="F20" s="4"/>
      <c r="G20" s="4"/>
      <c r="H20" s="4"/>
      <c r="I20" s="4"/>
      <c r="J20" s="4"/>
      <c r="K20" s="4"/>
      <c r="L20" s="4"/>
      <c r="M20" s="4"/>
      <c r="N20" s="4"/>
      <c r="O20" s="4"/>
      <c r="P20" s="4"/>
      <c r="Q20" s="4"/>
      <c r="R20" s="5" t="s">
        <v>1048</v>
      </c>
      <c r="S20" s="10">
        <v>14785759.649999995</v>
      </c>
      <c r="T20" s="4"/>
      <c r="U20" s="4"/>
      <c r="V20" s="4"/>
      <c r="W20" s="4"/>
    </row>
    <row r="21" spans="1:23" ht="18" x14ac:dyDescent="0.35">
      <c r="A21" s="4"/>
      <c r="B21" s="4"/>
      <c r="C21" s="4"/>
      <c r="D21" s="4"/>
      <c r="E21" s="4"/>
      <c r="F21" s="4"/>
      <c r="G21" s="4"/>
      <c r="H21" s="4"/>
      <c r="I21" s="4"/>
      <c r="J21" s="4"/>
      <c r="K21" s="4"/>
      <c r="L21" s="4"/>
      <c r="M21" s="4"/>
      <c r="N21" s="4"/>
      <c r="O21" s="4"/>
      <c r="P21" s="4"/>
      <c r="Q21" s="4"/>
      <c r="R21" s="5" t="s">
        <v>1051</v>
      </c>
      <c r="S21" s="10">
        <v>15114386.860000005</v>
      </c>
      <c r="T21" s="4"/>
      <c r="U21" s="4"/>
      <c r="V21" s="4"/>
      <c r="W21" s="4"/>
    </row>
    <row r="22" spans="1:23" ht="18" x14ac:dyDescent="0.35">
      <c r="A22" s="4"/>
      <c r="B22" s="4"/>
      <c r="C22" s="4"/>
      <c r="D22" s="4"/>
      <c r="E22" s="4"/>
      <c r="F22" s="4"/>
      <c r="G22" s="4"/>
      <c r="H22" s="4"/>
      <c r="I22" s="4"/>
      <c r="J22" s="4"/>
      <c r="K22" s="4"/>
      <c r="L22" s="4"/>
      <c r="M22" s="4"/>
      <c r="N22" s="4"/>
      <c r="O22" s="4"/>
      <c r="P22" s="4"/>
      <c r="Q22" s="4"/>
      <c r="R22" s="5" t="s">
        <v>1055</v>
      </c>
      <c r="S22" s="10">
        <v>17307173.070000004</v>
      </c>
      <c r="T22" s="4"/>
      <c r="U22" s="4"/>
      <c r="V22" s="4"/>
      <c r="W22" s="4"/>
    </row>
    <row r="23" spans="1:23" ht="18" x14ac:dyDescent="0.35">
      <c r="A23" s="4"/>
      <c r="B23" s="4"/>
      <c r="C23" s="4"/>
      <c r="D23" s="4"/>
      <c r="E23" s="4"/>
      <c r="F23" s="4"/>
      <c r="G23" s="4"/>
      <c r="H23" s="4"/>
      <c r="I23" s="4"/>
      <c r="J23" s="4"/>
      <c r="K23" s="4"/>
      <c r="L23" s="4"/>
      <c r="M23" s="4"/>
      <c r="N23" s="4"/>
      <c r="O23" s="4"/>
      <c r="P23" s="4"/>
      <c r="Q23" s="4"/>
      <c r="R23" s="5" t="s">
        <v>1057</v>
      </c>
      <c r="S23" s="10">
        <v>13325209.110000007</v>
      </c>
      <c r="T23" s="4"/>
      <c r="U23" s="4"/>
      <c r="V23" s="4"/>
      <c r="W23" s="4"/>
    </row>
    <row r="24" spans="1:23" ht="18" x14ac:dyDescent="0.35">
      <c r="A24" s="4"/>
      <c r="B24" s="4"/>
      <c r="C24" s="4"/>
      <c r="D24" s="4"/>
      <c r="E24" s="4"/>
      <c r="F24" s="4"/>
      <c r="G24" s="4"/>
      <c r="H24" s="4"/>
      <c r="I24" s="4"/>
      <c r="J24" s="4"/>
      <c r="K24" s="4"/>
      <c r="L24" s="4"/>
      <c r="M24" s="4"/>
      <c r="N24" s="4"/>
      <c r="O24" s="4"/>
      <c r="P24" s="4"/>
      <c r="Q24" s="4"/>
      <c r="R24" s="5" t="s">
        <v>1096</v>
      </c>
      <c r="S24" s="10">
        <v>75213112.74000001</v>
      </c>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row r="28" spans="1:23" x14ac:dyDescent="0.3">
      <c r="A28" s="4"/>
      <c r="B28" s="4"/>
      <c r="C28" s="4"/>
      <c r="D28" s="4"/>
      <c r="E28" s="4"/>
      <c r="F28" s="4"/>
      <c r="G28" s="4"/>
      <c r="H28" s="4"/>
      <c r="I28" s="4"/>
      <c r="J28" s="4"/>
      <c r="K28" s="4"/>
      <c r="L28" s="4"/>
      <c r="M28" s="4"/>
      <c r="N28" s="4"/>
      <c r="O28" s="4"/>
      <c r="P28" s="4"/>
      <c r="Q28" s="4"/>
      <c r="R28" s="4"/>
      <c r="S28" s="4"/>
      <c r="T28" s="4"/>
      <c r="U28" s="4"/>
      <c r="V28" s="4"/>
      <c r="W28" s="4"/>
    </row>
    <row r="29" spans="1:23" x14ac:dyDescent="0.3">
      <c r="A29" s="4"/>
      <c r="B29" s="4"/>
      <c r="C29" s="4"/>
      <c r="D29" s="4"/>
      <c r="E29" s="4"/>
      <c r="F29" s="4"/>
      <c r="G29" s="4"/>
      <c r="H29" s="4"/>
      <c r="I29" s="4"/>
      <c r="J29" s="4"/>
      <c r="K29" s="4"/>
      <c r="L29" s="4"/>
      <c r="M29" s="4"/>
      <c r="N29" s="4"/>
      <c r="O29" s="4"/>
      <c r="P29" s="4"/>
      <c r="Q29" s="4"/>
      <c r="R29" s="4"/>
      <c r="S29" s="4"/>
      <c r="T29" s="4"/>
      <c r="U29" s="4"/>
      <c r="V29" s="4"/>
      <c r="W29" s="4"/>
    </row>
    <row r="30" spans="1:23" x14ac:dyDescent="0.3">
      <c r="A30" s="4"/>
      <c r="B30" s="4"/>
      <c r="C30" s="4"/>
      <c r="D30" s="4"/>
      <c r="E30" s="4"/>
      <c r="F30" s="4"/>
      <c r="G30" s="4"/>
      <c r="H30" s="4"/>
      <c r="I30" s="4"/>
      <c r="J30" s="4"/>
      <c r="K30" s="4"/>
      <c r="L30" s="4"/>
      <c r="M30" s="4"/>
      <c r="N30" s="4"/>
      <c r="O30" s="4"/>
      <c r="P30" s="4"/>
      <c r="Q30" s="4"/>
      <c r="R30" s="4"/>
      <c r="S30" s="4"/>
      <c r="T30" s="4"/>
      <c r="U30" s="4"/>
      <c r="V30" s="4"/>
      <c r="W30" s="4"/>
    </row>
    <row r="31" spans="1:23" x14ac:dyDescent="0.3">
      <c r="A31" s="4"/>
      <c r="B31" s="4"/>
      <c r="C31" s="4"/>
      <c r="D31" s="4"/>
      <c r="E31" s="4"/>
      <c r="F31" s="4"/>
      <c r="G31" s="4"/>
      <c r="H31" s="4"/>
      <c r="I31" s="4"/>
      <c r="J31" s="4"/>
      <c r="K31" s="4"/>
      <c r="L31" s="4"/>
      <c r="M31" s="4"/>
      <c r="N31" s="4"/>
      <c r="O31" s="4"/>
      <c r="P31" s="4"/>
      <c r="Q31" s="4"/>
      <c r="R31" s="4"/>
      <c r="S31" s="4"/>
      <c r="T31" s="4"/>
      <c r="U31" s="4"/>
      <c r="V31" s="4"/>
      <c r="W31" s="4"/>
    </row>
    <row r="32" spans="1:23" x14ac:dyDescent="0.3">
      <c r="A32" s="4"/>
      <c r="B32" s="4"/>
      <c r="C32" s="4"/>
      <c r="D32" s="4"/>
      <c r="E32" s="4"/>
      <c r="F32" s="4"/>
      <c r="G32" s="4"/>
      <c r="H32" s="4"/>
      <c r="I32" s="4"/>
      <c r="J32" s="4"/>
      <c r="K32" s="4"/>
      <c r="L32" s="4"/>
      <c r="M32" s="4"/>
      <c r="N32" s="4"/>
      <c r="O32" s="4"/>
      <c r="P32" s="4"/>
      <c r="Q32" s="4"/>
      <c r="R32" s="4"/>
      <c r="S32" s="4"/>
      <c r="T32" s="4"/>
      <c r="U32" s="4"/>
      <c r="V32" s="4"/>
      <c r="W32" s="4"/>
    </row>
    <row r="33" spans="1:23" x14ac:dyDescent="0.3">
      <c r="A33" s="4"/>
      <c r="B33" s="4"/>
      <c r="C33" s="4"/>
      <c r="D33" s="4"/>
      <c r="E33" s="4"/>
      <c r="F33" s="4"/>
      <c r="G33" s="4"/>
      <c r="H33" s="4"/>
      <c r="I33" s="4"/>
      <c r="J33" s="4"/>
      <c r="K33" s="4"/>
      <c r="L33" s="4"/>
      <c r="M33" s="4"/>
      <c r="N33" s="4"/>
      <c r="O33" s="4"/>
      <c r="P33" s="4"/>
      <c r="Q33" s="4"/>
      <c r="R33" s="4"/>
      <c r="S33" s="4"/>
      <c r="T33" s="4"/>
      <c r="U33" s="4"/>
      <c r="V33" s="4"/>
      <c r="W33" s="4"/>
    </row>
    <row r="34" spans="1:23" x14ac:dyDescent="0.3">
      <c r="A34" s="4"/>
      <c r="B34" s="4"/>
      <c r="C34" s="4"/>
      <c r="D34" s="4"/>
      <c r="E34" s="4"/>
      <c r="F34" s="4"/>
      <c r="G34" s="4"/>
      <c r="H34" s="4"/>
      <c r="I34" s="4"/>
      <c r="J34" s="4"/>
      <c r="K34" s="4"/>
      <c r="L34" s="4"/>
      <c r="M34" s="4"/>
      <c r="N34" s="4"/>
      <c r="O34" s="4"/>
      <c r="P34" s="4"/>
      <c r="Q34" s="4"/>
      <c r="R34" s="4"/>
      <c r="S34" s="4"/>
      <c r="T34" s="4"/>
      <c r="U34" s="4"/>
      <c r="V34" s="4"/>
      <c r="W34" s="4"/>
    </row>
    <row r="35" spans="1:23" x14ac:dyDescent="0.3">
      <c r="A35" s="4"/>
      <c r="B35" s="4"/>
      <c r="C35" s="4"/>
      <c r="D35" s="4"/>
      <c r="E35" s="4"/>
      <c r="F35" s="4"/>
      <c r="G35" s="4"/>
      <c r="H35" s="4"/>
      <c r="I35" s="4"/>
      <c r="J35" s="4"/>
      <c r="K35" s="4"/>
      <c r="L35" s="4"/>
      <c r="M35" s="4"/>
      <c r="N35" s="4"/>
      <c r="O35" s="4"/>
      <c r="P35" s="4"/>
      <c r="Q35" s="4"/>
      <c r="R35" s="4"/>
      <c r="S35" s="4"/>
      <c r="T35" s="4"/>
      <c r="U35" s="4"/>
      <c r="V35" s="4"/>
      <c r="W35" s="4"/>
    </row>
    <row r="36" spans="1:23" ht="21" x14ac:dyDescent="0.4">
      <c r="A36" s="4"/>
      <c r="B36" s="4"/>
      <c r="C36" s="4"/>
      <c r="D36" s="4"/>
      <c r="E36" s="4"/>
      <c r="F36" s="4"/>
      <c r="G36" s="4"/>
      <c r="H36" s="4"/>
      <c r="I36" s="4"/>
      <c r="J36" s="4"/>
      <c r="K36" s="4"/>
      <c r="L36" s="4"/>
      <c r="M36" s="4"/>
      <c r="N36" s="4"/>
      <c r="O36" s="4"/>
      <c r="P36" s="4"/>
      <c r="Q36" s="4"/>
      <c r="R36" s="6" t="s">
        <v>1119</v>
      </c>
      <c r="S36" s="7" t="s">
        <v>1111</v>
      </c>
      <c r="T36" s="4"/>
      <c r="U36" s="4"/>
      <c r="V36" s="4"/>
      <c r="W36" s="4"/>
    </row>
    <row r="37" spans="1:23" ht="18" x14ac:dyDescent="0.35">
      <c r="A37" s="4"/>
      <c r="B37" s="4"/>
      <c r="C37" s="4"/>
      <c r="D37" s="4"/>
      <c r="E37" s="4"/>
      <c r="F37" s="4"/>
      <c r="G37" s="4"/>
      <c r="H37" s="4"/>
      <c r="I37" s="4"/>
      <c r="J37" s="4"/>
      <c r="K37" s="4"/>
      <c r="L37" s="4"/>
      <c r="M37" s="4"/>
      <c r="N37" s="4"/>
      <c r="O37" s="4"/>
      <c r="P37" s="4"/>
      <c r="Q37" s="4"/>
      <c r="R37" s="5" t="s">
        <v>1097</v>
      </c>
      <c r="S37" s="10">
        <v>7160788.1700000009</v>
      </c>
      <c r="T37" s="4"/>
      <c r="U37" s="4"/>
      <c r="V37" s="4"/>
      <c r="W37" s="4"/>
    </row>
    <row r="38" spans="1:23" ht="21" x14ac:dyDescent="0.4">
      <c r="A38" s="4"/>
      <c r="B38" s="4"/>
      <c r="C38" s="4"/>
      <c r="D38" s="4"/>
      <c r="E38" s="4"/>
      <c r="F38" s="4"/>
      <c r="G38" s="4"/>
      <c r="H38" s="4"/>
      <c r="I38" s="4"/>
      <c r="J38" s="4"/>
      <c r="K38" s="4"/>
      <c r="L38" s="4"/>
      <c r="M38" s="4"/>
      <c r="N38" s="4"/>
      <c r="O38" s="4"/>
      <c r="P38" s="4"/>
      <c r="Q38" s="4"/>
      <c r="R38" s="5" t="s">
        <v>1098</v>
      </c>
      <c r="S38" s="10">
        <v>5416573.21</v>
      </c>
      <c r="T38" s="4"/>
      <c r="U38" s="4"/>
      <c r="V38" s="6" t="s">
        <v>1118</v>
      </c>
      <c r="W38" s="7" t="s">
        <v>1111</v>
      </c>
    </row>
    <row r="39" spans="1:23" ht="18" x14ac:dyDescent="0.35">
      <c r="A39" s="4"/>
      <c r="B39" s="4"/>
      <c r="C39" s="4"/>
      <c r="D39" s="4"/>
      <c r="E39" s="4"/>
      <c r="F39" s="4"/>
      <c r="G39" s="4"/>
      <c r="H39" s="4"/>
      <c r="I39" s="4"/>
      <c r="J39" s="4"/>
      <c r="K39" s="4"/>
      <c r="L39" s="4"/>
      <c r="M39" s="4"/>
      <c r="N39" s="4"/>
      <c r="O39" s="4"/>
      <c r="P39" s="4"/>
      <c r="Q39" s="4"/>
      <c r="R39" s="5" t="s">
        <v>1099</v>
      </c>
      <c r="S39" s="10">
        <v>6508879.0399999991</v>
      </c>
      <c r="T39" s="4"/>
      <c r="U39" s="4"/>
      <c r="V39" s="5" t="s">
        <v>1113</v>
      </c>
      <c r="W39" s="10">
        <v>66546228.370000049</v>
      </c>
    </row>
    <row r="40" spans="1:23" ht="18" x14ac:dyDescent="0.35">
      <c r="A40" s="4"/>
      <c r="B40" s="4"/>
      <c r="C40" s="4"/>
      <c r="D40" s="4"/>
      <c r="E40" s="4"/>
      <c r="F40" s="4"/>
      <c r="G40" s="4"/>
      <c r="H40" s="4"/>
      <c r="I40" s="4"/>
      <c r="J40" s="4"/>
      <c r="K40" s="4"/>
      <c r="L40" s="4"/>
      <c r="M40" s="4"/>
      <c r="N40" s="4"/>
      <c r="O40" s="4"/>
      <c r="P40" s="4"/>
      <c r="Q40" s="4"/>
      <c r="R40" s="5" t="s">
        <v>1100</v>
      </c>
      <c r="S40" s="10">
        <v>7334962.9200000018</v>
      </c>
      <c r="T40" s="4"/>
      <c r="U40" s="4"/>
      <c r="V40" s="5" t="s">
        <v>1114</v>
      </c>
      <c r="W40" s="10">
        <v>8666884.370000001</v>
      </c>
    </row>
    <row r="41" spans="1:23" ht="18" x14ac:dyDescent="0.35">
      <c r="A41" s="4"/>
      <c r="B41" s="4"/>
      <c r="C41" s="4"/>
      <c r="D41" s="4"/>
      <c r="E41" s="4"/>
      <c r="F41" s="4"/>
      <c r="G41" s="4"/>
      <c r="H41" s="4"/>
      <c r="I41" s="4"/>
      <c r="J41" s="4"/>
      <c r="K41" s="4"/>
      <c r="L41" s="4"/>
      <c r="M41" s="4"/>
      <c r="N41" s="4"/>
      <c r="O41" s="4"/>
      <c r="P41" s="4"/>
      <c r="Q41" s="4"/>
      <c r="R41" s="5" t="s">
        <v>1101</v>
      </c>
      <c r="S41" s="10">
        <v>6706004.9699999979</v>
      </c>
      <c r="T41" s="4"/>
      <c r="U41" s="4"/>
      <c r="V41" s="5" t="s">
        <v>1096</v>
      </c>
      <c r="W41" s="10">
        <v>75213112.740000054</v>
      </c>
    </row>
    <row r="42" spans="1:23" ht="18" x14ac:dyDescent="0.35">
      <c r="A42" s="4"/>
      <c r="B42" s="4"/>
      <c r="C42" s="4"/>
      <c r="D42" s="4"/>
      <c r="E42" s="4"/>
      <c r="F42" s="4"/>
      <c r="G42" s="4"/>
      <c r="H42" s="4"/>
      <c r="I42" s="4"/>
      <c r="J42" s="4"/>
      <c r="K42" s="4"/>
      <c r="L42" s="4"/>
      <c r="M42" s="4"/>
      <c r="N42" s="4"/>
      <c r="O42" s="4"/>
      <c r="P42" s="4"/>
      <c r="Q42" s="4"/>
      <c r="R42" s="5" t="s">
        <v>1102</v>
      </c>
      <c r="S42" s="10">
        <v>4992364.75</v>
      </c>
      <c r="T42" s="4"/>
      <c r="U42" s="4"/>
      <c r="V42" s="4"/>
      <c r="W42" s="4"/>
    </row>
    <row r="43" spans="1:23" ht="18" x14ac:dyDescent="0.35">
      <c r="A43" s="4"/>
      <c r="B43" s="4"/>
      <c r="C43" s="4"/>
      <c r="D43" s="4"/>
      <c r="E43" s="4"/>
      <c r="F43" s="4"/>
      <c r="G43" s="4"/>
      <c r="H43" s="4"/>
      <c r="I43" s="4"/>
      <c r="J43" s="4"/>
      <c r="K43" s="4"/>
      <c r="L43" s="4"/>
      <c r="M43" s="4"/>
      <c r="N43" s="4"/>
      <c r="O43" s="4"/>
      <c r="P43" s="4"/>
      <c r="Q43" s="4"/>
      <c r="R43" s="5" t="s">
        <v>1103</v>
      </c>
      <c r="S43" s="10">
        <v>7637324.9499999983</v>
      </c>
      <c r="T43" s="4"/>
      <c r="U43" s="4"/>
      <c r="V43" s="4"/>
      <c r="W43" s="4"/>
    </row>
    <row r="44" spans="1:23" ht="18" x14ac:dyDescent="0.35">
      <c r="A44" s="4"/>
      <c r="B44" s="4"/>
      <c r="C44" s="4"/>
      <c r="D44" s="4"/>
      <c r="E44" s="4"/>
      <c r="F44" s="4"/>
      <c r="G44" s="4"/>
      <c r="H44" s="4"/>
      <c r="I44" s="4"/>
      <c r="J44" s="4"/>
      <c r="K44" s="4"/>
      <c r="L44" s="4"/>
      <c r="M44" s="4"/>
      <c r="N44" s="4"/>
      <c r="O44" s="4"/>
      <c r="P44" s="4"/>
      <c r="Q44" s="4"/>
      <c r="R44" s="5" t="s">
        <v>1104</v>
      </c>
      <c r="S44" s="10">
        <v>5418893.9799999995</v>
      </c>
      <c r="T44" s="4"/>
      <c r="U44" s="4"/>
      <c r="V44" s="4"/>
      <c r="W44" s="4"/>
    </row>
    <row r="45" spans="1:23" ht="18" x14ac:dyDescent="0.35">
      <c r="A45" s="4"/>
      <c r="B45" s="4"/>
      <c r="C45" s="4"/>
      <c r="D45" s="4"/>
      <c r="E45" s="4"/>
      <c r="F45" s="4"/>
      <c r="G45" s="4"/>
      <c r="H45" s="4"/>
      <c r="I45" s="4"/>
      <c r="J45" s="4"/>
      <c r="K45" s="4"/>
      <c r="L45" s="4"/>
      <c r="M45" s="4"/>
      <c r="N45" s="4"/>
      <c r="O45" s="4"/>
      <c r="P45" s="4"/>
      <c r="Q45" s="4"/>
      <c r="R45" s="5" t="s">
        <v>1105</v>
      </c>
      <c r="S45" s="10">
        <v>6264222.3100000015</v>
      </c>
      <c r="T45" s="4"/>
      <c r="U45" s="4"/>
      <c r="V45" s="4"/>
      <c r="W45" s="4"/>
    </row>
    <row r="46" spans="1:23" ht="18" x14ac:dyDescent="0.35">
      <c r="A46" s="4"/>
      <c r="B46" s="4"/>
      <c r="C46" s="4"/>
      <c r="D46" s="4"/>
      <c r="E46" s="4"/>
      <c r="F46" s="4"/>
      <c r="G46" s="4"/>
      <c r="H46" s="4"/>
      <c r="I46" s="4"/>
      <c r="J46" s="4"/>
      <c r="K46" s="4"/>
      <c r="L46" s="4"/>
      <c r="M46" s="4"/>
      <c r="N46" s="4"/>
      <c r="O46" s="4"/>
      <c r="P46" s="4"/>
      <c r="Q46" s="4"/>
      <c r="R46" s="5" t="s">
        <v>1106</v>
      </c>
      <c r="S46" s="10">
        <v>5702923.3700000001</v>
      </c>
      <c r="T46" s="4"/>
      <c r="U46" s="4"/>
      <c r="V46" s="4"/>
      <c r="W46" s="4"/>
    </row>
    <row r="47" spans="1:23" ht="18" x14ac:dyDescent="0.35">
      <c r="A47" s="4"/>
      <c r="B47" s="4"/>
      <c r="C47" s="4"/>
      <c r="D47" s="4"/>
      <c r="E47" s="4"/>
      <c r="F47" s="4"/>
      <c r="G47" s="4"/>
      <c r="H47" s="4"/>
      <c r="I47" s="4"/>
      <c r="J47" s="4"/>
      <c r="K47" s="4"/>
      <c r="L47" s="4"/>
      <c r="M47" s="4"/>
      <c r="N47" s="4"/>
      <c r="O47" s="4"/>
      <c r="P47" s="4"/>
      <c r="Q47" s="4"/>
      <c r="R47" s="5" t="s">
        <v>1107</v>
      </c>
      <c r="S47" s="10">
        <v>5578535.0799999991</v>
      </c>
      <c r="T47" s="4"/>
      <c r="U47" s="4"/>
      <c r="V47" s="4"/>
      <c r="W47" s="4"/>
    </row>
    <row r="48" spans="1:23" ht="18" x14ac:dyDescent="0.35">
      <c r="A48" s="4"/>
      <c r="B48" s="4"/>
      <c r="C48" s="4"/>
      <c r="D48" s="4"/>
      <c r="E48" s="4"/>
      <c r="F48" s="4"/>
      <c r="G48" s="4"/>
      <c r="H48" s="4"/>
      <c r="I48" s="4"/>
      <c r="J48" s="4"/>
      <c r="K48" s="4"/>
      <c r="L48" s="4"/>
      <c r="M48" s="4"/>
      <c r="N48" s="4"/>
      <c r="O48" s="4"/>
      <c r="P48" s="4"/>
      <c r="Q48" s="4"/>
      <c r="R48" s="5" t="s">
        <v>1108</v>
      </c>
      <c r="S48" s="10">
        <v>6491639.9899999965</v>
      </c>
      <c r="T48" s="4"/>
      <c r="U48" s="4"/>
      <c r="V48" s="4"/>
      <c r="W48" s="4"/>
    </row>
    <row r="49" spans="1:23" ht="18" x14ac:dyDescent="0.35">
      <c r="A49" s="4"/>
      <c r="B49" s="4"/>
      <c r="C49" s="4"/>
      <c r="D49" s="4"/>
      <c r="E49" s="4"/>
      <c r="F49" s="4"/>
      <c r="G49" s="4"/>
      <c r="H49" s="4"/>
      <c r="I49" s="4"/>
      <c r="J49" s="4"/>
      <c r="K49" s="4"/>
      <c r="L49" s="4"/>
      <c r="M49" s="4"/>
      <c r="N49" s="4"/>
      <c r="O49" s="4"/>
      <c r="P49" s="4"/>
      <c r="Q49" s="4"/>
      <c r="R49" s="5" t="s">
        <v>1096</v>
      </c>
      <c r="S49" s="10">
        <v>75213112.739999995</v>
      </c>
      <c r="T49" s="4"/>
      <c r="U49" s="4"/>
      <c r="V49" s="4"/>
      <c r="W49" s="4"/>
    </row>
    <row r="50" spans="1:23" x14ac:dyDescent="0.3">
      <c r="A50" s="4"/>
      <c r="B50" s="4"/>
      <c r="C50" s="4"/>
      <c r="D50" s="4"/>
      <c r="E50" s="4"/>
      <c r="F50" s="4"/>
      <c r="G50" s="4"/>
      <c r="H50" s="4"/>
      <c r="I50" s="4"/>
      <c r="J50" s="4"/>
      <c r="K50" s="4"/>
      <c r="L50" s="4"/>
      <c r="M50" s="4"/>
      <c r="N50" s="4"/>
      <c r="O50" s="4"/>
      <c r="P50" s="4"/>
      <c r="Q50" s="4"/>
      <c r="R50" s="4"/>
      <c r="S50" s="4"/>
      <c r="T50" s="4"/>
      <c r="U50" s="4"/>
      <c r="V50" s="4"/>
      <c r="W50" s="4"/>
    </row>
  </sheetData>
  <phoneticPr fontId="18" type="noConversion"/>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58C82-4BD3-43E8-8717-AE9F822BB92F}">
  <dimension ref="A1:R54"/>
  <sheetViews>
    <sheetView showGridLines="0" zoomScale="72" zoomScaleNormal="40" workbookViewId="0">
      <selection activeCell="N53" sqref="N53"/>
    </sheetView>
  </sheetViews>
  <sheetFormatPr defaultRowHeight="14.4" x14ac:dyDescent="0.3"/>
  <cols>
    <col min="11" max="11" width="18.77734375" customWidth="1"/>
    <col min="12" max="12" width="19.33203125" bestFit="1" customWidth="1"/>
    <col min="13" max="13" width="31.21875" customWidth="1"/>
    <col min="14" max="14" width="25.77734375" customWidth="1"/>
    <col min="15" max="15" width="19.44140625" customWidth="1"/>
    <col min="16" max="16" width="32.44140625" customWidth="1"/>
    <col min="17" max="17" width="19.33203125" bestFit="1" customWidth="1"/>
    <col min="18" max="18" width="33.88671875" bestFit="1" customWidth="1"/>
  </cols>
  <sheetData>
    <row r="1" spans="1:18" x14ac:dyDescent="0.3">
      <c r="A1" s="4"/>
      <c r="B1" s="4"/>
      <c r="C1" s="4"/>
      <c r="D1" s="4"/>
      <c r="E1" s="4"/>
      <c r="F1" s="4"/>
      <c r="G1" s="4"/>
      <c r="H1" s="4"/>
      <c r="I1" s="4"/>
      <c r="J1" s="4"/>
      <c r="K1" s="4"/>
      <c r="L1" s="4"/>
      <c r="M1" s="4"/>
      <c r="N1" s="4"/>
      <c r="O1" s="4"/>
      <c r="P1" s="4"/>
      <c r="Q1" s="4"/>
      <c r="R1" s="4"/>
    </row>
    <row r="2" spans="1:18" x14ac:dyDescent="0.3">
      <c r="A2" s="4"/>
      <c r="B2" s="4"/>
      <c r="C2" s="4"/>
      <c r="D2" s="4"/>
      <c r="E2" s="4"/>
      <c r="F2" s="4"/>
      <c r="G2" s="4"/>
      <c r="H2" s="4"/>
      <c r="I2" s="4"/>
      <c r="J2" s="4"/>
      <c r="K2" s="4"/>
      <c r="L2" s="4"/>
      <c r="M2" s="4"/>
      <c r="N2" s="4"/>
      <c r="O2" s="4"/>
      <c r="P2" s="4"/>
      <c r="Q2" s="4"/>
      <c r="R2" s="4"/>
    </row>
    <row r="3" spans="1:18" x14ac:dyDescent="0.3">
      <c r="A3" s="4"/>
      <c r="B3" s="4"/>
      <c r="C3" s="4"/>
      <c r="D3" s="4"/>
      <c r="E3" s="4"/>
      <c r="F3" s="4"/>
      <c r="G3" s="4"/>
      <c r="H3" s="4"/>
      <c r="I3" s="4"/>
      <c r="J3" s="4"/>
      <c r="K3" s="4"/>
      <c r="L3" s="4"/>
      <c r="M3" s="4"/>
      <c r="N3" s="4"/>
      <c r="O3" s="4"/>
      <c r="P3" s="4"/>
      <c r="Q3" s="4"/>
      <c r="R3" s="4"/>
    </row>
    <row r="4" spans="1:18" x14ac:dyDescent="0.3">
      <c r="A4" s="4"/>
      <c r="B4" s="4"/>
      <c r="C4" s="4"/>
      <c r="D4" s="4"/>
      <c r="E4" s="4"/>
      <c r="F4" s="4"/>
      <c r="G4" s="4"/>
      <c r="H4" s="4"/>
      <c r="I4" s="4"/>
      <c r="J4" s="4"/>
      <c r="K4" s="4"/>
      <c r="L4" s="4"/>
      <c r="M4" s="4"/>
      <c r="N4" s="4"/>
      <c r="O4" s="4"/>
      <c r="P4" s="4"/>
      <c r="Q4" s="4"/>
      <c r="R4" s="4"/>
    </row>
    <row r="5" spans="1:18" x14ac:dyDescent="0.3">
      <c r="A5" s="4"/>
      <c r="B5" s="4"/>
      <c r="C5" s="4"/>
      <c r="D5" s="4"/>
      <c r="E5" s="4"/>
      <c r="F5" s="4"/>
      <c r="G5" s="4"/>
      <c r="H5" s="4"/>
      <c r="I5" s="4"/>
      <c r="J5" s="4"/>
      <c r="K5" s="4"/>
      <c r="L5" s="4"/>
      <c r="M5" s="4"/>
      <c r="N5" s="4"/>
      <c r="O5" s="4"/>
      <c r="P5" s="4"/>
      <c r="Q5" s="4"/>
      <c r="R5" s="4"/>
    </row>
    <row r="6" spans="1:18" x14ac:dyDescent="0.3">
      <c r="A6" s="4"/>
      <c r="B6" s="4"/>
      <c r="C6" s="4"/>
      <c r="D6" s="4"/>
      <c r="E6" s="4"/>
      <c r="F6" s="4"/>
      <c r="G6" s="4"/>
      <c r="H6" s="4"/>
      <c r="I6" s="4"/>
      <c r="J6" s="4"/>
      <c r="K6" s="4"/>
      <c r="L6" s="4"/>
      <c r="M6" s="4"/>
      <c r="N6" s="4"/>
      <c r="O6" s="4"/>
      <c r="P6" s="4"/>
      <c r="Q6" s="4"/>
      <c r="R6" s="4"/>
    </row>
    <row r="7" spans="1:18" x14ac:dyDescent="0.3">
      <c r="A7" s="4"/>
      <c r="B7" s="4"/>
      <c r="C7" s="4"/>
      <c r="D7" s="4"/>
      <c r="E7" s="4"/>
      <c r="F7" s="4"/>
      <c r="G7" s="4"/>
      <c r="H7" s="4"/>
      <c r="I7" s="4"/>
      <c r="J7" s="4"/>
      <c r="K7" s="4"/>
      <c r="L7" s="4"/>
      <c r="M7" s="4"/>
      <c r="N7" s="4"/>
      <c r="O7" s="4"/>
      <c r="P7" s="4"/>
      <c r="Q7" s="4"/>
      <c r="R7" s="4"/>
    </row>
    <row r="8" spans="1:18" x14ac:dyDescent="0.3">
      <c r="A8" s="4"/>
      <c r="B8" s="4"/>
      <c r="C8" s="4"/>
      <c r="D8" s="4"/>
      <c r="E8" s="4"/>
      <c r="F8" s="4"/>
      <c r="G8" s="4"/>
      <c r="H8" s="4"/>
      <c r="I8" s="4"/>
      <c r="J8" s="4"/>
      <c r="K8" s="4"/>
      <c r="L8" s="4"/>
      <c r="M8" s="4"/>
      <c r="N8" s="4"/>
      <c r="O8" s="4"/>
      <c r="P8" s="4"/>
      <c r="Q8" s="4"/>
      <c r="R8" s="4"/>
    </row>
    <row r="9" spans="1:18" x14ac:dyDescent="0.3">
      <c r="A9" s="4"/>
      <c r="B9" s="4"/>
      <c r="C9" s="4"/>
      <c r="D9" s="4"/>
      <c r="E9" s="4"/>
      <c r="F9" s="4"/>
      <c r="G9" s="4"/>
      <c r="H9" s="4"/>
      <c r="I9" s="4"/>
      <c r="J9" s="4"/>
      <c r="K9" s="4"/>
      <c r="L9" s="4"/>
      <c r="M9" s="4"/>
      <c r="N9" s="4"/>
      <c r="O9" s="4"/>
      <c r="P9" s="4"/>
      <c r="Q9" s="4"/>
      <c r="R9" s="4"/>
    </row>
    <row r="10" spans="1:18" x14ac:dyDescent="0.3">
      <c r="A10" s="4"/>
      <c r="B10" s="4"/>
      <c r="C10" s="4"/>
      <c r="D10" s="4"/>
      <c r="E10" s="4"/>
      <c r="F10" s="4"/>
      <c r="G10" s="4"/>
      <c r="H10" s="4"/>
      <c r="I10" s="4"/>
      <c r="J10" s="4"/>
      <c r="K10" s="4"/>
      <c r="L10" s="4"/>
      <c r="M10" s="4"/>
      <c r="N10" s="4"/>
      <c r="O10" s="4"/>
      <c r="P10" s="4"/>
      <c r="Q10" s="4"/>
      <c r="R10" s="4"/>
    </row>
    <row r="11" spans="1:18" x14ac:dyDescent="0.3">
      <c r="A11" s="4"/>
      <c r="B11" s="4"/>
      <c r="C11" s="4"/>
      <c r="D11" s="4"/>
      <c r="E11" s="4"/>
      <c r="F11" s="4"/>
      <c r="G11" s="4"/>
      <c r="H11" s="4"/>
      <c r="I11" s="4"/>
      <c r="J11" s="4"/>
      <c r="K11" s="4"/>
      <c r="L11" s="4"/>
      <c r="M11" s="4"/>
      <c r="N11" s="4"/>
      <c r="O11" s="4"/>
      <c r="P11" s="4"/>
      <c r="Q11" s="4"/>
      <c r="R11" s="4"/>
    </row>
    <row r="12" spans="1:18" x14ac:dyDescent="0.3">
      <c r="A12" s="4"/>
      <c r="B12" s="4"/>
      <c r="C12" s="4"/>
      <c r="D12" s="4"/>
      <c r="E12" s="4"/>
      <c r="F12" s="4"/>
      <c r="G12" s="4"/>
      <c r="H12" s="4"/>
      <c r="I12" s="4"/>
      <c r="J12" s="4"/>
      <c r="K12" s="4"/>
      <c r="L12" s="4"/>
      <c r="M12" s="4"/>
      <c r="N12" s="4"/>
      <c r="O12" s="4"/>
      <c r="P12" s="4"/>
      <c r="Q12" s="4"/>
      <c r="R12" s="4"/>
    </row>
    <row r="13" spans="1:18" x14ac:dyDescent="0.3">
      <c r="A13" s="4"/>
      <c r="B13" s="4"/>
      <c r="C13" s="4"/>
      <c r="D13" s="4"/>
      <c r="E13" s="4"/>
      <c r="F13" s="4"/>
      <c r="G13" s="4"/>
      <c r="H13" s="4"/>
      <c r="I13" s="4"/>
      <c r="J13" s="4"/>
      <c r="K13" s="4"/>
      <c r="L13" s="4"/>
      <c r="M13" s="4"/>
      <c r="N13" s="4"/>
      <c r="O13" s="4"/>
      <c r="P13" s="4"/>
      <c r="Q13" s="4"/>
      <c r="R13" s="4"/>
    </row>
    <row r="14" spans="1:18" ht="23.4" x14ac:dyDescent="0.45">
      <c r="A14" s="4"/>
      <c r="B14" s="4"/>
      <c r="C14" s="4"/>
      <c r="D14" s="4"/>
      <c r="E14" s="4"/>
      <c r="F14" s="4"/>
      <c r="G14" s="4"/>
      <c r="H14" s="4"/>
      <c r="I14" s="4"/>
      <c r="J14" s="4"/>
      <c r="K14" s="4"/>
      <c r="L14" s="8" t="s">
        <v>1120</v>
      </c>
      <c r="M14" s="9" t="s">
        <v>1111</v>
      </c>
      <c r="N14" s="4"/>
      <c r="O14" s="4"/>
      <c r="P14" s="4"/>
      <c r="Q14" s="4"/>
      <c r="R14" s="4"/>
    </row>
    <row r="15" spans="1:18" x14ac:dyDescent="0.3">
      <c r="A15" s="4"/>
      <c r="B15" s="4"/>
      <c r="C15" s="4"/>
      <c r="D15" s="4"/>
      <c r="E15" s="4"/>
      <c r="F15" s="4"/>
      <c r="G15" s="4"/>
      <c r="H15" s="4"/>
      <c r="I15" s="4"/>
      <c r="J15" s="4"/>
      <c r="K15" s="4"/>
      <c r="L15" s="3" t="s">
        <v>1072</v>
      </c>
      <c r="M15">
        <v>1883843.2799999998</v>
      </c>
      <c r="N15" s="4"/>
      <c r="O15" s="4"/>
      <c r="P15" s="4"/>
      <c r="Q15" s="4"/>
      <c r="R15" s="4"/>
    </row>
    <row r="16" spans="1:18" x14ac:dyDescent="0.3">
      <c r="A16" s="4"/>
      <c r="B16" s="4"/>
      <c r="C16" s="4"/>
      <c r="D16" s="4"/>
      <c r="E16" s="4"/>
      <c r="F16" s="4"/>
      <c r="G16" s="4"/>
      <c r="H16" s="4"/>
      <c r="I16" s="4"/>
      <c r="J16" s="4"/>
      <c r="K16" s="4"/>
      <c r="L16" s="3" t="s">
        <v>1067</v>
      </c>
      <c r="M16">
        <v>1938459.9799999995</v>
      </c>
      <c r="N16" s="4"/>
      <c r="O16" s="4"/>
      <c r="P16" s="4"/>
      <c r="Q16" s="4"/>
      <c r="R16" s="4"/>
    </row>
    <row r="17" spans="1:18" x14ac:dyDescent="0.3">
      <c r="A17" s="4"/>
      <c r="B17" s="4"/>
      <c r="C17" s="4"/>
      <c r="D17" s="4"/>
      <c r="E17" s="4"/>
      <c r="F17" s="4"/>
      <c r="G17" s="4"/>
      <c r="H17" s="4"/>
      <c r="I17" s="4"/>
      <c r="J17" s="4"/>
      <c r="K17" s="4"/>
      <c r="L17" s="3" t="s">
        <v>1069</v>
      </c>
      <c r="M17">
        <v>2514179.21</v>
      </c>
      <c r="N17" s="4"/>
      <c r="O17" s="4"/>
      <c r="P17" s="4"/>
      <c r="Q17" s="4"/>
      <c r="R17" s="4"/>
    </row>
    <row r="18" spans="1:18" x14ac:dyDescent="0.3">
      <c r="A18" s="4"/>
      <c r="B18" s="4"/>
      <c r="C18" s="4"/>
      <c r="D18" s="4"/>
      <c r="E18" s="4"/>
      <c r="F18" s="4"/>
      <c r="G18" s="4"/>
      <c r="H18" s="4"/>
      <c r="I18" s="4"/>
      <c r="J18" s="4"/>
      <c r="K18" s="4"/>
      <c r="L18" s="3" t="s">
        <v>1056</v>
      </c>
      <c r="M18">
        <v>2490551.4299999997</v>
      </c>
      <c r="N18" s="4"/>
      <c r="O18" s="4"/>
      <c r="P18" s="4"/>
      <c r="Q18" s="4"/>
      <c r="R18" s="4"/>
    </row>
    <row r="19" spans="1:18" x14ac:dyDescent="0.3">
      <c r="A19" s="4"/>
      <c r="B19" s="4"/>
      <c r="C19" s="4"/>
      <c r="D19" s="4"/>
      <c r="E19" s="4"/>
      <c r="F19" s="4"/>
      <c r="G19" s="4"/>
      <c r="H19" s="4"/>
      <c r="I19" s="4"/>
      <c r="J19" s="4"/>
      <c r="K19" s="4"/>
      <c r="L19" s="3" t="s">
        <v>1080</v>
      </c>
      <c r="M19">
        <v>2477929.9300000002</v>
      </c>
      <c r="N19" s="4"/>
      <c r="O19" s="4"/>
      <c r="P19" s="4"/>
      <c r="Q19" s="4"/>
      <c r="R19" s="4"/>
    </row>
    <row r="20" spans="1:18" x14ac:dyDescent="0.3">
      <c r="A20" s="4"/>
      <c r="B20" s="4"/>
      <c r="C20" s="4"/>
      <c r="D20" s="4"/>
      <c r="E20" s="4"/>
      <c r="F20" s="4"/>
      <c r="G20" s="4"/>
      <c r="H20" s="4"/>
      <c r="I20" s="4"/>
      <c r="J20" s="4"/>
      <c r="K20" s="4"/>
      <c r="L20" s="3" t="s">
        <v>1047</v>
      </c>
      <c r="M20">
        <v>4522055.3500000006</v>
      </c>
      <c r="N20" s="4"/>
      <c r="O20" s="4"/>
      <c r="P20" s="4"/>
      <c r="Q20" s="4"/>
      <c r="R20" s="4"/>
    </row>
    <row r="21" spans="1:18" x14ac:dyDescent="0.3">
      <c r="A21" s="4"/>
      <c r="B21" s="4"/>
      <c r="C21" s="4"/>
      <c r="D21" s="4"/>
      <c r="E21" s="4"/>
      <c r="F21" s="4"/>
      <c r="G21" s="4"/>
      <c r="H21" s="4"/>
      <c r="I21" s="4"/>
      <c r="J21" s="4"/>
      <c r="K21" s="4"/>
      <c r="L21" s="3" t="s">
        <v>1052</v>
      </c>
      <c r="M21">
        <v>3646816.9700000011</v>
      </c>
      <c r="N21" s="4"/>
      <c r="O21" s="4"/>
      <c r="P21" s="4"/>
      <c r="Q21" s="4"/>
      <c r="R21" s="4"/>
    </row>
    <row r="22" spans="1:18" x14ac:dyDescent="0.3">
      <c r="A22" s="4"/>
      <c r="B22" s="4"/>
      <c r="C22" s="4"/>
      <c r="D22" s="4"/>
      <c r="E22" s="4"/>
      <c r="F22" s="4"/>
      <c r="G22" s="4"/>
      <c r="H22" s="4"/>
      <c r="I22" s="4"/>
      <c r="J22" s="4"/>
      <c r="K22" s="4"/>
      <c r="L22" s="3" t="s">
        <v>1077</v>
      </c>
      <c r="M22">
        <v>3172999.9099999992</v>
      </c>
      <c r="N22" s="4"/>
      <c r="O22" s="4"/>
      <c r="P22" s="4"/>
      <c r="Q22" s="4"/>
      <c r="R22" s="4"/>
    </row>
    <row r="23" spans="1:18" x14ac:dyDescent="0.3">
      <c r="A23" s="4"/>
      <c r="B23" s="4"/>
      <c r="C23" s="4"/>
      <c r="D23" s="4"/>
      <c r="E23" s="4"/>
      <c r="F23" s="4"/>
      <c r="G23" s="4"/>
      <c r="H23" s="4"/>
      <c r="I23" s="4"/>
      <c r="J23" s="4"/>
      <c r="K23" s="4"/>
      <c r="L23" s="3" t="s">
        <v>1073</v>
      </c>
      <c r="M23">
        <v>2505130.6700000004</v>
      </c>
      <c r="N23" s="4"/>
      <c r="O23" s="4"/>
      <c r="P23" s="4"/>
      <c r="Q23" s="4"/>
      <c r="R23" s="4"/>
    </row>
    <row r="24" spans="1:18" x14ac:dyDescent="0.3">
      <c r="A24" s="4"/>
      <c r="B24" s="4"/>
      <c r="C24" s="4"/>
      <c r="D24" s="4"/>
      <c r="E24" s="4"/>
      <c r="F24" s="4"/>
      <c r="G24" s="4"/>
      <c r="H24" s="4"/>
      <c r="I24" s="4"/>
      <c r="J24" s="4"/>
      <c r="K24" s="4"/>
      <c r="L24" s="3" t="s">
        <v>1076</v>
      </c>
      <c r="M24">
        <v>3722765.2699999991</v>
      </c>
      <c r="N24" s="4"/>
      <c r="O24" s="4"/>
      <c r="P24" s="4"/>
      <c r="Q24" s="4"/>
      <c r="R24" s="4"/>
    </row>
    <row r="25" spans="1:18" x14ac:dyDescent="0.3">
      <c r="A25" s="4"/>
      <c r="B25" s="4"/>
      <c r="C25" s="4"/>
      <c r="D25" s="4"/>
      <c r="E25" s="4"/>
      <c r="F25" s="4"/>
      <c r="G25" s="4"/>
      <c r="H25" s="4"/>
      <c r="I25" s="4"/>
      <c r="J25" s="4"/>
      <c r="K25" s="4"/>
      <c r="L25" s="3" t="s">
        <v>1062</v>
      </c>
      <c r="M25">
        <v>3161049.0499999993</v>
      </c>
      <c r="N25" s="4"/>
      <c r="O25" s="4"/>
      <c r="P25" s="4"/>
      <c r="Q25" s="4"/>
      <c r="R25" s="4"/>
    </row>
    <row r="26" spans="1:18" x14ac:dyDescent="0.3">
      <c r="A26" s="4"/>
      <c r="B26" s="4"/>
      <c r="C26" s="4"/>
      <c r="D26" s="4"/>
      <c r="E26" s="4"/>
      <c r="F26" s="4"/>
      <c r="G26" s="4"/>
      <c r="H26" s="4"/>
      <c r="I26" s="4"/>
      <c r="J26" s="4"/>
      <c r="K26" s="4"/>
      <c r="L26" s="3" t="s">
        <v>1050</v>
      </c>
      <c r="M26">
        <v>3685259.600000001</v>
      </c>
      <c r="N26" s="4"/>
      <c r="O26" s="4"/>
      <c r="P26" s="4"/>
      <c r="Q26" s="4"/>
      <c r="R26" s="4"/>
    </row>
    <row r="27" spans="1:18" x14ac:dyDescent="0.3">
      <c r="A27" s="4"/>
      <c r="B27" s="4"/>
      <c r="C27" s="4"/>
      <c r="D27" s="4"/>
      <c r="E27" s="4"/>
      <c r="F27" s="4"/>
      <c r="G27" s="4"/>
      <c r="H27" s="4"/>
      <c r="I27" s="4"/>
      <c r="J27" s="4"/>
      <c r="K27" s="4"/>
      <c r="L27" s="3" t="s">
        <v>1074</v>
      </c>
      <c r="M27">
        <v>4132783.7199999993</v>
      </c>
      <c r="N27" s="4"/>
      <c r="O27" s="4"/>
      <c r="P27" s="4"/>
      <c r="Q27" s="4"/>
      <c r="R27" s="4"/>
    </row>
    <row r="28" spans="1:18" x14ac:dyDescent="0.3">
      <c r="A28" s="4"/>
      <c r="B28" s="4"/>
      <c r="C28" s="4"/>
      <c r="D28" s="4"/>
      <c r="E28" s="4"/>
      <c r="F28" s="4"/>
      <c r="G28" s="4"/>
      <c r="H28" s="4"/>
      <c r="I28" s="4"/>
      <c r="J28" s="4"/>
      <c r="K28" s="4"/>
      <c r="L28" s="3" t="s">
        <v>1065</v>
      </c>
      <c r="M28">
        <v>2844209.0799999991</v>
      </c>
      <c r="N28" s="4"/>
      <c r="O28" s="4"/>
      <c r="P28" s="4"/>
      <c r="Q28" s="4"/>
      <c r="R28" s="4"/>
    </row>
    <row r="29" spans="1:18" x14ac:dyDescent="0.3">
      <c r="A29" s="4"/>
      <c r="B29" s="4"/>
      <c r="C29" s="4"/>
      <c r="D29" s="4"/>
      <c r="E29" s="4"/>
      <c r="F29" s="4"/>
      <c r="G29" s="4"/>
      <c r="H29" s="4"/>
      <c r="I29" s="4"/>
      <c r="J29" s="4"/>
      <c r="K29" s="4"/>
      <c r="L29" s="3" t="s">
        <v>1058</v>
      </c>
      <c r="M29">
        <v>2297176.6000000006</v>
      </c>
      <c r="N29" s="4"/>
      <c r="O29" s="4"/>
      <c r="P29" s="4"/>
      <c r="Q29" s="4"/>
      <c r="R29" s="4"/>
    </row>
    <row r="30" spans="1:18" x14ac:dyDescent="0.3">
      <c r="A30" s="4"/>
      <c r="B30" s="4"/>
      <c r="C30" s="4"/>
      <c r="D30" s="4"/>
      <c r="E30" s="4"/>
      <c r="F30" s="4"/>
      <c r="G30" s="4"/>
      <c r="H30" s="4"/>
      <c r="I30" s="4"/>
      <c r="J30" s="4"/>
      <c r="K30" s="4"/>
      <c r="L30" s="3" t="s">
        <v>1064</v>
      </c>
      <c r="M30">
        <v>3266905.7500000005</v>
      </c>
      <c r="N30" s="4"/>
      <c r="O30" s="4"/>
      <c r="P30" s="4"/>
      <c r="Q30" s="4"/>
      <c r="R30" s="4"/>
    </row>
    <row r="31" spans="1:18" x14ac:dyDescent="0.3">
      <c r="A31" s="4"/>
      <c r="B31" s="4"/>
      <c r="C31" s="4"/>
      <c r="D31" s="4"/>
      <c r="E31" s="4"/>
      <c r="F31" s="4"/>
      <c r="G31" s="4"/>
      <c r="H31" s="4"/>
      <c r="I31" s="4"/>
      <c r="J31" s="4"/>
      <c r="K31" s="4"/>
      <c r="L31" s="3" t="s">
        <v>1078</v>
      </c>
      <c r="M31">
        <v>2638065.2000000007</v>
      </c>
      <c r="N31" s="4"/>
      <c r="O31" s="4"/>
      <c r="P31" s="4"/>
      <c r="Q31" s="4"/>
      <c r="R31" s="4"/>
    </row>
    <row r="32" spans="1:18" x14ac:dyDescent="0.3">
      <c r="A32" s="4"/>
      <c r="B32" s="4"/>
      <c r="C32" s="4"/>
      <c r="D32" s="4"/>
      <c r="E32" s="4"/>
      <c r="F32" s="4"/>
      <c r="G32" s="4"/>
      <c r="H32" s="4"/>
      <c r="I32" s="4"/>
      <c r="J32" s="4"/>
      <c r="K32" s="4"/>
      <c r="L32" s="3" t="s">
        <v>1075</v>
      </c>
      <c r="M32">
        <v>2417521.58</v>
      </c>
      <c r="N32" s="4"/>
      <c r="O32" s="4"/>
      <c r="P32" s="4"/>
      <c r="Q32" s="4"/>
      <c r="R32" s="4"/>
    </row>
    <row r="33" spans="1:18" x14ac:dyDescent="0.3">
      <c r="A33" s="4"/>
      <c r="B33" s="4"/>
      <c r="C33" s="4"/>
      <c r="D33" s="4"/>
      <c r="E33" s="4"/>
      <c r="F33" s="4"/>
      <c r="G33" s="4"/>
      <c r="H33" s="4"/>
      <c r="I33" s="4"/>
      <c r="J33" s="4"/>
      <c r="K33" s="4"/>
      <c r="L33" s="3" t="s">
        <v>1066</v>
      </c>
      <c r="M33">
        <v>2875922.8299999996</v>
      </c>
      <c r="N33" s="4"/>
      <c r="O33" s="4"/>
      <c r="P33" s="4"/>
      <c r="Q33" s="4"/>
      <c r="R33" s="4"/>
    </row>
    <row r="34" spans="1:18" x14ac:dyDescent="0.3">
      <c r="A34" s="4"/>
      <c r="B34" s="4"/>
      <c r="C34" s="4"/>
      <c r="D34" s="4"/>
      <c r="E34" s="4"/>
      <c r="F34" s="4"/>
      <c r="G34" s="4"/>
      <c r="H34" s="4"/>
      <c r="I34" s="4"/>
      <c r="J34" s="4"/>
      <c r="K34" s="4"/>
      <c r="L34" s="3" t="s">
        <v>1054</v>
      </c>
      <c r="M34">
        <v>3680177.8000000003</v>
      </c>
      <c r="N34" s="4"/>
      <c r="O34" s="4"/>
      <c r="P34" s="4"/>
      <c r="Q34" s="4"/>
      <c r="R34" s="4"/>
    </row>
    <row r="35" spans="1:18" x14ac:dyDescent="0.3">
      <c r="A35" s="4"/>
      <c r="B35" s="4"/>
      <c r="C35" s="4"/>
      <c r="D35" s="4"/>
      <c r="E35" s="4"/>
      <c r="F35" s="4"/>
      <c r="G35" s="4"/>
      <c r="H35" s="4"/>
      <c r="I35" s="4"/>
      <c r="J35" s="4"/>
      <c r="K35" s="4"/>
      <c r="L35" s="3" t="s">
        <v>1060</v>
      </c>
      <c r="M35">
        <v>2883134.9600000004</v>
      </c>
      <c r="N35" s="4"/>
      <c r="O35" s="4"/>
      <c r="P35" s="4"/>
      <c r="Q35" s="4"/>
      <c r="R35" s="4"/>
    </row>
    <row r="36" spans="1:18" x14ac:dyDescent="0.3">
      <c r="A36" s="4"/>
      <c r="B36" s="4"/>
      <c r="C36" s="4"/>
      <c r="D36" s="4"/>
      <c r="E36" s="4"/>
      <c r="F36" s="4"/>
      <c r="G36" s="4"/>
      <c r="H36" s="4"/>
      <c r="I36" s="4"/>
      <c r="J36" s="4"/>
      <c r="K36" s="4"/>
      <c r="L36" s="3" t="s">
        <v>1079</v>
      </c>
      <c r="M36">
        <v>2666946.1200000006</v>
      </c>
      <c r="N36" s="4"/>
      <c r="O36" s="4"/>
      <c r="P36" s="4"/>
      <c r="Q36" s="4"/>
      <c r="R36" s="4"/>
    </row>
    <row r="37" spans="1:18" x14ac:dyDescent="0.3">
      <c r="A37" s="4"/>
      <c r="B37" s="4"/>
      <c r="C37" s="4"/>
      <c r="D37" s="4"/>
      <c r="E37" s="4"/>
      <c r="F37" s="4"/>
      <c r="G37" s="4"/>
      <c r="H37" s="4"/>
      <c r="I37" s="4"/>
      <c r="J37" s="4"/>
      <c r="K37" s="4"/>
      <c r="L37" s="3" t="s">
        <v>1061</v>
      </c>
      <c r="M37">
        <v>3986691.6800000011</v>
      </c>
      <c r="N37" s="4"/>
      <c r="O37" s="4"/>
      <c r="P37" s="4"/>
      <c r="Q37" s="4"/>
      <c r="R37" s="4"/>
    </row>
    <row r="38" spans="1:18" x14ac:dyDescent="0.3">
      <c r="A38" s="4"/>
      <c r="B38" s="4"/>
      <c r="C38" s="4"/>
      <c r="D38" s="4"/>
      <c r="E38" s="4"/>
      <c r="F38" s="4"/>
      <c r="G38" s="4"/>
      <c r="H38" s="4"/>
      <c r="I38" s="4"/>
      <c r="J38" s="4"/>
      <c r="K38" s="4"/>
      <c r="L38" s="3" t="s">
        <v>1063</v>
      </c>
      <c r="M38">
        <v>2895523.4499999993</v>
      </c>
      <c r="N38" s="4"/>
      <c r="O38" s="4"/>
      <c r="P38" s="4"/>
      <c r="Q38" s="4"/>
      <c r="R38" s="4"/>
    </row>
    <row r="39" spans="1:18" x14ac:dyDescent="0.3">
      <c r="A39" s="4"/>
      <c r="B39" s="4"/>
      <c r="C39" s="4"/>
      <c r="D39" s="4"/>
      <c r="E39" s="4"/>
      <c r="F39" s="4"/>
      <c r="G39" s="4"/>
      <c r="H39" s="4"/>
      <c r="I39" s="4"/>
      <c r="J39" s="4"/>
      <c r="K39" s="4"/>
      <c r="L39" s="3" t="s">
        <v>1070</v>
      </c>
      <c r="M39">
        <v>2907013.32</v>
      </c>
      <c r="N39" s="4"/>
      <c r="O39" s="4"/>
      <c r="P39" s="4"/>
      <c r="Q39" s="4"/>
      <c r="R39" s="4"/>
    </row>
    <row r="40" spans="1:18" x14ac:dyDescent="0.3">
      <c r="A40" s="4"/>
      <c r="B40" s="4"/>
      <c r="C40" s="4"/>
      <c r="D40" s="4"/>
      <c r="E40" s="4"/>
      <c r="F40" s="4"/>
      <c r="G40" s="4"/>
      <c r="H40" s="4"/>
      <c r="I40" s="4"/>
      <c r="J40" s="4"/>
      <c r="K40" s="4"/>
      <c r="L40" s="3" t="s">
        <v>1096</v>
      </c>
      <c r="M40">
        <v>75213112.739999995</v>
      </c>
      <c r="N40" s="4"/>
      <c r="O40" s="4"/>
      <c r="P40" s="4"/>
      <c r="Q40" s="4"/>
      <c r="R40" s="4"/>
    </row>
    <row r="41" spans="1:18" x14ac:dyDescent="0.3">
      <c r="A41" s="4"/>
      <c r="B41" s="4"/>
      <c r="C41" s="4"/>
      <c r="D41" s="4"/>
      <c r="E41" s="4"/>
      <c r="F41" s="4"/>
      <c r="G41" s="4"/>
      <c r="H41" s="4"/>
      <c r="I41" s="4"/>
      <c r="J41" s="4"/>
      <c r="K41" s="4"/>
      <c r="L41" s="4"/>
      <c r="M41" s="4"/>
      <c r="N41" s="4"/>
      <c r="O41" s="4"/>
      <c r="P41" s="4"/>
      <c r="Q41" s="4"/>
      <c r="R41" s="4"/>
    </row>
    <row r="42" spans="1:18" x14ac:dyDescent="0.3">
      <c r="A42" s="4"/>
      <c r="B42" s="4"/>
      <c r="C42" s="4"/>
      <c r="D42" s="4"/>
      <c r="E42" s="4"/>
      <c r="F42" s="4"/>
      <c r="G42" s="4"/>
      <c r="H42" s="4"/>
      <c r="I42" s="4"/>
      <c r="J42" s="2" t="s">
        <v>2</v>
      </c>
      <c r="K42" t="s">
        <v>1110</v>
      </c>
      <c r="L42" s="4"/>
      <c r="M42" s="2" t="s">
        <v>1121</v>
      </c>
      <c r="N42" t="s">
        <v>1112</v>
      </c>
      <c r="O42" s="4"/>
      <c r="P42" s="4"/>
      <c r="Q42" s="4"/>
      <c r="R42" s="4"/>
    </row>
    <row r="43" spans="1:18" x14ac:dyDescent="0.3">
      <c r="A43" s="4"/>
      <c r="B43" s="4"/>
      <c r="C43" s="4"/>
      <c r="D43" s="4"/>
      <c r="E43" s="4"/>
      <c r="F43" s="4"/>
      <c r="G43" s="4"/>
      <c r="H43" s="4"/>
      <c r="I43" s="4"/>
      <c r="J43" s="3" t="s">
        <v>1053</v>
      </c>
      <c r="K43">
        <v>583</v>
      </c>
      <c r="L43" s="4"/>
      <c r="M43" s="3" t="s">
        <v>1053</v>
      </c>
      <c r="N43">
        <v>2.8723958333333339</v>
      </c>
      <c r="O43" s="4"/>
      <c r="P43" s="4"/>
      <c r="Q43" s="4"/>
      <c r="R43" s="4"/>
    </row>
    <row r="44" spans="1:18" x14ac:dyDescent="0.3">
      <c r="A44" s="4"/>
      <c r="B44" s="4"/>
      <c r="C44" s="4"/>
      <c r="D44" s="4"/>
      <c r="E44" s="4"/>
      <c r="F44" s="4"/>
      <c r="G44" s="4"/>
      <c r="H44" s="4"/>
      <c r="I44" s="4"/>
      <c r="J44" s="3" t="s">
        <v>1048</v>
      </c>
      <c r="K44">
        <v>653</v>
      </c>
      <c r="L44" s="4"/>
      <c r="M44" s="3" t="s">
        <v>1048</v>
      </c>
      <c r="N44">
        <v>3.0799043062200977</v>
      </c>
      <c r="O44" s="4"/>
      <c r="P44" s="4"/>
      <c r="Q44" s="4"/>
      <c r="R44" s="4"/>
    </row>
    <row r="45" spans="1:18" x14ac:dyDescent="0.3">
      <c r="A45" s="4"/>
      <c r="B45" s="4"/>
      <c r="C45" s="4"/>
      <c r="D45" s="4"/>
      <c r="E45" s="4"/>
      <c r="F45" s="4"/>
      <c r="G45" s="4"/>
      <c r="H45" s="4"/>
      <c r="I45" s="4"/>
      <c r="J45" s="3" t="s">
        <v>1051</v>
      </c>
      <c r="K45">
        <v>609</v>
      </c>
      <c r="L45" s="4"/>
      <c r="M45" s="3" t="s">
        <v>1051</v>
      </c>
      <c r="N45">
        <v>2.9714285714285702</v>
      </c>
      <c r="O45" s="4"/>
      <c r="P45" s="4"/>
      <c r="Q45" s="4"/>
      <c r="R45" s="4"/>
    </row>
    <row r="46" spans="1:18" x14ac:dyDescent="0.3">
      <c r="A46" s="4"/>
      <c r="B46" s="4"/>
      <c r="C46" s="4"/>
      <c r="D46" s="4"/>
      <c r="E46" s="4"/>
      <c r="F46" s="4"/>
      <c r="G46" s="4"/>
      <c r="H46" s="4"/>
      <c r="I46" s="4"/>
      <c r="J46" s="3" t="s">
        <v>1055</v>
      </c>
      <c r="K46">
        <v>673</v>
      </c>
      <c r="L46" s="4"/>
      <c r="M46" s="3" t="s">
        <v>1055</v>
      </c>
      <c r="N46">
        <v>2.9884792626728096</v>
      </c>
      <c r="O46" s="4"/>
      <c r="P46" s="4"/>
      <c r="Q46" s="4"/>
      <c r="R46" s="4"/>
    </row>
    <row r="47" spans="1:18" x14ac:dyDescent="0.3">
      <c r="A47" s="4"/>
      <c r="B47" s="4"/>
      <c r="C47" s="4"/>
      <c r="D47" s="4"/>
      <c r="E47" s="4"/>
      <c r="F47" s="4"/>
      <c r="G47" s="4"/>
      <c r="H47" s="4"/>
      <c r="I47" s="4"/>
      <c r="J47" s="3" t="s">
        <v>1057</v>
      </c>
      <c r="K47">
        <v>579</v>
      </c>
      <c r="L47" s="4"/>
      <c r="M47" s="3" t="s">
        <v>1057</v>
      </c>
      <c r="N47">
        <v>3.1388601036269432</v>
      </c>
      <c r="O47" s="4"/>
      <c r="P47" s="4"/>
      <c r="Q47" s="4"/>
      <c r="R47" s="4"/>
    </row>
    <row r="48" spans="1:18" x14ac:dyDescent="0.3">
      <c r="A48" s="4"/>
      <c r="B48" s="4"/>
      <c r="C48" s="4"/>
      <c r="D48" s="4"/>
      <c r="E48" s="4"/>
      <c r="F48" s="4"/>
      <c r="G48" s="4"/>
      <c r="H48" s="4"/>
      <c r="I48" s="4"/>
      <c r="J48" s="3" t="s">
        <v>1096</v>
      </c>
      <c r="K48">
        <v>3097</v>
      </c>
      <c r="L48" s="4"/>
      <c r="M48" s="3" t="s">
        <v>1096</v>
      </c>
      <c r="N48">
        <v>3.011099999999995</v>
      </c>
      <c r="O48" s="4"/>
      <c r="P48" s="4"/>
      <c r="Q48" s="4"/>
      <c r="R48" s="4"/>
    </row>
    <row r="49" spans="1:18" x14ac:dyDescent="0.3">
      <c r="A49" s="4"/>
      <c r="B49" s="4"/>
      <c r="C49" s="4"/>
      <c r="D49" s="4"/>
      <c r="E49" s="4"/>
      <c r="F49" s="4"/>
      <c r="G49" s="4"/>
      <c r="H49" s="4"/>
      <c r="I49" s="4"/>
      <c r="J49" s="4"/>
      <c r="K49" s="4"/>
      <c r="L49" s="4"/>
      <c r="M49" s="4"/>
      <c r="N49" s="4"/>
      <c r="O49" s="4"/>
      <c r="P49" s="4"/>
      <c r="Q49" s="4"/>
      <c r="R49" s="4"/>
    </row>
    <row r="50" spans="1:18" x14ac:dyDescent="0.3">
      <c r="A50" s="4"/>
      <c r="B50" s="4"/>
      <c r="C50" s="4"/>
      <c r="D50" s="4"/>
      <c r="E50" s="4"/>
      <c r="F50" s="4"/>
      <c r="G50" s="4"/>
      <c r="H50" s="4"/>
      <c r="I50" s="4"/>
      <c r="J50" s="4"/>
      <c r="K50" s="4"/>
      <c r="L50" s="4"/>
      <c r="M50" s="4"/>
      <c r="N50" s="4"/>
      <c r="O50" s="4"/>
      <c r="P50" s="4"/>
      <c r="Q50" s="4"/>
      <c r="R50" s="4"/>
    </row>
    <row r="51" spans="1:18" x14ac:dyDescent="0.3">
      <c r="A51" s="4"/>
      <c r="B51" s="4"/>
      <c r="C51" s="4"/>
      <c r="D51" s="4"/>
      <c r="E51" s="4"/>
      <c r="F51" s="4"/>
      <c r="G51" s="4"/>
      <c r="H51" s="4"/>
      <c r="I51" s="4"/>
      <c r="J51" s="4"/>
      <c r="K51" s="4"/>
      <c r="L51" s="4"/>
      <c r="M51" s="4"/>
      <c r="N51" s="4"/>
      <c r="O51" s="4"/>
      <c r="P51" s="4"/>
      <c r="Q51" s="4"/>
      <c r="R51" s="4"/>
    </row>
    <row r="52" spans="1:18" x14ac:dyDescent="0.3">
      <c r="A52" s="4"/>
      <c r="B52" s="4"/>
      <c r="C52" s="4"/>
      <c r="D52" s="4"/>
      <c r="E52" s="4"/>
      <c r="F52" s="4"/>
      <c r="G52" s="4"/>
      <c r="H52" s="4"/>
      <c r="I52" s="4"/>
      <c r="J52" s="4"/>
      <c r="K52" s="4"/>
      <c r="L52" s="4"/>
      <c r="M52" s="4"/>
      <c r="N52" s="4"/>
      <c r="O52" s="4"/>
      <c r="P52" s="4"/>
      <c r="Q52" s="4"/>
      <c r="R52" s="4"/>
    </row>
    <row r="53" spans="1:18" x14ac:dyDescent="0.3">
      <c r="A53" s="4"/>
      <c r="B53" s="4"/>
      <c r="C53" s="4"/>
      <c r="D53" s="4"/>
      <c r="E53" s="4"/>
      <c r="F53" s="4"/>
      <c r="G53" s="4"/>
      <c r="H53" s="4"/>
      <c r="I53" s="4"/>
      <c r="J53" s="4"/>
      <c r="K53" s="4"/>
      <c r="L53" s="4"/>
      <c r="M53" s="4"/>
      <c r="N53" s="4"/>
      <c r="O53" s="4"/>
      <c r="P53" s="4"/>
      <c r="Q53" s="4"/>
      <c r="R53" s="4"/>
    </row>
    <row r="54" spans="1:18" x14ac:dyDescent="0.3">
      <c r="A54" s="4"/>
      <c r="B54" s="4"/>
      <c r="C54" s="4"/>
      <c r="D54" s="4"/>
      <c r="E54" s="4"/>
      <c r="F54" s="4"/>
      <c r="G54" s="4"/>
      <c r="H54" s="4"/>
      <c r="I54" s="4"/>
      <c r="J54" s="4"/>
      <c r="K54" s="4"/>
      <c r="L54" s="4"/>
      <c r="M54" s="4"/>
      <c r="N54" s="4"/>
      <c r="O54" s="4"/>
      <c r="P54" s="4"/>
      <c r="Q54" s="4"/>
      <c r="R54" s="4"/>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FF98-C9C9-4CEE-BDDB-51758BAFA2BC}">
  <dimension ref="A1:V45"/>
  <sheetViews>
    <sheetView showGridLines="0" tabSelected="1" zoomScale="89" zoomScaleNormal="99" workbookViewId="0">
      <selection activeCell="N27" sqref="N27"/>
    </sheetView>
  </sheetViews>
  <sheetFormatPr defaultRowHeight="14.4" x14ac:dyDescent="0.3"/>
  <cols>
    <col min="11" max="11" width="7.109375" customWidth="1"/>
    <col min="13" max="13" width="12.44140625" bestFit="1" customWidth="1"/>
    <col min="14" max="14" width="19.5546875" customWidth="1"/>
    <col min="15" max="15" width="13.88671875" customWidth="1"/>
    <col min="20" max="20" width="12.88671875" customWidth="1"/>
    <col min="21" max="21" width="24.5546875" customWidth="1"/>
    <col min="22" max="22" width="8.6640625" customWidth="1"/>
  </cols>
  <sheetData>
    <row r="1" spans="1:22" x14ac:dyDescent="0.3">
      <c r="A1" s="4"/>
      <c r="B1" s="4"/>
      <c r="C1" s="4"/>
      <c r="D1" s="4"/>
      <c r="E1" s="4"/>
      <c r="F1" s="4"/>
      <c r="G1" s="4"/>
      <c r="H1" s="4"/>
      <c r="I1" s="4"/>
      <c r="J1" s="4"/>
      <c r="K1" s="4"/>
      <c r="L1" s="4"/>
      <c r="M1" s="4"/>
      <c r="N1" s="4"/>
      <c r="O1" s="4"/>
      <c r="P1" s="4"/>
      <c r="Q1" s="4"/>
      <c r="R1" s="4"/>
      <c r="S1" s="4"/>
      <c r="T1" s="4"/>
      <c r="U1" s="4"/>
      <c r="V1" s="4"/>
    </row>
    <row r="2" spans="1:22" x14ac:dyDescent="0.3">
      <c r="A2" s="4"/>
      <c r="B2" s="4"/>
      <c r="C2" s="4"/>
      <c r="D2" s="4"/>
      <c r="E2" s="4"/>
      <c r="F2" s="4"/>
      <c r="G2" s="4"/>
      <c r="H2" s="4"/>
      <c r="I2" s="4"/>
      <c r="J2" s="4"/>
      <c r="K2" s="4"/>
      <c r="L2" s="4"/>
      <c r="M2" s="4"/>
      <c r="N2" s="4"/>
      <c r="O2" s="4"/>
      <c r="P2" s="4"/>
      <c r="Q2" s="4"/>
      <c r="R2" s="4"/>
      <c r="S2" s="4"/>
      <c r="T2" s="4"/>
      <c r="U2" s="4"/>
      <c r="V2" s="4"/>
    </row>
    <row r="3" spans="1:22" x14ac:dyDescent="0.3">
      <c r="A3" s="4"/>
      <c r="B3" s="4"/>
      <c r="C3" s="4"/>
      <c r="D3" s="4"/>
      <c r="E3" s="4"/>
      <c r="F3" s="4"/>
      <c r="G3" s="4"/>
      <c r="H3" s="4"/>
      <c r="I3" s="4"/>
      <c r="J3" s="4"/>
      <c r="K3" s="4"/>
      <c r="L3" s="4"/>
      <c r="M3" s="4"/>
      <c r="N3" s="4"/>
      <c r="O3" s="4"/>
      <c r="P3" s="4"/>
      <c r="Q3" s="4"/>
      <c r="R3" s="4"/>
      <c r="S3" s="4"/>
      <c r="T3" s="4"/>
      <c r="U3" s="4"/>
      <c r="V3" s="4"/>
    </row>
    <row r="4" spans="1:22" x14ac:dyDescent="0.3">
      <c r="A4" s="4"/>
      <c r="B4" s="4"/>
      <c r="C4" s="4"/>
      <c r="D4" s="4"/>
      <c r="E4" s="4"/>
      <c r="F4" s="4"/>
      <c r="G4" s="4"/>
      <c r="H4" s="4"/>
      <c r="I4" s="4"/>
      <c r="J4" s="4"/>
      <c r="K4" s="4"/>
      <c r="L4" s="4"/>
      <c r="M4" s="4"/>
      <c r="N4" s="4"/>
      <c r="O4" s="4"/>
      <c r="P4" s="4"/>
      <c r="Q4" s="4"/>
      <c r="R4" s="4"/>
      <c r="S4" s="4"/>
      <c r="T4" s="4"/>
      <c r="U4" s="4"/>
      <c r="V4" s="4"/>
    </row>
    <row r="5" spans="1:22" x14ac:dyDescent="0.3">
      <c r="A5" s="4"/>
      <c r="B5" s="4"/>
      <c r="C5" s="4"/>
      <c r="D5" s="4"/>
      <c r="E5" s="4"/>
      <c r="F5" s="4"/>
      <c r="G5" s="4"/>
      <c r="H5" s="4"/>
      <c r="I5" s="4"/>
      <c r="J5" s="4"/>
      <c r="K5" s="4"/>
      <c r="L5" s="4"/>
      <c r="M5" s="4"/>
      <c r="N5" s="4"/>
      <c r="O5" s="4"/>
      <c r="P5" s="4"/>
      <c r="Q5" s="4"/>
      <c r="R5" s="4"/>
      <c r="S5" s="4"/>
      <c r="T5" s="4"/>
      <c r="U5" s="4"/>
      <c r="V5" s="4"/>
    </row>
    <row r="6" spans="1:22" x14ac:dyDescent="0.3">
      <c r="A6" s="4"/>
      <c r="B6" s="4"/>
      <c r="C6" s="4"/>
      <c r="D6" s="4"/>
      <c r="E6" s="4"/>
      <c r="F6" s="4"/>
      <c r="G6" s="4"/>
      <c r="H6" s="4"/>
      <c r="I6" s="4"/>
      <c r="J6" s="4"/>
      <c r="K6" s="4"/>
      <c r="L6" s="4"/>
      <c r="M6" s="4"/>
      <c r="N6" s="4"/>
      <c r="O6" s="4"/>
      <c r="P6" s="4"/>
      <c r="Q6" s="4"/>
      <c r="R6" s="4"/>
      <c r="S6" s="4"/>
      <c r="T6" s="4"/>
      <c r="U6" s="4"/>
      <c r="V6" s="4"/>
    </row>
    <row r="7" spans="1:22" x14ac:dyDescent="0.3">
      <c r="A7" s="4"/>
      <c r="B7" s="4"/>
      <c r="C7" s="4"/>
      <c r="D7" s="4"/>
      <c r="E7" s="4"/>
      <c r="F7" s="4"/>
      <c r="G7" s="4"/>
      <c r="H7" s="4"/>
      <c r="I7" s="4"/>
      <c r="J7" s="4"/>
      <c r="K7" s="4"/>
      <c r="L7" s="4"/>
      <c r="M7" s="4"/>
      <c r="N7" s="4"/>
      <c r="O7" s="4"/>
      <c r="P7" s="4"/>
      <c r="Q7" s="4"/>
      <c r="R7" s="4"/>
      <c r="S7" s="4"/>
      <c r="T7" s="4"/>
      <c r="U7" s="4"/>
      <c r="V7" s="4"/>
    </row>
    <row r="8" spans="1:22" x14ac:dyDescent="0.3">
      <c r="A8" s="4"/>
      <c r="B8" s="4"/>
      <c r="C8" s="4"/>
      <c r="D8" s="4"/>
      <c r="E8" s="4"/>
      <c r="F8" s="4"/>
      <c r="G8" s="4"/>
      <c r="H8" s="4"/>
      <c r="I8" s="4"/>
      <c r="J8" s="4"/>
      <c r="K8" s="4"/>
      <c r="L8" s="4"/>
      <c r="M8" s="4"/>
      <c r="N8" s="4"/>
      <c r="O8" s="4"/>
      <c r="P8" s="4"/>
      <c r="Q8" s="4"/>
      <c r="R8" s="4"/>
      <c r="S8" s="4"/>
      <c r="T8" s="4"/>
      <c r="U8" s="4"/>
      <c r="V8" s="4"/>
    </row>
    <row r="9" spans="1:22" x14ac:dyDescent="0.3">
      <c r="A9" s="4"/>
      <c r="B9" s="4"/>
      <c r="C9" s="4"/>
      <c r="D9" s="4"/>
      <c r="E9" s="4"/>
      <c r="F9" s="4"/>
      <c r="G9" s="4"/>
      <c r="H9" s="4"/>
      <c r="I9" s="4"/>
      <c r="J9" s="4"/>
      <c r="K9" s="4"/>
      <c r="L9" s="4"/>
      <c r="M9" s="4"/>
      <c r="N9" s="4"/>
      <c r="O9" s="4"/>
      <c r="P9" s="4"/>
      <c r="Q9" s="4"/>
      <c r="R9" s="4"/>
      <c r="S9" s="4"/>
      <c r="T9" s="4"/>
      <c r="U9" s="4"/>
      <c r="V9" s="4"/>
    </row>
    <row r="10" spans="1:22" x14ac:dyDescent="0.3">
      <c r="A10" s="4"/>
      <c r="B10" s="4"/>
      <c r="C10" s="4"/>
      <c r="D10" s="4"/>
      <c r="E10" s="4"/>
      <c r="F10" s="4"/>
      <c r="G10" s="4"/>
      <c r="H10" s="4"/>
      <c r="I10" s="4"/>
      <c r="J10" s="4"/>
      <c r="K10" s="4"/>
      <c r="L10" s="4"/>
      <c r="M10" s="4"/>
      <c r="N10" s="4"/>
      <c r="O10" s="4"/>
      <c r="P10" s="4"/>
      <c r="Q10" s="4"/>
      <c r="R10" s="4"/>
      <c r="S10" s="4"/>
      <c r="T10" s="4"/>
      <c r="U10" s="4"/>
      <c r="V10" s="4"/>
    </row>
    <row r="11" spans="1:22" x14ac:dyDescent="0.3">
      <c r="A11" s="4"/>
      <c r="B11" s="4"/>
      <c r="C11" s="4"/>
      <c r="D11" s="4"/>
      <c r="E11" s="4"/>
      <c r="F11" s="4"/>
      <c r="G11" s="4"/>
      <c r="H11" s="4"/>
      <c r="I11" s="4"/>
      <c r="J11" s="4"/>
      <c r="K11" s="4"/>
      <c r="L11" s="4"/>
      <c r="M11" s="4"/>
      <c r="N11" s="4"/>
      <c r="O11" s="4"/>
      <c r="P11" s="4"/>
      <c r="Q11" s="4"/>
      <c r="R11" s="4"/>
      <c r="S11" s="4"/>
      <c r="T11" s="4"/>
      <c r="U11" s="4"/>
      <c r="V11" s="4"/>
    </row>
    <row r="12" spans="1:22" x14ac:dyDescent="0.3">
      <c r="A12" s="4"/>
      <c r="B12" s="4"/>
      <c r="C12" s="4"/>
      <c r="D12" s="4"/>
      <c r="E12" s="4"/>
      <c r="F12" s="4"/>
      <c r="G12" s="4"/>
      <c r="H12" s="4"/>
      <c r="I12" s="4"/>
      <c r="J12" s="4"/>
      <c r="K12" s="4"/>
      <c r="L12" s="4"/>
      <c r="M12" s="4"/>
      <c r="N12" s="4"/>
      <c r="O12" s="4"/>
      <c r="P12" s="4"/>
      <c r="Q12" s="4"/>
      <c r="R12" s="4"/>
      <c r="S12" s="4"/>
      <c r="T12" s="4"/>
      <c r="U12" s="4"/>
      <c r="V12" s="4"/>
    </row>
    <row r="13" spans="1:22" x14ac:dyDescent="0.3">
      <c r="A13" s="4"/>
      <c r="B13" s="4"/>
      <c r="C13" s="4"/>
      <c r="D13" s="4"/>
      <c r="E13" s="4"/>
      <c r="F13" s="4"/>
      <c r="G13" s="4"/>
      <c r="H13" s="4"/>
      <c r="I13" s="4"/>
      <c r="J13" s="4"/>
      <c r="K13" s="4"/>
      <c r="L13" s="4"/>
      <c r="M13" s="4"/>
      <c r="N13" s="4"/>
      <c r="O13" s="4"/>
      <c r="P13" s="4"/>
      <c r="Q13" s="4"/>
      <c r="R13" s="4"/>
      <c r="S13" s="4"/>
      <c r="T13" s="4"/>
      <c r="U13" s="4"/>
      <c r="V13" s="4"/>
    </row>
    <row r="14" spans="1:22" x14ac:dyDescent="0.3">
      <c r="A14" s="4"/>
      <c r="B14" s="4"/>
      <c r="C14" s="4"/>
      <c r="D14" s="4"/>
      <c r="E14" s="4"/>
      <c r="F14" s="4"/>
      <c r="G14" s="4"/>
      <c r="H14" s="4"/>
      <c r="I14" s="4"/>
      <c r="J14" s="4"/>
      <c r="K14" s="4"/>
      <c r="L14" s="4"/>
      <c r="M14" s="4"/>
      <c r="N14" s="4"/>
      <c r="O14" s="4"/>
      <c r="P14" s="4"/>
      <c r="Q14" s="4"/>
      <c r="R14" s="4"/>
      <c r="S14" s="4"/>
      <c r="T14" s="4"/>
      <c r="U14" s="4"/>
      <c r="V14" s="4"/>
    </row>
    <row r="15" spans="1:22" x14ac:dyDescent="0.3">
      <c r="A15" s="4"/>
      <c r="B15" s="4"/>
      <c r="C15" s="4"/>
      <c r="D15" s="4"/>
      <c r="E15" s="4"/>
      <c r="F15" s="4"/>
      <c r="G15" s="4"/>
      <c r="H15" s="4"/>
      <c r="I15" s="4"/>
      <c r="J15" s="4"/>
      <c r="K15" s="4"/>
      <c r="L15" s="4"/>
      <c r="M15" s="2" t="s">
        <v>1122</v>
      </c>
      <c r="N15" t="s">
        <v>1109</v>
      </c>
      <c r="O15" s="4"/>
      <c r="P15" s="4"/>
      <c r="Q15" s="4"/>
      <c r="R15" s="4"/>
      <c r="S15" s="4"/>
      <c r="T15" s="4"/>
      <c r="U15" s="4"/>
      <c r="V15" s="4"/>
    </row>
    <row r="16" spans="1:22" x14ac:dyDescent="0.3">
      <c r="A16" s="4"/>
      <c r="B16" s="4"/>
      <c r="C16" s="4"/>
      <c r="D16" s="4"/>
      <c r="E16" s="4"/>
      <c r="F16" s="4"/>
      <c r="G16" s="4"/>
      <c r="H16" s="4"/>
      <c r="I16" s="4"/>
      <c r="J16" s="4"/>
      <c r="K16" s="4"/>
      <c r="L16" s="4"/>
      <c r="M16" s="3" t="s">
        <v>42</v>
      </c>
      <c r="N16">
        <v>169</v>
      </c>
      <c r="O16" s="4"/>
      <c r="P16" s="4"/>
      <c r="Q16" s="4"/>
      <c r="R16" s="4"/>
      <c r="S16" s="4"/>
      <c r="T16" s="4"/>
      <c r="U16" s="4"/>
      <c r="V16" s="4"/>
    </row>
    <row r="17" spans="1:22" x14ac:dyDescent="0.3">
      <c r="A17" s="4"/>
      <c r="B17" s="4"/>
      <c r="C17" s="4"/>
      <c r="D17" s="4"/>
      <c r="E17" s="4"/>
      <c r="F17" s="4"/>
      <c r="G17" s="4"/>
      <c r="H17" s="4"/>
      <c r="I17" s="4"/>
      <c r="J17" s="4"/>
      <c r="K17" s="4"/>
      <c r="L17" s="4"/>
      <c r="M17" s="3" t="s">
        <v>1068</v>
      </c>
      <c r="N17">
        <v>146</v>
      </c>
      <c r="O17" s="4"/>
      <c r="P17" s="4"/>
      <c r="Q17" s="4"/>
      <c r="R17" s="4"/>
      <c r="S17" s="4"/>
      <c r="T17" s="4"/>
      <c r="U17" s="4"/>
      <c r="V17" s="4"/>
    </row>
    <row r="18" spans="1:22" x14ac:dyDescent="0.3">
      <c r="A18" s="4"/>
      <c r="B18" s="4"/>
      <c r="C18" s="4"/>
      <c r="D18" s="4"/>
      <c r="E18" s="4"/>
      <c r="F18" s="4"/>
      <c r="G18" s="4"/>
      <c r="H18" s="4"/>
      <c r="I18" s="4"/>
      <c r="J18" s="4"/>
      <c r="K18" s="4"/>
      <c r="L18" s="4"/>
      <c r="M18" s="3" t="s">
        <v>1049</v>
      </c>
      <c r="N18">
        <v>171</v>
      </c>
      <c r="O18" s="4"/>
      <c r="P18" s="4"/>
      <c r="Q18" s="4"/>
      <c r="R18" s="4"/>
      <c r="S18" s="4"/>
      <c r="T18" s="4"/>
      <c r="U18" s="4"/>
      <c r="V18" s="4"/>
    </row>
    <row r="19" spans="1:22" x14ac:dyDescent="0.3">
      <c r="A19" s="4"/>
      <c r="B19" s="4"/>
      <c r="C19" s="4"/>
      <c r="D19" s="4"/>
      <c r="E19" s="4"/>
      <c r="F19" s="4"/>
      <c r="G19" s="4"/>
      <c r="H19" s="4"/>
      <c r="I19" s="4"/>
      <c r="J19" s="4"/>
      <c r="K19" s="4"/>
      <c r="L19" s="4"/>
      <c r="M19" s="3" t="s">
        <v>1071</v>
      </c>
      <c r="N19">
        <v>166</v>
      </c>
      <c r="O19" s="4"/>
      <c r="P19" s="4"/>
      <c r="Q19" s="4"/>
      <c r="R19" s="4"/>
      <c r="S19" s="4"/>
      <c r="T19" s="4"/>
      <c r="U19" s="4"/>
      <c r="V19" s="4"/>
    </row>
    <row r="20" spans="1:22" x14ac:dyDescent="0.3">
      <c r="A20" s="4"/>
      <c r="B20" s="4"/>
      <c r="C20" s="4"/>
      <c r="D20" s="4"/>
      <c r="E20" s="4"/>
      <c r="F20" s="4"/>
      <c r="G20" s="4"/>
      <c r="H20" s="4"/>
      <c r="I20" s="4"/>
      <c r="J20" s="4"/>
      <c r="K20" s="4"/>
      <c r="L20" s="4"/>
      <c r="M20" s="3" t="s">
        <v>16</v>
      </c>
      <c r="N20">
        <v>176</v>
      </c>
      <c r="O20" s="4"/>
      <c r="P20" s="4"/>
      <c r="Q20" s="4"/>
      <c r="R20" s="4"/>
      <c r="S20" s="4"/>
      <c r="T20" s="4"/>
      <c r="U20" s="4"/>
      <c r="V20" s="4"/>
    </row>
    <row r="21" spans="1:22" x14ac:dyDescent="0.3">
      <c r="A21" s="4"/>
      <c r="B21" s="4"/>
      <c r="C21" s="4"/>
      <c r="D21" s="4"/>
      <c r="E21" s="4"/>
      <c r="F21" s="4"/>
      <c r="G21" s="4"/>
      <c r="H21" s="4"/>
      <c r="I21" s="4"/>
      <c r="J21" s="4"/>
      <c r="K21" s="4"/>
      <c r="L21" s="4"/>
      <c r="M21" s="3" t="s">
        <v>1059</v>
      </c>
      <c r="N21">
        <v>172</v>
      </c>
      <c r="O21" s="4"/>
      <c r="P21" s="4"/>
      <c r="Q21" s="4"/>
      <c r="R21" s="4"/>
      <c r="S21" s="4"/>
      <c r="T21" s="4"/>
      <c r="U21" s="4"/>
      <c r="V21" s="4"/>
    </row>
    <row r="22" spans="1:22" x14ac:dyDescent="0.3">
      <c r="A22" s="4"/>
      <c r="B22" s="4"/>
      <c r="C22" s="4"/>
      <c r="D22" s="4"/>
      <c r="E22" s="4"/>
      <c r="F22" s="4"/>
      <c r="G22" s="4"/>
      <c r="H22" s="4"/>
      <c r="I22" s="4"/>
      <c r="J22" s="4"/>
      <c r="K22" s="4"/>
      <c r="L22" s="4"/>
      <c r="M22" s="3" t="s">
        <v>1096</v>
      </c>
      <c r="N22">
        <v>1000</v>
      </c>
      <c r="O22" s="4"/>
      <c r="P22" s="4"/>
      <c r="Q22" s="4"/>
      <c r="R22" s="4"/>
      <c r="S22" s="4"/>
      <c r="T22" s="4"/>
      <c r="U22" s="4"/>
      <c r="V22" s="4"/>
    </row>
    <row r="23" spans="1:22" x14ac:dyDescent="0.3">
      <c r="A23" s="4"/>
      <c r="B23" s="4"/>
      <c r="C23" s="4"/>
      <c r="D23" s="4"/>
      <c r="E23" s="4"/>
      <c r="F23" s="4"/>
      <c r="G23" s="4"/>
      <c r="H23" s="4"/>
      <c r="I23" s="4"/>
      <c r="J23" s="4"/>
      <c r="K23" s="4"/>
      <c r="L23" s="4"/>
      <c r="M23" s="4"/>
      <c r="N23" s="4"/>
      <c r="O23" s="4"/>
      <c r="P23" s="4"/>
      <c r="Q23" s="4"/>
      <c r="R23" s="4"/>
      <c r="S23" s="4"/>
      <c r="T23" s="4"/>
      <c r="U23" s="4"/>
      <c r="V23" s="4"/>
    </row>
    <row r="24" spans="1:22" x14ac:dyDescent="0.3">
      <c r="A24" s="4"/>
      <c r="B24" s="4"/>
      <c r="C24" s="4"/>
      <c r="D24" s="4"/>
      <c r="E24" s="4"/>
      <c r="F24" s="4"/>
      <c r="G24" s="4"/>
      <c r="H24" s="4"/>
      <c r="I24" s="4"/>
      <c r="J24" s="4"/>
      <c r="K24" s="4"/>
      <c r="L24" s="4"/>
      <c r="M24" s="4"/>
      <c r="N24" s="4"/>
      <c r="O24" s="4"/>
      <c r="P24" s="4"/>
      <c r="Q24" s="4"/>
      <c r="R24" s="4"/>
      <c r="S24" s="4"/>
      <c r="T24" s="4"/>
      <c r="U24" s="4"/>
      <c r="V24" s="4"/>
    </row>
    <row r="25" spans="1:22" x14ac:dyDescent="0.3">
      <c r="A25" s="4"/>
      <c r="B25" s="4"/>
      <c r="C25" s="4"/>
      <c r="D25" s="4"/>
      <c r="E25" s="4"/>
      <c r="F25" s="4"/>
      <c r="G25" s="4"/>
      <c r="H25" s="4"/>
      <c r="I25" s="4"/>
      <c r="J25" s="4"/>
      <c r="K25" s="4"/>
      <c r="L25" s="4"/>
      <c r="M25" s="4"/>
      <c r="N25" s="4"/>
      <c r="O25" s="4"/>
      <c r="P25" s="4"/>
      <c r="Q25" s="4"/>
      <c r="R25" s="4"/>
      <c r="S25" s="4"/>
      <c r="T25" s="4"/>
      <c r="U25" s="4"/>
      <c r="V25" s="4"/>
    </row>
    <row r="26" spans="1:22" x14ac:dyDescent="0.3">
      <c r="A26" s="4"/>
      <c r="B26" s="4"/>
      <c r="C26" s="4"/>
      <c r="D26" s="4"/>
      <c r="E26" s="4"/>
      <c r="F26" s="4"/>
      <c r="G26" s="4"/>
      <c r="H26" s="4"/>
      <c r="I26" s="4"/>
      <c r="J26" s="4"/>
      <c r="K26" s="4"/>
      <c r="L26" s="4"/>
      <c r="M26" s="4"/>
      <c r="N26" s="4"/>
      <c r="O26" s="4"/>
      <c r="P26" s="4"/>
      <c r="Q26" s="4"/>
      <c r="R26" s="4"/>
      <c r="S26" s="4"/>
      <c r="T26" s="4"/>
      <c r="U26" s="4"/>
      <c r="V26" s="4"/>
    </row>
    <row r="27" spans="1:22" x14ac:dyDescent="0.3">
      <c r="A27" s="4"/>
      <c r="B27" s="4"/>
      <c r="C27" s="4"/>
      <c r="D27" s="4"/>
      <c r="E27" s="4"/>
      <c r="F27" s="4"/>
      <c r="G27" s="4"/>
      <c r="H27" s="4"/>
      <c r="I27" s="4"/>
      <c r="J27" s="4"/>
      <c r="K27" s="4"/>
      <c r="L27" s="4"/>
      <c r="M27" s="4"/>
      <c r="N27" s="4"/>
      <c r="O27" s="4"/>
      <c r="P27" s="4"/>
      <c r="Q27" s="4"/>
      <c r="R27" s="4"/>
      <c r="S27" s="4"/>
      <c r="T27" s="4"/>
      <c r="U27" s="4"/>
      <c r="V27" s="4"/>
    </row>
    <row r="28" spans="1:22" x14ac:dyDescent="0.3">
      <c r="A28" s="4"/>
      <c r="B28" s="4"/>
      <c r="C28" s="4"/>
      <c r="D28" s="4"/>
      <c r="E28" s="4"/>
      <c r="F28" s="4"/>
      <c r="G28" s="4"/>
      <c r="H28" s="4"/>
      <c r="I28" s="4"/>
      <c r="J28" s="4"/>
      <c r="K28" s="4"/>
      <c r="L28" s="4"/>
      <c r="M28" s="4"/>
      <c r="N28" s="4"/>
      <c r="O28" s="4"/>
      <c r="P28" s="4"/>
      <c r="Q28" s="4"/>
      <c r="R28" s="4"/>
      <c r="S28" s="4"/>
      <c r="T28" s="4"/>
      <c r="U28" s="4"/>
      <c r="V28" s="4"/>
    </row>
    <row r="29" spans="1:22" x14ac:dyDescent="0.3">
      <c r="A29" s="4"/>
      <c r="B29" s="4"/>
      <c r="C29" s="4"/>
      <c r="D29" s="4"/>
      <c r="E29" s="4"/>
      <c r="F29" s="4"/>
      <c r="G29" s="4"/>
      <c r="H29" s="4"/>
      <c r="I29" s="4"/>
      <c r="J29" s="4"/>
      <c r="K29" s="4"/>
      <c r="L29" s="4"/>
      <c r="M29" s="4"/>
      <c r="N29" s="4"/>
      <c r="O29" s="4"/>
      <c r="P29" s="4"/>
      <c r="Q29" s="4"/>
      <c r="R29" s="4"/>
      <c r="S29" s="4"/>
      <c r="T29" s="2" t="s">
        <v>1122</v>
      </c>
      <c r="U29" t="s">
        <v>1112</v>
      </c>
      <c r="V29" s="4"/>
    </row>
    <row r="30" spans="1:22" x14ac:dyDescent="0.3">
      <c r="A30" s="4"/>
      <c r="B30" s="4"/>
      <c r="C30" s="4"/>
      <c r="D30" s="4"/>
      <c r="E30" s="4"/>
      <c r="F30" s="4"/>
      <c r="G30" s="4"/>
      <c r="H30" s="4"/>
      <c r="I30" s="4"/>
      <c r="J30" s="4"/>
      <c r="K30" s="4"/>
      <c r="L30" s="4"/>
      <c r="M30" s="4"/>
      <c r="N30" s="4"/>
      <c r="O30" s="4"/>
      <c r="P30" s="4"/>
      <c r="Q30" s="4"/>
      <c r="R30" s="4"/>
      <c r="S30" s="4"/>
      <c r="T30" s="3" t="s">
        <v>1123</v>
      </c>
      <c r="U30">
        <v>2.9763313609467454</v>
      </c>
      <c r="V30" s="4"/>
    </row>
    <row r="31" spans="1:22" x14ac:dyDescent="0.3">
      <c r="A31" s="4"/>
      <c r="B31" s="4"/>
      <c r="C31" s="4"/>
      <c r="D31" s="4"/>
      <c r="E31" s="4"/>
      <c r="F31" s="4"/>
      <c r="G31" s="4"/>
      <c r="H31" s="4"/>
      <c r="I31" s="4"/>
      <c r="J31" s="4"/>
      <c r="K31" s="4"/>
      <c r="L31" s="4"/>
      <c r="M31" s="2" t="s">
        <v>1122</v>
      </c>
      <c r="N31" t="s">
        <v>1111</v>
      </c>
      <c r="O31" s="4"/>
      <c r="P31" s="4"/>
      <c r="Q31" s="4"/>
      <c r="R31" s="4"/>
      <c r="S31" s="4"/>
      <c r="T31" s="3" t="s">
        <v>1068</v>
      </c>
      <c r="U31">
        <v>3.1191780821917807</v>
      </c>
      <c r="V31" s="4"/>
    </row>
    <row r="32" spans="1:22" x14ac:dyDescent="0.3">
      <c r="A32" s="4"/>
      <c r="B32" s="4"/>
      <c r="C32" s="4"/>
      <c r="D32" s="4"/>
      <c r="E32" s="4"/>
      <c r="F32" s="4"/>
      <c r="G32" s="4"/>
      <c r="H32" s="4"/>
      <c r="I32" s="4"/>
      <c r="J32" s="4"/>
      <c r="K32" s="4"/>
      <c r="L32" s="4"/>
      <c r="M32" s="3" t="s">
        <v>42</v>
      </c>
      <c r="N32">
        <v>12457136.549999999</v>
      </c>
      <c r="O32" s="4"/>
      <c r="P32" s="4"/>
      <c r="Q32" s="4"/>
      <c r="R32" s="4"/>
      <c r="S32" s="4"/>
      <c r="T32" s="3" t="s">
        <v>1049</v>
      </c>
      <c r="U32">
        <v>3.0134502923976605</v>
      </c>
      <c r="V32" s="4"/>
    </row>
    <row r="33" spans="1:22" x14ac:dyDescent="0.3">
      <c r="A33" s="4"/>
      <c r="B33" s="4"/>
      <c r="C33" s="4"/>
      <c r="D33" s="4"/>
      <c r="E33" s="4"/>
      <c r="F33" s="4"/>
      <c r="G33" s="4"/>
      <c r="H33" s="4"/>
      <c r="I33" s="4"/>
      <c r="J33" s="4"/>
      <c r="K33" s="4"/>
      <c r="L33" s="4"/>
      <c r="M33" s="3" t="s">
        <v>1068</v>
      </c>
      <c r="N33">
        <v>11155785.989999998</v>
      </c>
      <c r="O33" s="4"/>
      <c r="P33" s="4"/>
      <c r="Q33" s="4"/>
      <c r="R33" s="4"/>
      <c r="S33" s="4"/>
      <c r="T33" s="3" t="s">
        <v>1071</v>
      </c>
      <c r="U33">
        <v>2.9433734939759053</v>
      </c>
      <c r="V33" s="4"/>
    </row>
    <row r="34" spans="1:22" x14ac:dyDescent="0.3">
      <c r="A34" s="4"/>
      <c r="B34" s="4"/>
      <c r="C34" s="4"/>
      <c r="D34" s="4"/>
      <c r="E34" s="4"/>
      <c r="F34" s="4"/>
      <c r="G34" s="4"/>
      <c r="H34" s="4"/>
      <c r="I34" s="4"/>
      <c r="J34" s="4"/>
      <c r="K34" s="4"/>
      <c r="L34" s="4"/>
      <c r="M34" s="3" t="s">
        <v>1049</v>
      </c>
      <c r="N34">
        <v>12142559.040000003</v>
      </c>
      <c r="O34" s="4"/>
      <c r="P34" s="4"/>
      <c r="Q34" s="4"/>
      <c r="R34" s="4"/>
      <c r="S34" s="4"/>
      <c r="T34" s="3" t="s">
        <v>16</v>
      </c>
      <c r="U34">
        <v>3.0715909090909106</v>
      </c>
      <c r="V34" s="4"/>
    </row>
    <row r="35" spans="1:22" x14ac:dyDescent="0.3">
      <c r="A35" s="4"/>
      <c r="B35" s="4"/>
      <c r="C35" s="4"/>
      <c r="D35" s="4"/>
      <c r="E35" s="4"/>
      <c r="F35" s="4"/>
      <c r="G35" s="4"/>
      <c r="H35" s="4"/>
      <c r="I35" s="4"/>
      <c r="J35" s="4"/>
      <c r="K35" s="4"/>
      <c r="L35" s="4"/>
      <c r="M35" s="3" t="s">
        <v>1071</v>
      </c>
      <c r="N35">
        <v>13219947.52</v>
      </c>
      <c r="O35" s="4"/>
      <c r="P35" s="4"/>
      <c r="Q35" s="4"/>
      <c r="R35" s="4"/>
      <c r="S35" s="4"/>
      <c r="T35" s="3" t="s">
        <v>1059</v>
      </c>
      <c r="U35">
        <v>2.9546511627906971</v>
      </c>
      <c r="V35" s="4"/>
    </row>
    <row r="36" spans="1:22" x14ac:dyDescent="0.3">
      <c r="A36" s="4"/>
      <c r="B36" s="4"/>
      <c r="C36" s="4"/>
      <c r="D36" s="4"/>
      <c r="E36" s="4"/>
      <c r="F36" s="4"/>
      <c r="G36" s="4"/>
      <c r="H36" s="4"/>
      <c r="I36" s="4"/>
      <c r="J36" s="4"/>
      <c r="K36" s="4"/>
      <c r="L36" s="4"/>
      <c r="M36" s="3" t="s">
        <v>16</v>
      </c>
      <c r="N36">
        <v>12790919.48</v>
      </c>
      <c r="O36" s="4"/>
      <c r="P36" s="4"/>
      <c r="Q36" s="4"/>
      <c r="R36" s="4"/>
      <c r="S36" s="4"/>
      <c r="T36" s="3" t="s">
        <v>1096</v>
      </c>
      <c r="U36">
        <v>3.0111000000000008</v>
      </c>
      <c r="V36" s="4"/>
    </row>
    <row r="37" spans="1:22" x14ac:dyDescent="0.3">
      <c r="A37" s="4"/>
      <c r="B37" s="4"/>
      <c r="C37" s="4"/>
      <c r="D37" s="4"/>
      <c r="E37" s="4"/>
      <c r="F37" s="4"/>
      <c r="G37" s="4"/>
      <c r="H37" s="4"/>
      <c r="I37" s="4"/>
      <c r="J37" s="4"/>
      <c r="K37" s="4"/>
      <c r="L37" s="4"/>
      <c r="M37" s="3" t="s">
        <v>1059</v>
      </c>
      <c r="N37">
        <v>13446764.160000002</v>
      </c>
      <c r="O37" s="4"/>
      <c r="P37" s="4"/>
      <c r="Q37" s="4"/>
      <c r="R37" s="4"/>
      <c r="S37" s="4"/>
      <c r="T37" s="4"/>
      <c r="U37" s="4"/>
      <c r="V37" s="4"/>
    </row>
    <row r="38" spans="1:22" x14ac:dyDescent="0.3">
      <c r="A38" s="4"/>
      <c r="B38" s="4"/>
      <c r="C38" s="4"/>
      <c r="D38" s="4"/>
      <c r="E38" s="4"/>
      <c r="F38" s="4"/>
      <c r="G38" s="4"/>
      <c r="H38" s="4"/>
      <c r="I38" s="4"/>
      <c r="J38" s="4"/>
      <c r="K38" s="4"/>
      <c r="L38" s="4"/>
      <c r="M38" s="3" t="s">
        <v>1096</v>
      </c>
      <c r="N38">
        <v>75213112.739999995</v>
      </c>
      <c r="O38" s="4"/>
      <c r="P38" s="4"/>
      <c r="Q38" s="4"/>
      <c r="R38" s="4"/>
      <c r="S38" s="4"/>
      <c r="T38" s="4"/>
      <c r="U38" s="4"/>
      <c r="V38" s="4"/>
    </row>
    <row r="39" spans="1:22" x14ac:dyDescent="0.3">
      <c r="A39" s="4"/>
      <c r="B39" s="4"/>
      <c r="C39" s="4"/>
      <c r="D39" s="4"/>
      <c r="E39" s="4"/>
      <c r="F39" s="4"/>
      <c r="G39" s="4"/>
      <c r="H39" s="4"/>
      <c r="I39" s="4"/>
      <c r="J39" s="4"/>
      <c r="K39" s="4"/>
      <c r="L39" s="4"/>
      <c r="M39" s="4"/>
      <c r="N39" s="4"/>
      <c r="O39" s="4"/>
      <c r="P39" s="4"/>
      <c r="Q39" s="4"/>
      <c r="R39" s="4"/>
      <c r="S39" s="4"/>
      <c r="T39" s="4"/>
      <c r="U39" s="4"/>
      <c r="V39" s="4"/>
    </row>
    <row r="40" spans="1:22" x14ac:dyDescent="0.3">
      <c r="A40" s="4"/>
      <c r="B40" s="4"/>
      <c r="C40" s="4"/>
      <c r="D40" s="4"/>
      <c r="E40" s="4"/>
      <c r="F40" s="4"/>
      <c r="G40" s="4"/>
      <c r="H40" s="4"/>
      <c r="I40" s="4"/>
      <c r="J40" s="4"/>
      <c r="K40" s="4"/>
      <c r="L40" s="4"/>
      <c r="M40" s="4"/>
      <c r="N40" s="4"/>
      <c r="O40" s="4"/>
      <c r="P40" s="4"/>
      <c r="Q40" s="4"/>
      <c r="R40" s="4"/>
      <c r="S40" s="4"/>
      <c r="T40" s="4"/>
      <c r="U40" s="4"/>
      <c r="V40" s="4"/>
    </row>
    <row r="41" spans="1:22" x14ac:dyDescent="0.3">
      <c r="A41" s="4"/>
      <c r="B41" s="4"/>
      <c r="C41" s="4"/>
      <c r="D41" s="4"/>
      <c r="E41" s="4"/>
      <c r="F41" s="4"/>
      <c r="G41" s="4"/>
      <c r="H41" s="4"/>
      <c r="I41" s="4"/>
      <c r="J41" s="4"/>
      <c r="K41" s="4"/>
      <c r="L41" s="4"/>
      <c r="M41" s="4"/>
      <c r="N41" s="4"/>
      <c r="O41" s="4"/>
      <c r="P41" s="4"/>
      <c r="Q41" s="4"/>
      <c r="R41" s="4"/>
      <c r="S41" s="4"/>
      <c r="T41" s="4"/>
      <c r="U41" s="4"/>
      <c r="V41" s="4"/>
    </row>
    <row r="42" spans="1:22" x14ac:dyDescent="0.3">
      <c r="A42" s="4"/>
      <c r="B42" s="4"/>
      <c r="C42" s="4"/>
      <c r="D42" s="4"/>
      <c r="E42" s="4"/>
      <c r="F42" s="4"/>
      <c r="G42" s="4"/>
      <c r="H42" s="4"/>
      <c r="I42" s="4"/>
      <c r="J42" s="4"/>
      <c r="K42" s="4"/>
      <c r="L42" s="4"/>
      <c r="M42" s="4"/>
      <c r="N42" s="4"/>
      <c r="O42" s="4"/>
      <c r="P42" s="4"/>
      <c r="Q42" s="4"/>
      <c r="R42" s="4"/>
      <c r="S42" s="4"/>
      <c r="T42" s="4"/>
      <c r="U42" s="4"/>
      <c r="V42" s="4"/>
    </row>
    <row r="43" spans="1:22" x14ac:dyDescent="0.3">
      <c r="A43" s="4"/>
      <c r="B43" s="4"/>
      <c r="C43" s="4"/>
      <c r="D43" s="4"/>
      <c r="E43" s="4"/>
      <c r="F43" s="4"/>
      <c r="G43" s="4"/>
      <c r="H43" s="4"/>
      <c r="I43" s="4"/>
      <c r="J43" s="4"/>
      <c r="K43" s="4"/>
      <c r="L43" s="4"/>
      <c r="M43" s="4"/>
      <c r="N43" s="4"/>
      <c r="O43" s="4"/>
      <c r="P43" s="4"/>
      <c r="Q43" s="4"/>
      <c r="R43" s="4"/>
      <c r="S43" s="4"/>
      <c r="T43" s="4"/>
      <c r="U43" s="4"/>
      <c r="V43" s="4"/>
    </row>
    <row r="44" spans="1:22" x14ac:dyDescent="0.3">
      <c r="A44" s="4"/>
      <c r="B44" s="4"/>
      <c r="C44" s="4"/>
      <c r="D44" s="4"/>
      <c r="E44" s="4"/>
      <c r="F44" s="4"/>
      <c r="G44" s="4"/>
      <c r="H44" s="4"/>
      <c r="I44" s="4"/>
      <c r="J44" s="4"/>
      <c r="K44" s="4"/>
      <c r="L44" s="4"/>
      <c r="M44" s="4"/>
      <c r="N44" s="4"/>
      <c r="O44" s="4"/>
      <c r="P44" s="4"/>
      <c r="Q44" s="4"/>
      <c r="R44" s="4"/>
      <c r="S44" s="4"/>
      <c r="T44" s="4"/>
      <c r="U44" s="4"/>
      <c r="V44" s="4"/>
    </row>
    <row r="45" spans="1:22" x14ac:dyDescent="0.3">
      <c r="A45" s="4"/>
      <c r="B45" s="4"/>
      <c r="C45" s="4"/>
      <c r="D45" s="4"/>
      <c r="E45" s="4"/>
      <c r="F45" s="4"/>
      <c r="G45" s="4"/>
      <c r="H45" s="4"/>
      <c r="I45" s="4"/>
      <c r="J45" s="4"/>
      <c r="K45" s="4"/>
      <c r="L45" s="4"/>
      <c r="M45" s="4"/>
      <c r="N45" s="4"/>
      <c r="O45" s="4"/>
      <c r="P45" s="4"/>
      <c r="Q45" s="4"/>
      <c r="R45" s="4"/>
      <c r="S45" s="4"/>
      <c r="T45" s="4"/>
      <c r="U45" s="4"/>
      <c r="V45" s="4"/>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344503-DD92-4D22-9479-490C168431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flipkart_sales</vt:lpstr>
      <vt:lpstr>Table1</vt:lpstr>
      <vt:lpstr>Sheet1</vt:lpstr>
      <vt:lpstr>REPORT 1</vt:lpstr>
      <vt:lpstr>REPORT 2</vt:lpstr>
      <vt:lpstr>REPORT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NANDANA C K</cp:lastModifiedBy>
  <dcterms:created xsi:type="dcterms:W3CDTF">2026-07-22T04:38:17Z</dcterms:created>
  <dcterms:modified xsi:type="dcterms:W3CDTF">2026-09-23T03:55:59Z</dcterms:modified>
</cp:coreProperties>
</file>