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1671E1BB-4A34-4F6D-8881-094E21FA1B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1" sheetId="2" r:id="rId1"/>
    <sheet name="SalesData" sheetId="1" r:id="rId2"/>
  </sheets>
  <definedNames>
    <definedName name="ExternalData_1" localSheetId="0" hidden="1">Table1!$A$1:$P$101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1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2" i="2"/>
  <c r="L32" i="2"/>
  <c r="L33" i="2"/>
  <c r="L34" i="2"/>
  <c r="L35" i="2"/>
  <c r="L36" i="2"/>
  <c r="L54" i="2"/>
  <c r="L56" i="2"/>
  <c r="L57" i="2"/>
  <c r="L58" i="2"/>
  <c r="L59" i="2"/>
  <c r="L60" i="2"/>
  <c r="L66" i="2"/>
  <c r="L68" i="2"/>
  <c r="L70" i="2"/>
  <c r="L78" i="2"/>
  <c r="L80" i="2"/>
  <c r="L90" i="2"/>
  <c r="L91" i="2"/>
  <c r="L92" i="2"/>
  <c r="L93" i="2"/>
  <c r="L94" i="2"/>
  <c r="L95" i="2"/>
  <c r="J54" i="2"/>
  <c r="J55" i="2"/>
  <c r="L55" i="2" s="1"/>
  <c r="J56" i="2"/>
  <c r="J57" i="2"/>
  <c r="J58" i="2"/>
  <c r="J59" i="2"/>
  <c r="J60" i="2"/>
  <c r="J61" i="2"/>
  <c r="L61" i="2" s="1"/>
  <c r="J62" i="2"/>
  <c r="L62" i="2" s="1"/>
  <c r="J63" i="2"/>
  <c r="L63" i="2" s="1"/>
  <c r="J64" i="2"/>
  <c r="L64" i="2" s="1"/>
  <c r="J65" i="2"/>
  <c r="L65" i="2" s="1"/>
  <c r="J66" i="2"/>
  <c r="J67" i="2"/>
  <c r="L67" i="2" s="1"/>
  <c r="J68" i="2"/>
  <c r="J69" i="2"/>
  <c r="L69" i="2" s="1"/>
  <c r="J70" i="2"/>
  <c r="J71" i="2"/>
  <c r="L71" i="2" s="1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J79" i="2"/>
  <c r="L79" i="2" s="1"/>
  <c r="J80" i="2"/>
  <c r="J81" i="2"/>
  <c r="L81" i="2" s="1"/>
  <c r="J82" i="2"/>
  <c r="L82" i="2" s="1"/>
  <c r="J83" i="2"/>
  <c r="J84" i="2"/>
  <c r="J85" i="2"/>
  <c r="L85" i="2" s="1"/>
  <c r="J86" i="2"/>
  <c r="L86" i="2" s="1"/>
  <c r="J87" i="2"/>
  <c r="L87" i="2" s="1"/>
  <c r="J88" i="2"/>
  <c r="L88" i="2" s="1"/>
  <c r="J89" i="2"/>
  <c r="L89" i="2" s="1"/>
  <c r="J90" i="2"/>
  <c r="J91" i="2"/>
  <c r="J92" i="2"/>
  <c r="J93" i="2"/>
  <c r="J94" i="2"/>
  <c r="J95" i="2"/>
  <c r="J96" i="2"/>
  <c r="L96" i="2" s="1"/>
  <c r="J97" i="2"/>
  <c r="L97" i="2" s="1"/>
  <c r="J98" i="2"/>
  <c r="L98" i="2" s="1"/>
  <c r="J99" i="2"/>
  <c r="L99" i="2" s="1"/>
  <c r="J100" i="2"/>
  <c r="L100" i="2" s="1"/>
  <c r="J101" i="2"/>
  <c r="L101" i="2" s="1"/>
  <c r="J31" i="2"/>
  <c r="L31" i="2" s="1"/>
  <c r="J32" i="2"/>
  <c r="J33" i="2"/>
  <c r="J34" i="2"/>
  <c r="J35" i="2"/>
  <c r="J36" i="2"/>
  <c r="J37" i="2"/>
  <c r="L37" i="2" s="1"/>
  <c r="J38" i="2"/>
  <c r="L38" i="2" s="1"/>
  <c r="J39" i="2"/>
  <c r="L39" i="2" s="1"/>
  <c r="J40" i="2"/>
  <c r="L40" i="2" s="1"/>
  <c r="J41" i="2"/>
  <c r="L41" i="2" s="1"/>
  <c r="J42" i="2"/>
  <c r="J43" i="2"/>
  <c r="L43" i="2" s="1"/>
  <c r="J44" i="2"/>
  <c r="L44" i="2" s="1"/>
  <c r="J45" i="2"/>
  <c r="L45" i="2" s="1"/>
  <c r="J46" i="2"/>
  <c r="L46" i="2" s="1"/>
  <c r="J47" i="2"/>
  <c r="L47" i="2" s="1"/>
  <c r="J48" i="2"/>
  <c r="J49" i="2"/>
  <c r="L49" i="2" s="1"/>
  <c r="J50" i="2"/>
  <c r="L50" i="2" s="1"/>
  <c r="J51" i="2"/>
  <c r="L51" i="2" s="1"/>
  <c r="J52" i="2"/>
  <c r="L52" i="2" s="1"/>
  <c r="J53" i="2"/>
  <c r="L53" i="2" s="1"/>
  <c r="J15" i="2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14" i="2"/>
  <c r="L14" i="2" s="1"/>
  <c r="J13" i="2"/>
  <c r="L13" i="2" s="1"/>
  <c r="J12" i="2"/>
  <c r="J11" i="2"/>
  <c r="J10" i="2"/>
  <c r="L10" i="2" s="1"/>
  <c r="J9" i="2"/>
  <c r="L9" i="2" s="1"/>
  <c r="J8" i="2"/>
  <c r="L8" i="2" s="1"/>
  <c r="J7" i="2"/>
  <c r="J6" i="2"/>
  <c r="L6" i="2" s="1"/>
  <c r="J5" i="2"/>
  <c r="L5" i="2" s="1"/>
  <c r="J4" i="2"/>
  <c r="L4" i="2" s="1"/>
  <c r="J3" i="2"/>
  <c r="L3" i="2" s="1"/>
  <c r="J2" i="2"/>
  <c r="L2" i="2" s="1"/>
  <c r="L42" i="2" l="1"/>
  <c r="L76" i="2"/>
  <c r="L48" i="2"/>
  <c r="L15" i="2"/>
  <c r="L84" i="2"/>
  <c r="L12" i="2"/>
  <c r="L83" i="2"/>
  <c r="L11" i="2"/>
  <c r="L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166D0-A1A4-439B-89C8-1930B64DBB2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<sst xmlns="http://schemas.openxmlformats.org/spreadsheetml/2006/main" count="1614" uniqueCount="281">
  <si>
    <t>Order ID</t>
  </si>
  <si>
    <t>Order Date</t>
  </si>
  <si>
    <t>Customer Name</t>
  </si>
  <si>
    <t>City</t>
  </si>
  <si>
    <t>Department</t>
  </si>
  <si>
    <t>Product</t>
  </si>
  <si>
    <t>Salesperson</t>
  </si>
  <si>
    <t>Quantity</t>
  </si>
  <si>
    <t>Unit Price</t>
  </si>
  <si>
    <t>Discount %</t>
  </si>
  <si>
    <t xml:space="preserve">Status </t>
  </si>
  <si>
    <t>Payment Method</t>
  </si>
  <si>
    <t>Remarks</t>
  </si>
  <si>
    <t>Customer 1</t>
  </si>
  <si>
    <t>Kannur</t>
  </si>
  <si>
    <t>Office Supplies</t>
  </si>
  <si>
    <t>Notebook</t>
  </si>
  <si>
    <t>Aisha</t>
  </si>
  <si>
    <t xml:space="preserve"> pending</t>
  </si>
  <si>
    <t>UPI</t>
  </si>
  <si>
    <t xml:space="preserve">repeat customer </t>
  </si>
  <si>
    <t>Customer 2</t>
  </si>
  <si>
    <t xml:space="preserve">Pending </t>
  </si>
  <si>
    <t>Customer 3</t>
  </si>
  <si>
    <t xml:space="preserve">CALICUT </t>
  </si>
  <si>
    <t>Furniture</t>
  </si>
  <si>
    <t>Chair</t>
  </si>
  <si>
    <t>Neha</t>
  </si>
  <si>
    <t>completed</t>
  </si>
  <si>
    <t>Card</t>
  </si>
  <si>
    <t>Customer 4</t>
  </si>
  <si>
    <t>thrissur</t>
  </si>
  <si>
    <t>Desk</t>
  </si>
  <si>
    <t>Cash</t>
  </si>
  <si>
    <t>Customer 5</t>
  </si>
  <si>
    <t xml:space="preserve"> Trivandrum</t>
  </si>
  <si>
    <t>Electronics</t>
  </si>
  <si>
    <t>Keyboard</t>
  </si>
  <si>
    <t>Customer 6</t>
  </si>
  <si>
    <t>Mouse</t>
  </si>
  <si>
    <t>Arun</t>
  </si>
  <si>
    <t xml:space="preserve"> urgent</t>
  </si>
  <si>
    <t>Customer 7</t>
  </si>
  <si>
    <t xml:space="preserve"> kochi</t>
  </si>
  <si>
    <t>Customer 8</t>
  </si>
  <si>
    <t>Pen Set</t>
  </si>
  <si>
    <t>Rahul</t>
  </si>
  <si>
    <t>Customer 9</t>
  </si>
  <si>
    <t xml:space="preserve"> new lead</t>
  </si>
  <si>
    <t>Customer 10</t>
  </si>
  <si>
    <t>Customer 11</t>
  </si>
  <si>
    <t>Customer 12</t>
  </si>
  <si>
    <t>Customer 13</t>
  </si>
  <si>
    <t>Customer 14</t>
  </si>
  <si>
    <t>Laptop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</si>
  <si>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</si>
  <si>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</si>
  <si>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</si>
  <si>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</si>
  <si>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</si>
  <si>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</si>
  <si>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</si>
  <si>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</si>
  <si>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</si>
  <si>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</si>
  <si>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</si>
  <si>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</si>
  <si>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</si>
  <si>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</si>
  <si>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</si>
  <si>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</si>
  <si>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</si>
  <si>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</si>
  <si>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</si>
  <si>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</si>
  <si>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</si>
  <si>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</si>
  <si>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</si>
  <si>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</si>
  <si>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</si>
  <si>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</si>
  <si>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</si>
  <si>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</si>
  <si>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</si>
  <si>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</si>
  <si>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</si>
  <si>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</si>
  <si>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</si>
  <si>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</si>
  <si>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</si>
  <si>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</si>
  <si>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</si>
  <si>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</si>
  <si>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</si>
  <si>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</si>
  <si>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</si>
  <si>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</si>
  <si>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</si>
  <si>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</si>
  <si>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</si>
  <si>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</si>
  <si>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</si>
  <si>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</si>
  <si>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</si>
  <si>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</si>
  <si>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</si>
  <si>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</si>
  <si>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</si>
  <si>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</si>
  <si>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</si>
  <si>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</si>
  <si>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</si>
  <si>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</si>
  <si>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</si>
  <si>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</si>
  <si>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</si>
  <si>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</si>
  <si>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</si>
  <si>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</si>
  <si>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</si>
  <si>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</si>
  <si>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</si>
  <si>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</si>
  <si>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</si>
  <si>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</si>
  <si>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</si>
  <si>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</si>
  <si>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</si>
  <si>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</si>
  <si>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</si>
  <si>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</si>
  <si>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</si>
  <si>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</si>
  <si>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</si>
  <si>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</si>
  <si>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</si>
  <si>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</si>
  <si>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</si>
  <si>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</si>
  <si>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</si>
  <si>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</si>
  <si>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</t>
  </si>
  <si>
    <t>KANNUR</t>
  </si>
  <si>
    <t>OFFICE SUPPLIES</t>
  </si>
  <si>
    <t>NOTEBOOK</t>
  </si>
  <si>
    <t>AISHA</t>
  </si>
  <si>
    <t>PENDING</t>
  </si>
  <si>
    <t>REPEAT CUSTOMER</t>
  </si>
  <si>
    <t>CUSTOMER 2</t>
  </si>
  <si>
    <t>CUSTOMER 3</t>
  </si>
  <si>
    <t>CALICUT</t>
  </si>
  <si>
    <t>FURNITURE</t>
  </si>
  <si>
    <t>CHAIR</t>
  </si>
  <si>
    <t>NEHA</t>
  </si>
  <si>
    <t>COMPLETED</t>
  </si>
  <si>
    <t>CARD</t>
  </si>
  <si>
    <t>CUSTOMER 4</t>
  </si>
  <si>
    <t>THRISSUR</t>
  </si>
  <si>
    <t>DESK</t>
  </si>
  <si>
    <t>CASH</t>
  </si>
  <si>
    <t>CUSTOMER 5</t>
  </si>
  <si>
    <t>TRIVANDRUM</t>
  </si>
  <si>
    <t>ELECTRONICS</t>
  </si>
  <si>
    <t>KEYBOARD</t>
  </si>
  <si>
    <t>CUSTOMER 6</t>
  </si>
  <si>
    <t>MOUSE</t>
  </si>
  <si>
    <t>ARUN</t>
  </si>
  <si>
    <t>URGENT</t>
  </si>
  <si>
    <t>CUSTOMER 7</t>
  </si>
  <si>
    <t>KOCHI</t>
  </si>
  <si>
    <t>CUSTOMER 8</t>
  </si>
  <si>
    <t>PEN SET</t>
  </si>
  <si>
    <t>RAHUL</t>
  </si>
  <si>
    <t>CUSTOMER 9</t>
  </si>
  <si>
    <t>NEW LEAD</t>
  </si>
  <si>
    <t>CUSTOMER 10</t>
  </si>
  <si>
    <t>CUSTOMER 11</t>
  </si>
  <si>
    <t>CUSTOMER 12</t>
  </si>
  <si>
    <t>CUSTOMER 13</t>
  </si>
  <si>
    <t>CUSTOMER 14</t>
  </si>
  <si>
    <t>LAPTOP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</si>
  <si>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</si>
  <si>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</si>
  <si>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</si>
  <si>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</si>
  <si>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</si>
  <si>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</si>
  <si>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</si>
  <si>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</si>
  <si>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</si>
  <si>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</si>
  <si>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</si>
  <si>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</si>
  <si>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</si>
  <si>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</si>
  <si>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</si>
  <si>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</si>
  <si>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</si>
  <si>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</si>
  <si>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</si>
  <si>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</si>
  <si>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</si>
  <si>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</si>
  <si>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</si>
  <si>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</si>
  <si>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</si>
  <si>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</si>
  <si>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</si>
  <si>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</si>
  <si>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</si>
  <si>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</si>
  <si>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</si>
  <si>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</si>
  <si>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</si>
  <si>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</si>
  <si>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</si>
  <si>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</si>
  <si>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</si>
  <si>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</si>
  <si>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</si>
  <si>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</si>
  <si>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</si>
  <si>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</si>
  <si>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</si>
  <si>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</si>
  <si>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</si>
  <si>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</si>
  <si>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</si>
  <si>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</si>
  <si>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</si>
  <si>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</si>
  <si>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</si>
  <si>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</si>
  <si>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</si>
  <si>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</si>
  <si>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</si>
  <si>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</si>
  <si>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</si>
  <si>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</si>
  <si>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</si>
  <si>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</si>
  <si>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</si>
  <si>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</si>
  <si>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</si>
  <si>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</si>
  <si>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</si>
  <si>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</si>
  <si>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</si>
  <si>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</si>
  <si>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</si>
  <si>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</si>
  <si>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</si>
  <si>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</si>
  <si>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</si>
  <si>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</si>
  <si>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</si>
  <si>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</si>
  <si>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</si>
  <si>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</si>
  <si>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</si>
  <si>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</si>
  <si>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</si>
  <si>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</si>
  <si>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</si>
  <si>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</si>
  <si>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</si>
  <si>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</si>
  <si>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NO REMARKS</t>
  </si>
  <si>
    <t>TOTAL SALES</t>
  </si>
  <si>
    <t>Column1</t>
  </si>
  <si>
    <t>Total Sales</t>
  </si>
  <si>
    <t>discount</t>
  </si>
  <si>
    <t>Discount amount</t>
  </si>
  <si>
    <t xml:space="preserve"> after discount amount </t>
  </si>
  <si>
    <t>KPI</t>
  </si>
  <si>
    <t>Total sales</t>
  </si>
  <si>
    <t>Total orders</t>
  </si>
  <si>
    <t>Total quantity sold</t>
  </si>
  <si>
    <t>Total Discount given</t>
  </si>
  <si>
    <t>most used payment method</t>
  </si>
  <si>
    <t>pending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</si>
</sst>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9DC665-DC21-47CE-9429-E84425B93103}" autoFormatId="16" applyNumberFormats="0" applyBorderFormats="0" applyFontFormats="0" applyPatternFormats="0" applyAlignmentFormats="0" applyWidthHeightFormats="0">
  <queryTableRefresh nextId="18">
    <queryTableFields count="16">
      <queryTableField id="1" name="Order ID" tableColumnId="1"/>
      <queryTableField id="2" name="Order Date" tableColumnId="2"/>
      <queryTableField id="3" name="Customer Name" tableColumnId="3"/>
      <queryTableField id="4" name="City" tableColumnId="4"/>
      <queryTableField id="5" name="Department" tableColumnId="5"/>
      <queryTableField id="6" name="Product" tableColumnId="6"/>
      <queryTableField id="7" name="Salesperson" tableColumnId="7"/>
      <queryTableField id="8" name="Quantity" tableColumnId="8"/>
      <queryTableField id="9" name="Unit Price" tableColumnId="9"/>
      <queryTableField id="15" dataBound="0" tableColumnId="15"/>
      <queryTableField id="10" name="Discount %" tableColumnId="10"/>
      <queryTableField id="16" dataBound="0" tableColumnId="19"/>
      <queryTableField id="17" dataBound="0" tableColumnId="20"/>
      <queryTableField id="11" name="Status " tableColumnId="11"/>
      <queryTableField id="12" name="Payment Method" tableColumnId="12"/>
      <queryTableField id="13" name="Remark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BE990-3637-455F-823F-B4B2FC75213C}" name="Table1_1" displayName="Table1_1" ref="A1:P101" tableType="queryTable" totalsRowShown="0">
  <autoFilter ref="A1:P101" xr:uid="{450BE990-3637-455F-823F-B4B2FC75213C}"/>
  <tableColumns count="16">
    <tableColumn id="1" xr3:uid="{359DB840-EF30-4A85-89E2-328054439D01}" uniqueName="1" name="Order ID" queryTableFieldId="1"/>
    <tableColumn id="2" xr3:uid="{50007E7A-0DE6-4E35-AAD4-47DFEB913CBE}" uniqueName="2" name="Order Date" queryTableFieldId="2" dataDxfId="8"/>
    <tableColumn id="3" xr3:uid="{066009E2-E167-40F9-8FB2-F9769A7CD7A9}" uniqueName="3" name="Customer Name" queryTableFieldId="3" dataDxfId="7"/>
    <tableColumn id="4" xr3:uid="{3617C064-B4E2-41BF-9787-9037AFE7894E}" uniqueName="4" name="City" queryTableFieldId="4" dataDxfId="6"/>
    <tableColumn id="5" xr3:uid="{A5AE89D6-7AC8-43A6-9F9F-A6998422754C}" uniqueName="5" name="Department" queryTableFieldId="5" dataDxfId="5"/>
    <tableColumn id="6" xr3:uid="{F01A39A9-DBE7-4FA5-83D0-56B5B6C3A8F7}" uniqueName="6" name="Product" queryTableFieldId="6" dataDxfId="4"/>
    <tableColumn id="7" xr3:uid="{E867210B-AC1C-40FD-80D2-02114E486DFE}" uniqueName="7" name="Salesperson" queryTableFieldId="7" dataDxfId="3"/>
    <tableColumn id="8" xr3:uid="{83ECA5CC-9265-4F7E-BCD8-98D07A5CFFF8}" uniqueName="8" name="Quantity" queryTableFieldId="8"/>
    <tableColumn id="9" xr3:uid="{2CC3E820-15EF-4267-AE3B-4D5B08CBF439}" uniqueName="9" name="Unit Price" queryTableFieldId="9"/>
    <tableColumn id="15" xr3:uid="{675D00EE-5742-4676-93E0-F896CBC84DC3}" uniqueName="15" name="Total Sales" queryTableFieldId="15">
      <calculatedColumnFormula>Table1_1[[#This Row],[Quantity]]*Table1_1[[#This Row],[Unit Price]]</calculatedColumnFormula>
    </tableColumn>
    <tableColumn id="10" xr3:uid="{3988884C-CE19-443F-A38C-A14924AB2F84}" uniqueName="10" name="Discount %" queryTableFieldId="10"/>
    <tableColumn id="19" xr3:uid="{2F0A0041-19D0-47D7-AF0C-5981CFAE56BF}" uniqueName="19" name="Discount amount" queryTableFieldId="16"/>
    <tableColumn id="20" xr3:uid="{63774E71-8672-4917-A142-FF8E3A744E26}" uniqueName="20" name="Column1" queryTableFieldId="17"/>
    <tableColumn id="11" xr3:uid="{BF1DCE3D-4262-47B8-B423-DB296815B7CD}" uniqueName="11" name="Status " queryTableFieldId="11" dataDxfId="2"/>
    <tableColumn id="12" xr3:uid="{2597D378-D437-4561-B167-BE7390C9C8FB}" uniqueName="12" name="Payment Method" queryTableFieldId="12" dataDxfId="1"/>
    <tableColumn id="13" xr3:uid="{73C246BB-27F5-48EC-B23E-7C39D2D097F1}" uniqueName="13" name="Remarks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751C5-6368-48FE-9D33-6CB012B8EE61}" name="Table1" displayName="Table1" ref="A1:M101" totalsRowShown="0">
  <autoFilter ref="A1:M101" xr:uid="{1E4751C5-6368-48FE-9D33-6CB012B8EE61}"/>
  <tableColumns count="13">
    <tableColumn id="1" xr3:uid="{94BCA937-FB54-4BCB-B1BC-B6B25E035645}" name="Order ID"/>
    <tableColumn id="2" xr3:uid="{588549BD-62C7-40DB-9363-362F5F7733FB}" name="Order Date" dataDxfId="9"/>
    <tableColumn id="3" xr3:uid="{12F456C4-A0C7-4111-A953-04DEE18FA917}" name="Customer Name"/>
    <tableColumn id="4" xr3:uid="{3C5706B9-7308-4A28-956B-B7CB77F96AE8}" name="City"/>
    <tableColumn id="5" xr3:uid="{9C49CF25-5BDC-4448-A57C-42B7901D022C}" name="Department"/>
    <tableColumn id="6" xr3:uid="{4B464C6A-ACD5-4BA7-A717-C330396B44CB}" name="Product"/>
    <tableColumn id="7" xr3:uid="{43836B2E-0546-43CA-BA5F-8E496580BB5B}" name="Salesperson"/>
    <tableColumn id="8" xr3:uid="{CC4733E2-DFE7-4ABC-86D8-95AF17E34357}" name="Quantity"/>
    <tableColumn id="9" xr3:uid="{D85A40DC-872C-4D58-B625-9CFB79713D6F}" name="Unit Price"/>
    <tableColumn id="10" xr3:uid="{42F8FCAA-F14F-4260-B464-408FCBFC8ED8}" name="Discount %"/>
    <tableColumn id="11" xr3:uid="{F50A1236-97DA-4820-B44E-1E10C4931D0A}" name="Status "/>
    <tableColumn id="12" xr3:uid="{09A9DD9C-44FA-47A4-84B0-F18001E1800F}" name="Payment Method"/>
    <tableColumn id="13" xr3:uid="{A6EC19D3-A8D2-4F10-A433-72218B6F8B17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2FF5-CD83-4968-88BB-285E546371A2}">
  <dimension ref="A1:AA101"/>
  <sheetViews>
    <sheetView tabSelected="1" topLeftCell="O1" workbookViewId="0">
      <selection activeCell="AA11" sqref="AA1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12.5546875" bestFit="1" customWidth="1"/>
    <col min="5" max="5" width="14.88671875" bestFit="1" customWidth="1"/>
    <col min="6" max="6" width="10.44140625" bestFit="1" customWidth="1"/>
    <col min="7" max="7" width="13.21875" bestFit="1" customWidth="1"/>
    <col min="8" max="8" width="10.5546875" bestFit="1" customWidth="1"/>
    <col min="9" max="9" width="11.33203125" bestFit="1" customWidth="1"/>
    <col min="10" max="10" width="11.77734375" customWidth="1"/>
    <col min="11" max="11" width="12.44140625" bestFit="1" customWidth="1"/>
    <col min="12" max="12" width="12.44140625" customWidth="1"/>
    <col min="13" max="13" width="18" customWidth="1"/>
    <col min="14" max="14" width="18.109375" bestFit="1" customWidth="1"/>
    <col min="15" max="15" width="17.33203125" bestFit="1" customWidth="1"/>
    <col min="16" max="16" width="18.44140625" customWidth="1"/>
    <col min="21" max="21" width="13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270</v>
      </c>
      <c r="K1" t="s">
        <v>9</v>
      </c>
      <c r="L1" t="s">
        <v>272</v>
      </c>
      <c r="M1" t="s">
        <v>269</v>
      </c>
      <c r="N1" t="s">
        <v>10</v>
      </c>
      <c r="O1" t="s">
        <v>11</v>
      </c>
      <c r="P1" t="s">
        <v>12</v>
      </c>
      <c r="U1">
        <v>1</v>
      </c>
      <c r="V1" t="s">
        <v>268</v>
      </c>
      <c r="AA1" t="s">
        <v>274</v>
      </c>
    </row>
    <row r="2" spans="1:27" x14ac:dyDescent="0.3">
      <c r="A2">
        <v>1002</v>
      </c>
      <c r="B2" s="2">
        <v>46137</v>
      </c>
      <c r="C2" s="3" t="s">
        <v>141</v>
      </c>
      <c r="D2" s="3" t="s">
        <v>142</v>
      </c>
      <c r="E2" s="3" t="s">
        <v>143</v>
      </c>
      <c r="F2" s="3" t="s">
        <v>144</v>
      </c>
      <c r="G2" s="3" t="s">
        <v>145</v>
      </c>
      <c r="H2">
        <v>6</v>
      </c>
      <c r="I2">
        <v>4924</v>
      </c>
      <c r="J2">
        <f>Table1_1[[#This Row],[Quantity]]*Table1_1[[#This Row],[Unit Price]]</f>
        <v>29544</v>
      </c>
      <c r="K2">
        <v>0</v>
      </c>
      <c r="L2">
        <f>Table1_1[[#This Row],[Total Sales]]*Table1_1[[#This Row],[Discount %]]/100</f>
        <v>0</v>
      </c>
      <c r="M2">
        <f>Table1_1[[#This Row],[Total Sales]]-Table1_1[[#This Row],[Discount amount]]</f>
        <v>29544</v>
      </c>
      <c r="N2" s="3" t="s">
        <v>146</v>
      </c>
      <c r="O2" s="3" t="s">
        <v>19</v>
      </c>
      <c r="P2" s="3" t="s">
        <v>147</v>
      </c>
      <c r="U2">
        <v>2</v>
      </c>
      <c r="V2" t="s">
        <v>271</v>
      </c>
      <c r="Z2">
        <v>1</v>
      </c>
      <c r="AA2" t="s">
        <v>275</v>
      </c>
    </row>
    <row r="3" spans="1:27" x14ac:dyDescent="0.3">
      <c r="A3">
        <v>1003</v>
      </c>
      <c r="B3" s="2">
        <v>46102</v>
      </c>
      <c r="C3" s="3" t="s">
        <v>148</v>
      </c>
      <c r="D3" s="3" t="s">
        <v>142</v>
      </c>
      <c r="E3" s="3" t="s">
        <v>143</v>
      </c>
      <c r="F3" s="3" t="s">
        <v>144</v>
      </c>
      <c r="G3" s="3" t="s">
        <v>145</v>
      </c>
      <c r="H3">
        <v>2</v>
      </c>
      <c r="I3">
        <v>3788</v>
      </c>
      <c r="J3">
        <f>Table1_1[[#This Row],[Quantity]]*Table1_1[[#This Row],[Unit Price]]</f>
        <v>7576</v>
      </c>
      <c r="K3">
        <v>15</v>
      </c>
      <c r="L3">
        <f>Table1_1[[#This Row],[Total Sales]]*Table1_1[[#This Row],[Discount %]]/100</f>
        <v>1136.4000000000001</v>
      </c>
      <c r="M3">
        <f>Table1_1[[#This Row],[Total Sales]]-Table1_1[[#This Row],[Discount amount]]</f>
        <v>6439.6</v>
      </c>
      <c r="N3" s="3" t="s">
        <v>146</v>
      </c>
      <c r="O3" s="3" t="s">
        <v>19</v>
      </c>
      <c r="P3" s="3" t="s">
        <v>267</v>
      </c>
      <c r="U3">
        <v>3</v>
      </c>
      <c r="V3" t="s">
        <v>273</v>
      </c>
      <c r="Z3">
        <v>2</v>
      </c>
      <c r="AA3" t="s">
        <v>276</v>
      </c>
    </row>
    <row r="4" spans="1:27" x14ac:dyDescent="0.3">
      <c r="A4">
        <v>1004</v>
      </c>
      <c r="B4" s="2">
        <v>46196</v>
      </c>
      <c r="C4" s="3" t="s">
        <v>149</v>
      </c>
      <c r="D4" s="3" t="s">
        <v>150</v>
      </c>
      <c r="E4" s="3" t="s">
        <v>151</v>
      </c>
      <c r="F4" s="3" t="s">
        <v>152</v>
      </c>
      <c r="G4" s="3" t="s">
        <v>153</v>
      </c>
      <c r="H4">
        <v>9</v>
      </c>
      <c r="I4">
        <v>636</v>
      </c>
      <c r="J4">
        <f>Table1_1[[#This Row],[Quantity]]*Table1_1[[#This Row],[Unit Price]]</f>
        <v>5724</v>
      </c>
      <c r="K4">
        <v>5</v>
      </c>
      <c r="L4">
        <f>Table1_1[[#This Row],[Total Sales]]*Table1_1[[#This Row],[Discount %]]/100</f>
        <v>286.2</v>
      </c>
      <c r="M4">
        <f>Table1_1[[#This Row],[Total Sales]]-Table1_1[[#This Row],[Discount amount]]</f>
        <v>5437.8</v>
      </c>
      <c r="N4" s="3" t="s">
        <v>154</v>
      </c>
      <c r="O4" s="3" t="s">
        <v>155</v>
      </c>
      <c r="P4" s="3" t="s">
        <v>267</v>
      </c>
      <c r="Z4">
        <v>3</v>
      </c>
      <c r="AA4" t="s">
        <v>277</v>
      </c>
    </row>
    <row r="5" spans="1:27" x14ac:dyDescent="0.3">
      <c r="A5">
        <v>1005</v>
      </c>
      <c r="B5" s="2">
        <v>46101</v>
      </c>
      <c r="C5" s="3" t="s">
        <v>156</v>
      </c>
      <c r="D5" s="3" t="s">
        <v>157</v>
      </c>
      <c r="E5" s="3" t="s">
        <v>151</v>
      </c>
      <c r="F5" s="3" t="s">
        <v>158</v>
      </c>
      <c r="G5" s="3" t="s">
        <v>153</v>
      </c>
      <c r="H5">
        <v>5</v>
      </c>
      <c r="I5">
        <v>4721</v>
      </c>
      <c r="J5">
        <f>Table1_1[[#This Row],[Quantity]]*Table1_1[[#This Row],[Unit Price]]</f>
        <v>23605</v>
      </c>
      <c r="K5">
        <v>5</v>
      </c>
      <c r="L5">
        <f>Table1_1[[#This Row],[Total Sales]]*Table1_1[[#This Row],[Discount %]]/100</f>
        <v>1180.25</v>
      </c>
      <c r="M5">
        <f>Table1_1[[#This Row],[Total Sales]]-Table1_1[[#This Row],[Discount amount]]</f>
        <v>22424.75</v>
      </c>
      <c r="N5" s="3" t="s">
        <v>154</v>
      </c>
      <c r="O5" s="3" t="s">
        <v>159</v>
      </c>
      <c r="P5" s="3" t="s">
        <v>147</v>
      </c>
      <c r="Z5">
        <v>4</v>
      </c>
      <c r="AA5" t="s">
        <v>278</v>
      </c>
    </row>
    <row r="6" spans="1:27" x14ac:dyDescent="0.3">
      <c r="A6">
        <v>1006</v>
      </c>
      <c r="B6" s="2">
        <v>46091</v>
      </c>
      <c r="C6" s="3" t="s">
        <v>160</v>
      </c>
      <c r="D6" s="3" t="s">
        <v>161</v>
      </c>
      <c r="E6" s="3" t="s">
        <v>162</v>
      </c>
      <c r="F6" s="3" t="s">
        <v>163</v>
      </c>
      <c r="G6" s="3" t="s">
        <v>145</v>
      </c>
      <c r="H6">
        <v>5</v>
      </c>
      <c r="I6">
        <v>310</v>
      </c>
      <c r="J6">
        <f>Table1_1[[#This Row],[Quantity]]*Table1_1[[#This Row],[Unit Price]]</f>
        <v>1550</v>
      </c>
      <c r="K6">
        <v>10</v>
      </c>
      <c r="L6">
        <f>Table1_1[[#This Row],[Total Sales]]*Table1_1[[#This Row],[Discount %]]/100</f>
        <v>155</v>
      </c>
      <c r="M6">
        <f>Table1_1[[#This Row],[Total Sales]]-Table1_1[[#This Row],[Discount amount]]</f>
        <v>1395</v>
      </c>
      <c r="N6" s="3" t="s">
        <v>146</v>
      </c>
      <c r="O6" s="3" t="s">
        <v>159</v>
      </c>
      <c r="P6" s="3" t="s">
        <v>147</v>
      </c>
      <c r="Z6">
        <v>5</v>
      </c>
      <c r="AA6" t="s">
        <v>279</v>
      </c>
    </row>
    <row r="7" spans="1:27" x14ac:dyDescent="0.3">
      <c r="A7">
        <v>1007</v>
      </c>
      <c r="B7" s="2">
        <v>46170</v>
      </c>
      <c r="C7" s="3" t="s">
        <v>164</v>
      </c>
      <c r="D7" s="3" t="s">
        <v>150</v>
      </c>
      <c r="E7" s="3" t="s">
        <v>162</v>
      </c>
      <c r="F7" s="3" t="s">
        <v>165</v>
      </c>
      <c r="G7" s="3" t="s">
        <v>166</v>
      </c>
      <c r="H7">
        <v>4</v>
      </c>
      <c r="I7">
        <v>1365</v>
      </c>
      <c r="J7">
        <f>Table1_1[[#This Row],[Quantity]]*Table1_1[[#This Row],[Unit Price]]</f>
        <v>5460</v>
      </c>
      <c r="K7">
        <v>5</v>
      </c>
      <c r="L7">
        <f>Table1_1[[#This Row],[Total Sales]]*Table1_1[[#This Row],[Discount %]]/100</f>
        <v>273</v>
      </c>
      <c r="M7">
        <f>Table1_1[[#This Row],[Total Sales]]-Table1_1[[#This Row],[Discount amount]]</f>
        <v>5187</v>
      </c>
      <c r="N7" s="3" t="s">
        <v>154</v>
      </c>
      <c r="O7" s="3" t="s">
        <v>155</v>
      </c>
      <c r="P7" s="3" t="s">
        <v>167</v>
      </c>
      <c r="Z7">
        <v>6</v>
      </c>
      <c r="AA7" t="s">
        <v>280</v>
      </c>
    </row>
    <row r="8" spans="1:27" x14ac:dyDescent="0.3">
      <c r="A8">
        <v>1008</v>
      </c>
      <c r="B8" s="2">
        <v>46194</v>
      </c>
      <c r="C8" s="3" t="s">
        <v>168</v>
      </c>
      <c r="D8" s="3" t="s">
        <v>169</v>
      </c>
      <c r="E8" s="3" t="s">
        <v>151</v>
      </c>
      <c r="F8" s="3" t="s">
        <v>152</v>
      </c>
      <c r="G8" s="3" t="s">
        <v>166</v>
      </c>
      <c r="H8">
        <v>4</v>
      </c>
      <c r="I8">
        <v>3367</v>
      </c>
      <c r="J8">
        <f>Table1_1[[#This Row],[Quantity]]*Table1_1[[#This Row],[Unit Price]]</f>
        <v>13468</v>
      </c>
      <c r="K8">
        <v>5</v>
      </c>
      <c r="L8">
        <f>Table1_1[[#This Row],[Total Sales]]*Table1_1[[#This Row],[Discount %]]/100</f>
        <v>673.4</v>
      </c>
      <c r="M8">
        <f>Table1_1[[#This Row],[Total Sales]]-Table1_1[[#This Row],[Discount amount]]</f>
        <v>12794.6</v>
      </c>
      <c r="N8" s="3" t="s">
        <v>146</v>
      </c>
      <c r="O8" s="3" t="s">
        <v>155</v>
      </c>
      <c r="P8" s="3" t="s">
        <v>147</v>
      </c>
    </row>
    <row r="9" spans="1:27" x14ac:dyDescent="0.3">
      <c r="A9">
        <v>1009</v>
      </c>
      <c r="B9" s="2">
        <v>46080</v>
      </c>
      <c r="C9" s="3" t="s">
        <v>170</v>
      </c>
      <c r="D9" s="3" t="s">
        <v>150</v>
      </c>
      <c r="E9" s="3" t="s">
        <v>143</v>
      </c>
      <c r="F9" s="3" t="s">
        <v>171</v>
      </c>
      <c r="G9" s="3" t="s">
        <v>172</v>
      </c>
      <c r="H9">
        <v>7</v>
      </c>
      <c r="I9">
        <v>635</v>
      </c>
      <c r="J9">
        <f>Table1_1[[#This Row],[Quantity]]*Table1_1[[#This Row],[Unit Price]]</f>
        <v>4445</v>
      </c>
      <c r="K9">
        <v>10</v>
      </c>
      <c r="L9">
        <f>Table1_1[[#This Row],[Total Sales]]*Table1_1[[#This Row],[Discount %]]/100</f>
        <v>444.5</v>
      </c>
      <c r="M9">
        <f>Table1_1[[#This Row],[Total Sales]]-Table1_1[[#This Row],[Discount amount]]</f>
        <v>4000.5</v>
      </c>
      <c r="N9" s="3" t="s">
        <v>154</v>
      </c>
      <c r="O9" s="3" t="s">
        <v>159</v>
      </c>
      <c r="P9" s="3" t="s">
        <v>147</v>
      </c>
    </row>
    <row r="10" spans="1:27" x14ac:dyDescent="0.3">
      <c r="A10">
        <v>1010</v>
      </c>
      <c r="B10" s="2">
        <v>46075</v>
      </c>
      <c r="C10" s="3" t="s">
        <v>173</v>
      </c>
      <c r="D10" s="3" t="s">
        <v>169</v>
      </c>
      <c r="E10" s="3" t="s">
        <v>143</v>
      </c>
      <c r="F10" s="3" t="s">
        <v>171</v>
      </c>
      <c r="G10" s="3" t="s">
        <v>166</v>
      </c>
      <c r="H10">
        <v>2</v>
      </c>
      <c r="I10">
        <v>931</v>
      </c>
      <c r="J10">
        <f>Table1_1[[#This Row],[Quantity]]*Table1_1[[#This Row],[Unit Price]]</f>
        <v>1862</v>
      </c>
      <c r="K10">
        <v>10</v>
      </c>
      <c r="L10">
        <f>Table1_1[[#This Row],[Total Sales]]*Table1_1[[#This Row],[Discount %]]/100</f>
        <v>186.2</v>
      </c>
      <c r="M10">
        <f>Table1_1[[#This Row],[Total Sales]]-Table1_1[[#This Row],[Discount amount]]</f>
        <v>1675.8</v>
      </c>
      <c r="N10" s="3" t="s">
        <v>154</v>
      </c>
      <c r="O10" s="3" t="s">
        <v>159</v>
      </c>
      <c r="P10" s="3" t="s">
        <v>174</v>
      </c>
    </row>
    <row r="11" spans="1:27" x14ac:dyDescent="0.3">
      <c r="A11">
        <v>1011</v>
      </c>
      <c r="B11" s="2">
        <v>46067</v>
      </c>
      <c r="C11" s="3" t="s">
        <v>175</v>
      </c>
      <c r="D11" s="3" t="s">
        <v>142</v>
      </c>
      <c r="E11" s="3" t="s">
        <v>143</v>
      </c>
      <c r="F11" s="3" t="s">
        <v>144</v>
      </c>
      <c r="G11" s="3" t="s">
        <v>166</v>
      </c>
      <c r="H11">
        <v>2</v>
      </c>
      <c r="I11">
        <v>1634</v>
      </c>
      <c r="J11">
        <f>Table1_1[[#This Row],[Quantity]]*Table1_1[[#This Row],[Unit Price]]</f>
        <v>3268</v>
      </c>
      <c r="K11">
        <v>15</v>
      </c>
      <c r="L11">
        <f>Table1_1[[#This Row],[Total Sales]]*Table1_1[[#This Row],[Discount %]]/100</f>
        <v>490.2</v>
      </c>
      <c r="M11">
        <f>Table1_1[[#This Row],[Total Sales]]-Table1_1[[#This Row],[Discount amount]]</f>
        <v>2777.8</v>
      </c>
      <c r="N11" s="3" t="s">
        <v>154</v>
      </c>
      <c r="O11" s="3" t="s">
        <v>155</v>
      </c>
      <c r="P11" s="3" t="s">
        <v>267</v>
      </c>
    </row>
    <row r="12" spans="1:27" x14ac:dyDescent="0.3">
      <c r="A12">
        <v>1012</v>
      </c>
      <c r="B12" s="2">
        <v>46076</v>
      </c>
      <c r="C12" s="3" t="s">
        <v>176</v>
      </c>
      <c r="D12" s="3" t="s">
        <v>150</v>
      </c>
      <c r="E12" s="3" t="s">
        <v>151</v>
      </c>
      <c r="F12" s="3" t="s">
        <v>158</v>
      </c>
      <c r="G12" s="3" t="s">
        <v>172</v>
      </c>
      <c r="H12">
        <v>7</v>
      </c>
      <c r="I12">
        <v>4252</v>
      </c>
      <c r="J12">
        <f>Table1_1[[#This Row],[Quantity]]*Table1_1[[#This Row],[Unit Price]]</f>
        <v>29764</v>
      </c>
      <c r="K12">
        <v>15</v>
      </c>
      <c r="L12">
        <f>Table1_1[[#This Row],[Total Sales]]*Table1_1[[#This Row],[Discount %]]/100</f>
        <v>4464.6000000000004</v>
      </c>
      <c r="M12">
        <f>Table1_1[[#This Row],[Total Sales]]-Table1_1[[#This Row],[Discount amount]]</f>
        <v>25299.4</v>
      </c>
      <c r="N12" s="3" t="s">
        <v>154</v>
      </c>
      <c r="O12" s="3" t="s">
        <v>19</v>
      </c>
      <c r="P12" s="3" t="s">
        <v>267</v>
      </c>
    </row>
    <row r="13" spans="1:27" x14ac:dyDescent="0.3">
      <c r="A13">
        <v>1013</v>
      </c>
      <c r="B13" s="2">
        <v>46189</v>
      </c>
      <c r="C13" s="3" t="s">
        <v>177</v>
      </c>
      <c r="D13" s="3" t="s">
        <v>150</v>
      </c>
      <c r="E13" s="3" t="s">
        <v>143</v>
      </c>
      <c r="F13" s="3" t="s">
        <v>144</v>
      </c>
      <c r="G13" s="3" t="s">
        <v>145</v>
      </c>
      <c r="H13">
        <v>2</v>
      </c>
      <c r="I13">
        <v>2374</v>
      </c>
      <c r="J13">
        <f>Table1_1[[#This Row],[Quantity]]*Table1_1[[#This Row],[Unit Price]]</f>
        <v>4748</v>
      </c>
      <c r="K13">
        <v>10</v>
      </c>
      <c r="L13">
        <f>Table1_1[[#This Row],[Total Sales]]*Table1_1[[#This Row],[Discount %]]/100</f>
        <v>474.8</v>
      </c>
      <c r="M13">
        <f>Table1_1[[#This Row],[Total Sales]]-Table1_1[[#This Row],[Discount amount]]</f>
        <v>4273.2</v>
      </c>
      <c r="N13" s="3" t="s">
        <v>146</v>
      </c>
      <c r="O13" s="3" t="s">
        <v>159</v>
      </c>
      <c r="P13" s="3" t="s">
        <v>267</v>
      </c>
    </row>
    <row r="14" spans="1:27" x14ac:dyDescent="0.3">
      <c r="A14">
        <v>1014</v>
      </c>
      <c r="B14" s="2">
        <v>46193</v>
      </c>
      <c r="C14" s="3" t="s">
        <v>178</v>
      </c>
      <c r="D14" s="3" t="s">
        <v>169</v>
      </c>
      <c r="E14" s="3" t="s">
        <v>143</v>
      </c>
      <c r="F14" s="3" t="s">
        <v>144</v>
      </c>
      <c r="G14" s="3" t="s">
        <v>145</v>
      </c>
      <c r="H14">
        <v>5</v>
      </c>
      <c r="I14">
        <v>1612</v>
      </c>
      <c r="J14">
        <f>Table1_1[[#This Row],[Quantity]]*Table1_1[[#This Row],[Unit Price]]</f>
        <v>8060</v>
      </c>
      <c r="K14">
        <v>5</v>
      </c>
      <c r="L14">
        <f>Table1_1[[#This Row],[Total Sales]]*Table1_1[[#This Row],[Discount %]]/100</f>
        <v>403</v>
      </c>
      <c r="M14">
        <f>Table1_1[[#This Row],[Total Sales]]-Table1_1[[#This Row],[Discount amount]]</f>
        <v>7657</v>
      </c>
      <c r="N14" s="3" t="s">
        <v>154</v>
      </c>
      <c r="O14" s="3" t="s">
        <v>155</v>
      </c>
      <c r="P14" s="3" t="s">
        <v>167</v>
      </c>
    </row>
    <row r="15" spans="1:27" x14ac:dyDescent="0.3">
      <c r="A15">
        <v>1015</v>
      </c>
      <c r="B15" s="2">
        <v>46182</v>
      </c>
      <c r="C15" s="3" t="s">
        <v>179</v>
      </c>
      <c r="D15" s="3" t="s">
        <v>150</v>
      </c>
      <c r="E15" s="3" t="s">
        <v>162</v>
      </c>
      <c r="F15" s="3" t="s">
        <v>180</v>
      </c>
      <c r="G15" s="3" t="s">
        <v>172</v>
      </c>
      <c r="H15">
        <v>10</v>
      </c>
      <c r="I15">
        <v>1044</v>
      </c>
      <c r="J15">
        <f>Table1_1[[#This Row],[Quantity]]*Table1_1[[#This Row],[Unit Price]]</f>
        <v>10440</v>
      </c>
      <c r="K15">
        <v>15</v>
      </c>
      <c r="L15">
        <f>Table1_1[[#This Row],[Total Sales]]*Table1_1[[#This Row],[Discount %]]/100</f>
        <v>1566</v>
      </c>
      <c r="M15">
        <f>Table1_1[[#This Row],[Total Sales]]-Table1_1[[#This Row],[Discount amount]]</f>
        <v>8874</v>
      </c>
      <c r="N15" s="3" t="s">
        <v>146</v>
      </c>
      <c r="O15" s="3" t="s">
        <v>155</v>
      </c>
      <c r="P15" s="3" t="s">
        <v>147</v>
      </c>
    </row>
    <row r="16" spans="1:27" x14ac:dyDescent="0.3">
      <c r="A16">
        <v>1016</v>
      </c>
      <c r="B16" s="2">
        <v>46113</v>
      </c>
      <c r="C16" s="3" t="s">
        <v>181</v>
      </c>
      <c r="D16" s="3" t="s">
        <v>169</v>
      </c>
      <c r="E16" s="3" t="s">
        <v>162</v>
      </c>
      <c r="F16" s="3" t="s">
        <v>180</v>
      </c>
      <c r="G16" s="3" t="s">
        <v>172</v>
      </c>
      <c r="H16">
        <v>9</v>
      </c>
      <c r="I16">
        <v>3043</v>
      </c>
      <c r="J16">
        <f>Table1_1[[#This Row],[Quantity]]*Table1_1[[#This Row],[Unit Price]]</f>
        <v>27387</v>
      </c>
      <c r="K16">
        <v>10</v>
      </c>
      <c r="L16">
        <f>Table1_1[[#This Row],[Total Sales]]*Table1_1[[#This Row],[Discount %]]/100</f>
        <v>2738.7</v>
      </c>
      <c r="M16">
        <f>Table1_1[[#This Row],[Total Sales]]-Table1_1[[#This Row],[Discount amount]]</f>
        <v>24648.3</v>
      </c>
      <c r="N16" s="3" t="s">
        <v>154</v>
      </c>
      <c r="O16" s="3" t="s">
        <v>159</v>
      </c>
      <c r="P16" s="3" t="s">
        <v>267</v>
      </c>
    </row>
    <row r="17" spans="1:16" x14ac:dyDescent="0.3">
      <c r="A17">
        <v>1017</v>
      </c>
      <c r="B17" s="2">
        <v>46197</v>
      </c>
      <c r="C17" s="3" t="s">
        <v>182</v>
      </c>
      <c r="D17" s="3" t="s">
        <v>142</v>
      </c>
      <c r="E17" s="3" t="s">
        <v>143</v>
      </c>
      <c r="F17" s="3" t="s">
        <v>144</v>
      </c>
      <c r="G17" s="3" t="s">
        <v>145</v>
      </c>
      <c r="H17">
        <v>1</v>
      </c>
      <c r="I17">
        <v>319</v>
      </c>
      <c r="J17">
        <f>Table1_1[[#This Row],[Quantity]]*Table1_1[[#This Row],[Unit Price]]</f>
        <v>319</v>
      </c>
      <c r="K17">
        <v>5</v>
      </c>
      <c r="L17">
        <f>Table1_1[[#This Row],[Total Sales]]*Table1_1[[#This Row],[Discount %]]/100</f>
        <v>15.95</v>
      </c>
      <c r="M17">
        <f>Table1_1[[#This Row],[Total Sales]]-Table1_1[[#This Row],[Discount amount]]</f>
        <v>303.05</v>
      </c>
      <c r="N17" s="3" t="s">
        <v>154</v>
      </c>
      <c r="O17" s="3" t="s">
        <v>159</v>
      </c>
      <c r="P17" s="3" t="s">
        <v>167</v>
      </c>
    </row>
    <row r="18" spans="1:16" x14ac:dyDescent="0.3">
      <c r="A18">
        <v>1018</v>
      </c>
      <c r="B18" s="2">
        <v>46063</v>
      </c>
      <c r="C18" s="3" t="s">
        <v>183</v>
      </c>
      <c r="D18" s="3" t="s">
        <v>142</v>
      </c>
      <c r="E18" s="3" t="s">
        <v>143</v>
      </c>
      <c r="F18" s="3" t="s">
        <v>144</v>
      </c>
      <c r="G18" s="3" t="s">
        <v>172</v>
      </c>
      <c r="H18">
        <v>8</v>
      </c>
      <c r="I18">
        <v>4177</v>
      </c>
      <c r="J18">
        <f>Table1_1[[#This Row],[Quantity]]*Table1_1[[#This Row],[Unit Price]]</f>
        <v>33416</v>
      </c>
      <c r="K18">
        <v>0</v>
      </c>
      <c r="L18">
        <f>Table1_1[[#This Row],[Total Sales]]*Table1_1[[#This Row],[Discount %]]/100</f>
        <v>0</v>
      </c>
      <c r="M18">
        <f>Table1_1[[#This Row],[Total Sales]]-Table1_1[[#This Row],[Discount amount]]</f>
        <v>33416</v>
      </c>
      <c r="N18" s="3" t="s">
        <v>146</v>
      </c>
      <c r="O18" s="3" t="s">
        <v>19</v>
      </c>
      <c r="P18" s="3" t="s">
        <v>167</v>
      </c>
    </row>
    <row r="19" spans="1:16" x14ac:dyDescent="0.3">
      <c r="A19">
        <v>1019</v>
      </c>
      <c r="B19" s="2">
        <v>46099</v>
      </c>
      <c r="C19" s="3" t="s">
        <v>184</v>
      </c>
      <c r="D19" s="3" t="s">
        <v>150</v>
      </c>
      <c r="E19" s="3" t="s">
        <v>151</v>
      </c>
      <c r="F19" s="3" t="s">
        <v>152</v>
      </c>
      <c r="G19" s="3" t="s">
        <v>172</v>
      </c>
      <c r="H19">
        <v>4</v>
      </c>
      <c r="I19">
        <v>3996</v>
      </c>
      <c r="J19">
        <f>Table1_1[[#This Row],[Quantity]]*Table1_1[[#This Row],[Unit Price]]</f>
        <v>15984</v>
      </c>
      <c r="K19">
        <v>5</v>
      </c>
      <c r="L19">
        <f>Table1_1[[#This Row],[Total Sales]]*Table1_1[[#This Row],[Discount %]]/100</f>
        <v>799.2</v>
      </c>
      <c r="M19">
        <f>Table1_1[[#This Row],[Total Sales]]-Table1_1[[#This Row],[Discount amount]]</f>
        <v>15184.8</v>
      </c>
      <c r="N19" s="3" t="s">
        <v>154</v>
      </c>
      <c r="O19" s="3" t="s">
        <v>155</v>
      </c>
      <c r="P19" s="3" t="s">
        <v>167</v>
      </c>
    </row>
    <row r="20" spans="1:16" x14ac:dyDescent="0.3">
      <c r="A20">
        <v>1020</v>
      </c>
      <c r="B20" s="2">
        <v>46126</v>
      </c>
      <c r="C20" s="3" t="s">
        <v>185</v>
      </c>
      <c r="D20" s="3" t="s">
        <v>142</v>
      </c>
      <c r="E20" s="3" t="s">
        <v>162</v>
      </c>
      <c r="F20" s="3" t="s">
        <v>180</v>
      </c>
      <c r="G20" s="3" t="s">
        <v>145</v>
      </c>
      <c r="H20">
        <v>5</v>
      </c>
      <c r="I20">
        <v>1889</v>
      </c>
      <c r="J20">
        <f>Table1_1[[#This Row],[Quantity]]*Table1_1[[#This Row],[Unit Price]]</f>
        <v>9445</v>
      </c>
      <c r="K20">
        <v>10</v>
      </c>
      <c r="L20">
        <f>Table1_1[[#This Row],[Total Sales]]*Table1_1[[#This Row],[Discount %]]/100</f>
        <v>944.5</v>
      </c>
      <c r="M20">
        <f>Table1_1[[#This Row],[Total Sales]]-Table1_1[[#This Row],[Discount amount]]</f>
        <v>8500.5</v>
      </c>
      <c r="N20" s="3" t="s">
        <v>146</v>
      </c>
      <c r="O20" s="3" t="s">
        <v>159</v>
      </c>
      <c r="P20" s="3" t="s">
        <v>174</v>
      </c>
    </row>
    <row r="21" spans="1:16" x14ac:dyDescent="0.3">
      <c r="A21">
        <v>1021</v>
      </c>
      <c r="B21" s="2">
        <v>46165</v>
      </c>
      <c r="C21" s="3" t="s">
        <v>186</v>
      </c>
      <c r="D21" s="3" t="s">
        <v>157</v>
      </c>
      <c r="E21" s="3" t="s">
        <v>143</v>
      </c>
      <c r="F21" s="3" t="s">
        <v>171</v>
      </c>
      <c r="G21" s="3" t="s">
        <v>153</v>
      </c>
      <c r="H21">
        <v>10</v>
      </c>
      <c r="I21">
        <v>1883</v>
      </c>
      <c r="J21">
        <f>Table1_1[[#This Row],[Quantity]]*Table1_1[[#This Row],[Unit Price]]</f>
        <v>18830</v>
      </c>
      <c r="K21">
        <v>0</v>
      </c>
      <c r="L21">
        <f>Table1_1[[#This Row],[Total Sales]]*Table1_1[[#This Row],[Discount %]]/100</f>
        <v>0</v>
      </c>
      <c r="M21">
        <f>Table1_1[[#This Row],[Total Sales]]-Table1_1[[#This Row],[Discount amount]]</f>
        <v>18830</v>
      </c>
      <c r="N21" s="3" t="s">
        <v>146</v>
      </c>
      <c r="O21" s="3" t="s">
        <v>159</v>
      </c>
      <c r="P21" s="3" t="s">
        <v>167</v>
      </c>
    </row>
    <row r="22" spans="1:16" x14ac:dyDescent="0.3">
      <c r="A22">
        <v>1022</v>
      </c>
      <c r="B22" s="2">
        <v>46081</v>
      </c>
      <c r="C22" s="3" t="s">
        <v>187</v>
      </c>
      <c r="D22" s="3" t="s">
        <v>142</v>
      </c>
      <c r="E22" s="3" t="s">
        <v>151</v>
      </c>
      <c r="F22" s="3" t="s">
        <v>152</v>
      </c>
      <c r="G22" s="3" t="s">
        <v>153</v>
      </c>
      <c r="H22">
        <v>3</v>
      </c>
      <c r="I22">
        <v>3962</v>
      </c>
      <c r="J22">
        <f>Table1_1[[#This Row],[Quantity]]*Table1_1[[#This Row],[Unit Price]]</f>
        <v>11886</v>
      </c>
      <c r="K22">
        <v>5</v>
      </c>
      <c r="L22">
        <f>Table1_1[[#This Row],[Total Sales]]*Table1_1[[#This Row],[Discount %]]/100</f>
        <v>594.29999999999995</v>
      </c>
      <c r="M22">
        <f>Table1_1[[#This Row],[Total Sales]]-Table1_1[[#This Row],[Discount amount]]</f>
        <v>11291.7</v>
      </c>
      <c r="N22" s="3" t="s">
        <v>146</v>
      </c>
      <c r="O22" s="3" t="s">
        <v>159</v>
      </c>
      <c r="P22" s="3" t="s">
        <v>167</v>
      </c>
    </row>
    <row r="23" spans="1:16" x14ac:dyDescent="0.3">
      <c r="A23">
        <v>1023</v>
      </c>
      <c r="B23" s="2">
        <v>46146</v>
      </c>
      <c r="C23" s="3" t="s">
        <v>188</v>
      </c>
      <c r="D23" s="3" t="s">
        <v>142</v>
      </c>
      <c r="E23" s="3" t="s">
        <v>143</v>
      </c>
      <c r="F23" s="3" t="s">
        <v>171</v>
      </c>
      <c r="G23" s="3" t="s">
        <v>153</v>
      </c>
      <c r="H23">
        <v>2</v>
      </c>
      <c r="I23">
        <v>1153</v>
      </c>
      <c r="J23">
        <f>Table1_1[[#This Row],[Quantity]]*Table1_1[[#This Row],[Unit Price]]</f>
        <v>2306</v>
      </c>
      <c r="K23">
        <v>0</v>
      </c>
      <c r="L23">
        <f>Table1_1[[#This Row],[Total Sales]]*Table1_1[[#This Row],[Discount %]]/100</f>
        <v>0</v>
      </c>
      <c r="M23">
        <f>Table1_1[[#This Row],[Total Sales]]-Table1_1[[#This Row],[Discount amount]]</f>
        <v>2306</v>
      </c>
      <c r="N23" s="3" t="s">
        <v>146</v>
      </c>
      <c r="O23" s="3" t="s">
        <v>19</v>
      </c>
      <c r="P23" s="3" t="s">
        <v>174</v>
      </c>
    </row>
    <row r="24" spans="1:16" x14ac:dyDescent="0.3">
      <c r="A24">
        <v>1024</v>
      </c>
      <c r="B24" s="2">
        <v>46075</v>
      </c>
      <c r="C24" s="3" t="s">
        <v>189</v>
      </c>
      <c r="D24" s="3" t="s">
        <v>150</v>
      </c>
      <c r="E24" s="3" t="s">
        <v>151</v>
      </c>
      <c r="F24" s="3" t="s">
        <v>152</v>
      </c>
      <c r="G24" s="3" t="s">
        <v>172</v>
      </c>
      <c r="H24">
        <v>6</v>
      </c>
      <c r="I24">
        <v>2809</v>
      </c>
      <c r="J24">
        <f>Table1_1[[#This Row],[Quantity]]*Table1_1[[#This Row],[Unit Price]]</f>
        <v>16854</v>
      </c>
      <c r="K24">
        <v>5</v>
      </c>
      <c r="L24">
        <f>Table1_1[[#This Row],[Total Sales]]*Table1_1[[#This Row],[Discount %]]/100</f>
        <v>842.7</v>
      </c>
      <c r="M24">
        <f>Table1_1[[#This Row],[Total Sales]]-Table1_1[[#This Row],[Discount amount]]</f>
        <v>16011.3</v>
      </c>
      <c r="N24" s="3" t="s">
        <v>154</v>
      </c>
      <c r="O24" s="3" t="s">
        <v>19</v>
      </c>
      <c r="P24" s="3" t="s">
        <v>147</v>
      </c>
    </row>
    <row r="25" spans="1:16" x14ac:dyDescent="0.3">
      <c r="A25">
        <v>1025</v>
      </c>
      <c r="B25" s="2">
        <v>46129</v>
      </c>
      <c r="C25" s="3" t="s">
        <v>190</v>
      </c>
      <c r="D25" s="3" t="s">
        <v>150</v>
      </c>
      <c r="E25" s="3" t="s">
        <v>162</v>
      </c>
      <c r="F25" s="3" t="s">
        <v>163</v>
      </c>
      <c r="G25" s="3" t="s">
        <v>166</v>
      </c>
      <c r="H25">
        <v>4</v>
      </c>
      <c r="I25">
        <v>2307</v>
      </c>
      <c r="J25">
        <f>Table1_1[[#This Row],[Quantity]]*Table1_1[[#This Row],[Unit Price]]</f>
        <v>9228</v>
      </c>
      <c r="K25">
        <v>10</v>
      </c>
      <c r="L25">
        <f>Table1_1[[#This Row],[Total Sales]]*Table1_1[[#This Row],[Discount %]]/100</f>
        <v>922.8</v>
      </c>
      <c r="M25">
        <f>Table1_1[[#This Row],[Total Sales]]-Table1_1[[#This Row],[Discount amount]]</f>
        <v>8305.2000000000007</v>
      </c>
      <c r="N25" s="3" t="s">
        <v>146</v>
      </c>
      <c r="O25" s="3" t="s">
        <v>19</v>
      </c>
      <c r="P25" s="3" t="s">
        <v>167</v>
      </c>
    </row>
    <row r="26" spans="1:16" x14ac:dyDescent="0.3">
      <c r="A26">
        <v>1026</v>
      </c>
      <c r="B26" s="2">
        <v>46030</v>
      </c>
      <c r="C26" s="3" t="s">
        <v>191</v>
      </c>
      <c r="D26" s="3" t="s">
        <v>150</v>
      </c>
      <c r="E26" s="3" t="s">
        <v>151</v>
      </c>
      <c r="F26" s="3" t="s">
        <v>158</v>
      </c>
      <c r="G26" s="3" t="s">
        <v>145</v>
      </c>
      <c r="H26">
        <v>2</v>
      </c>
      <c r="I26">
        <v>1874</v>
      </c>
      <c r="J26">
        <f>Table1_1[[#This Row],[Quantity]]*Table1_1[[#This Row],[Unit Price]]</f>
        <v>3748</v>
      </c>
      <c r="K26">
        <v>0</v>
      </c>
      <c r="L26">
        <f>Table1_1[[#This Row],[Total Sales]]*Table1_1[[#This Row],[Discount %]]/100</f>
        <v>0</v>
      </c>
      <c r="M26">
        <f>Table1_1[[#This Row],[Total Sales]]-Table1_1[[#This Row],[Discount amount]]</f>
        <v>3748</v>
      </c>
      <c r="N26" s="3" t="s">
        <v>146</v>
      </c>
      <c r="O26" s="3" t="s">
        <v>155</v>
      </c>
      <c r="P26" s="3" t="s">
        <v>267</v>
      </c>
    </row>
    <row r="27" spans="1:16" x14ac:dyDescent="0.3">
      <c r="A27">
        <v>1027</v>
      </c>
      <c r="B27" s="2">
        <v>46075</v>
      </c>
      <c r="C27" s="3" t="s">
        <v>192</v>
      </c>
      <c r="D27" s="3" t="s">
        <v>161</v>
      </c>
      <c r="E27" s="3" t="s">
        <v>143</v>
      </c>
      <c r="F27" s="3" t="s">
        <v>144</v>
      </c>
      <c r="G27" s="3" t="s">
        <v>145</v>
      </c>
      <c r="H27">
        <v>9</v>
      </c>
      <c r="I27">
        <v>2591</v>
      </c>
      <c r="J27">
        <f>Table1_1[[#This Row],[Quantity]]*Table1_1[[#This Row],[Unit Price]]</f>
        <v>23319</v>
      </c>
      <c r="K27">
        <v>10</v>
      </c>
      <c r="L27">
        <f>Table1_1[[#This Row],[Total Sales]]*Table1_1[[#This Row],[Discount %]]/100</f>
        <v>2331.9</v>
      </c>
      <c r="M27">
        <f>Table1_1[[#This Row],[Total Sales]]-Table1_1[[#This Row],[Discount amount]]</f>
        <v>20987.1</v>
      </c>
      <c r="N27" s="3" t="s">
        <v>146</v>
      </c>
      <c r="O27" s="3" t="s">
        <v>159</v>
      </c>
      <c r="P27" s="3" t="s">
        <v>174</v>
      </c>
    </row>
    <row r="28" spans="1:16" x14ac:dyDescent="0.3">
      <c r="A28">
        <v>1028</v>
      </c>
      <c r="B28" s="2">
        <v>46153</v>
      </c>
      <c r="C28" s="3" t="s">
        <v>193</v>
      </c>
      <c r="D28" s="3" t="s">
        <v>169</v>
      </c>
      <c r="E28" s="3" t="s">
        <v>162</v>
      </c>
      <c r="F28" s="3" t="s">
        <v>180</v>
      </c>
      <c r="G28" s="3" t="s">
        <v>166</v>
      </c>
      <c r="H28">
        <v>10</v>
      </c>
      <c r="I28">
        <v>2973</v>
      </c>
      <c r="J28">
        <f>Table1_1[[#This Row],[Quantity]]*Table1_1[[#This Row],[Unit Price]]</f>
        <v>29730</v>
      </c>
      <c r="K28">
        <v>5</v>
      </c>
      <c r="L28">
        <f>Table1_1[[#This Row],[Total Sales]]*Table1_1[[#This Row],[Discount %]]/100</f>
        <v>1486.5</v>
      </c>
      <c r="M28">
        <f>Table1_1[[#This Row],[Total Sales]]-Table1_1[[#This Row],[Discount amount]]</f>
        <v>28243.5</v>
      </c>
      <c r="N28" s="3" t="s">
        <v>146</v>
      </c>
      <c r="O28" s="3" t="s">
        <v>155</v>
      </c>
      <c r="P28" s="3" t="s">
        <v>174</v>
      </c>
    </row>
    <row r="29" spans="1:16" x14ac:dyDescent="0.3">
      <c r="A29">
        <v>1029</v>
      </c>
      <c r="B29" s="2">
        <v>46122</v>
      </c>
      <c r="C29" s="3" t="s">
        <v>194</v>
      </c>
      <c r="D29" s="3" t="s">
        <v>150</v>
      </c>
      <c r="E29" s="3" t="s">
        <v>143</v>
      </c>
      <c r="F29" s="3" t="s">
        <v>144</v>
      </c>
      <c r="G29" s="3" t="s">
        <v>166</v>
      </c>
      <c r="H29">
        <v>1</v>
      </c>
      <c r="I29">
        <v>1713</v>
      </c>
      <c r="J29">
        <f>Table1_1[[#This Row],[Quantity]]*Table1_1[[#This Row],[Unit Price]]</f>
        <v>1713</v>
      </c>
      <c r="K29">
        <v>0</v>
      </c>
      <c r="L29">
        <f>Table1_1[[#This Row],[Total Sales]]*Table1_1[[#This Row],[Discount %]]/100</f>
        <v>0</v>
      </c>
      <c r="M29">
        <f>Table1_1[[#This Row],[Total Sales]]-Table1_1[[#This Row],[Discount amount]]</f>
        <v>1713</v>
      </c>
      <c r="N29" s="3" t="s">
        <v>154</v>
      </c>
      <c r="O29" s="3" t="s">
        <v>155</v>
      </c>
      <c r="P29" s="3" t="s">
        <v>147</v>
      </c>
    </row>
    <row r="30" spans="1:16" x14ac:dyDescent="0.3">
      <c r="A30">
        <v>1030</v>
      </c>
      <c r="B30" s="2">
        <v>46163</v>
      </c>
      <c r="C30" s="3" t="s">
        <v>195</v>
      </c>
      <c r="D30" s="3" t="s">
        <v>150</v>
      </c>
      <c r="E30" s="3" t="s">
        <v>151</v>
      </c>
      <c r="F30" s="3" t="s">
        <v>158</v>
      </c>
      <c r="G30" s="3" t="s">
        <v>172</v>
      </c>
      <c r="H30">
        <v>2</v>
      </c>
      <c r="I30">
        <v>4916</v>
      </c>
      <c r="J30">
        <f>Table1_1[[#This Row],[Quantity]]*Table1_1[[#This Row],[Unit Price]]</f>
        <v>9832</v>
      </c>
      <c r="K30">
        <v>5</v>
      </c>
      <c r="L30">
        <f>Table1_1[[#This Row],[Total Sales]]*Table1_1[[#This Row],[Discount %]]/100</f>
        <v>491.6</v>
      </c>
      <c r="M30">
        <f>Table1_1[[#This Row],[Total Sales]]-Table1_1[[#This Row],[Discount amount]]</f>
        <v>9340.4</v>
      </c>
      <c r="N30" s="3" t="s">
        <v>154</v>
      </c>
      <c r="O30" s="3" t="s">
        <v>19</v>
      </c>
      <c r="P30" s="3" t="s">
        <v>174</v>
      </c>
    </row>
    <row r="31" spans="1:16" x14ac:dyDescent="0.3">
      <c r="A31">
        <v>1031</v>
      </c>
      <c r="B31" s="2">
        <v>46061</v>
      </c>
      <c r="C31" s="3" t="s">
        <v>196</v>
      </c>
      <c r="D31" s="3" t="s">
        <v>157</v>
      </c>
      <c r="E31" s="3" t="s">
        <v>151</v>
      </c>
      <c r="F31" s="3" t="s">
        <v>158</v>
      </c>
      <c r="G31" s="3" t="s">
        <v>172</v>
      </c>
      <c r="H31">
        <v>7</v>
      </c>
      <c r="I31">
        <v>2683</v>
      </c>
      <c r="J31">
        <f>Table1_1[[#This Row],[Quantity]]*Table1_1[[#This Row],[Unit Price]]</f>
        <v>18781</v>
      </c>
      <c r="K31">
        <v>10</v>
      </c>
      <c r="L31">
        <f>Table1_1[[#This Row],[Total Sales]]*Table1_1[[#This Row],[Discount %]]/100</f>
        <v>1878.1</v>
      </c>
      <c r="M31">
        <f>Table1_1[[#This Row],[Total Sales]]-Table1_1[[#This Row],[Discount amount]]</f>
        <v>16902.900000000001</v>
      </c>
      <c r="N31" s="3" t="s">
        <v>146</v>
      </c>
      <c r="O31" s="3" t="s">
        <v>19</v>
      </c>
      <c r="P31" s="3" t="s">
        <v>267</v>
      </c>
    </row>
    <row r="32" spans="1:16" x14ac:dyDescent="0.3">
      <c r="A32">
        <v>1032</v>
      </c>
      <c r="B32" s="2">
        <v>46122</v>
      </c>
      <c r="C32" s="3" t="s">
        <v>197</v>
      </c>
      <c r="D32" s="3" t="s">
        <v>161</v>
      </c>
      <c r="E32" s="3" t="s">
        <v>143</v>
      </c>
      <c r="F32" s="3" t="s">
        <v>171</v>
      </c>
      <c r="G32" s="3" t="s">
        <v>166</v>
      </c>
      <c r="H32">
        <v>10</v>
      </c>
      <c r="I32">
        <v>4144</v>
      </c>
      <c r="J32">
        <f>Table1_1[[#This Row],[Quantity]]*Table1_1[[#This Row],[Unit Price]]</f>
        <v>41440</v>
      </c>
      <c r="K32">
        <v>15</v>
      </c>
      <c r="L32">
        <f>Table1_1[[#This Row],[Total Sales]]*Table1_1[[#This Row],[Discount %]]/100</f>
        <v>6216</v>
      </c>
      <c r="M32">
        <f>Table1_1[[#This Row],[Total Sales]]-Table1_1[[#This Row],[Discount amount]]</f>
        <v>35224</v>
      </c>
      <c r="N32" s="3" t="s">
        <v>146</v>
      </c>
      <c r="O32" s="3" t="s">
        <v>159</v>
      </c>
      <c r="P32" s="3" t="s">
        <v>167</v>
      </c>
    </row>
    <row r="33" spans="1:16" x14ac:dyDescent="0.3">
      <c r="A33">
        <v>1033</v>
      </c>
      <c r="B33" s="2">
        <v>46133</v>
      </c>
      <c r="C33" s="3" t="s">
        <v>198</v>
      </c>
      <c r="D33" s="3" t="s">
        <v>161</v>
      </c>
      <c r="E33" s="3" t="s">
        <v>162</v>
      </c>
      <c r="F33" s="3" t="s">
        <v>165</v>
      </c>
      <c r="G33" s="3" t="s">
        <v>153</v>
      </c>
      <c r="H33">
        <v>7</v>
      </c>
      <c r="I33">
        <v>4072</v>
      </c>
      <c r="J33">
        <f>Table1_1[[#This Row],[Quantity]]*Table1_1[[#This Row],[Unit Price]]</f>
        <v>28504</v>
      </c>
      <c r="K33">
        <v>15</v>
      </c>
      <c r="L33">
        <f>Table1_1[[#This Row],[Total Sales]]*Table1_1[[#This Row],[Discount %]]/100</f>
        <v>4275.6000000000004</v>
      </c>
      <c r="M33">
        <f>Table1_1[[#This Row],[Total Sales]]-Table1_1[[#This Row],[Discount amount]]</f>
        <v>24228.400000000001</v>
      </c>
      <c r="N33" s="3" t="s">
        <v>146</v>
      </c>
      <c r="O33" s="3" t="s">
        <v>19</v>
      </c>
      <c r="P33" s="3" t="s">
        <v>267</v>
      </c>
    </row>
    <row r="34" spans="1:16" x14ac:dyDescent="0.3">
      <c r="A34">
        <v>1034</v>
      </c>
      <c r="B34" s="2">
        <v>46057</v>
      </c>
      <c r="C34" s="3" t="s">
        <v>199</v>
      </c>
      <c r="D34" s="3" t="s">
        <v>150</v>
      </c>
      <c r="E34" s="3" t="s">
        <v>151</v>
      </c>
      <c r="F34" s="3" t="s">
        <v>158</v>
      </c>
      <c r="G34" s="3" t="s">
        <v>172</v>
      </c>
      <c r="H34">
        <v>9</v>
      </c>
      <c r="I34">
        <v>2346</v>
      </c>
      <c r="J34">
        <f>Table1_1[[#This Row],[Quantity]]*Table1_1[[#This Row],[Unit Price]]</f>
        <v>21114</v>
      </c>
      <c r="K34">
        <v>15</v>
      </c>
      <c r="L34">
        <f>Table1_1[[#This Row],[Total Sales]]*Table1_1[[#This Row],[Discount %]]/100</f>
        <v>3167.1</v>
      </c>
      <c r="M34">
        <f>Table1_1[[#This Row],[Total Sales]]-Table1_1[[#This Row],[Discount amount]]</f>
        <v>17946.900000000001</v>
      </c>
      <c r="N34" s="3" t="s">
        <v>154</v>
      </c>
      <c r="O34" s="3" t="s">
        <v>155</v>
      </c>
      <c r="P34" s="3" t="s">
        <v>147</v>
      </c>
    </row>
    <row r="35" spans="1:16" x14ac:dyDescent="0.3">
      <c r="A35">
        <v>1035</v>
      </c>
      <c r="B35" s="2">
        <v>46045</v>
      </c>
      <c r="C35" s="3" t="s">
        <v>200</v>
      </c>
      <c r="D35" s="3" t="s">
        <v>161</v>
      </c>
      <c r="E35" s="3" t="s">
        <v>143</v>
      </c>
      <c r="F35" s="3" t="s">
        <v>171</v>
      </c>
      <c r="G35" s="3" t="s">
        <v>172</v>
      </c>
      <c r="H35">
        <v>2</v>
      </c>
      <c r="I35">
        <v>546</v>
      </c>
      <c r="J35">
        <f>Table1_1[[#This Row],[Quantity]]*Table1_1[[#This Row],[Unit Price]]</f>
        <v>1092</v>
      </c>
      <c r="K35">
        <v>5</v>
      </c>
      <c r="L35">
        <f>Table1_1[[#This Row],[Total Sales]]*Table1_1[[#This Row],[Discount %]]/100</f>
        <v>54.6</v>
      </c>
      <c r="M35">
        <f>Table1_1[[#This Row],[Total Sales]]-Table1_1[[#This Row],[Discount amount]]</f>
        <v>1037.4000000000001</v>
      </c>
      <c r="N35" s="3" t="s">
        <v>146</v>
      </c>
      <c r="O35" s="3" t="s">
        <v>155</v>
      </c>
      <c r="P35" s="3" t="s">
        <v>147</v>
      </c>
    </row>
    <row r="36" spans="1:16" x14ac:dyDescent="0.3">
      <c r="A36">
        <v>1036</v>
      </c>
      <c r="B36" s="2">
        <v>46113</v>
      </c>
      <c r="C36" s="3" t="s">
        <v>201</v>
      </c>
      <c r="D36" s="3" t="s">
        <v>157</v>
      </c>
      <c r="E36" s="3" t="s">
        <v>162</v>
      </c>
      <c r="F36" s="3" t="s">
        <v>180</v>
      </c>
      <c r="G36" s="3" t="s">
        <v>166</v>
      </c>
      <c r="H36">
        <v>10</v>
      </c>
      <c r="I36">
        <v>705</v>
      </c>
      <c r="J36">
        <f>Table1_1[[#This Row],[Quantity]]*Table1_1[[#This Row],[Unit Price]]</f>
        <v>7050</v>
      </c>
      <c r="K36">
        <v>0</v>
      </c>
      <c r="L36">
        <f>Table1_1[[#This Row],[Total Sales]]*Table1_1[[#This Row],[Discount %]]/100</f>
        <v>0</v>
      </c>
      <c r="M36">
        <f>Table1_1[[#This Row],[Total Sales]]-Table1_1[[#This Row],[Discount amount]]</f>
        <v>7050</v>
      </c>
      <c r="N36" s="3" t="s">
        <v>154</v>
      </c>
      <c r="O36" s="3" t="s">
        <v>155</v>
      </c>
      <c r="P36" s="3" t="s">
        <v>167</v>
      </c>
    </row>
    <row r="37" spans="1:16" x14ac:dyDescent="0.3">
      <c r="A37">
        <v>1037</v>
      </c>
      <c r="B37" s="2">
        <v>46141</v>
      </c>
      <c r="C37" s="3" t="s">
        <v>202</v>
      </c>
      <c r="D37" s="3" t="s">
        <v>157</v>
      </c>
      <c r="E37" s="3" t="s">
        <v>143</v>
      </c>
      <c r="F37" s="3" t="s">
        <v>144</v>
      </c>
      <c r="G37" s="3" t="s">
        <v>145</v>
      </c>
      <c r="H37">
        <v>4</v>
      </c>
      <c r="I37">
        <v>2514</v>
      </c>
      <c r="J37">
        <f>Table1_1[[#This Row],[Quantity]]*Table1_1[[#This Row],[Unit Price]]</f>
        <v>10056</v>
      </c>
      <c r="K37">
        <v>0</v>
      </c>
      <c r="L37">
        <f>Table1_1[[#This Row],[Total Sales]]*Table1_1[[#This Row],[Discount %]]/100</f>
        <v>0</v>
      </c>
      <c r="M37">
        <f>Table1_1[[#This Row],[Total Sales]]-Table1_1[[#This Row],[Discount amount]]</f>
        <v>10056</v>
      </c>
      <c r="N37" s="3" t="s">
        <v>154</v>
      </c>
      <c r="O37" s="3" t="s">
        <v>19</v>
      </c>
      <c r="P37" s="3" t="s">
        <v>174</v>
      </c>
    </row>
    <row r="38" spans="1:16" x14ac:dyDescent="0.3">
      <c r="A38">
        <v>1038</v>
      </c>
      <c r="B38" s="2">
        <v>46182</v>
      </c>
      <c r="C38" s="3" t="s">
        <v>203</v>
      </c>
      <c r="D38" s="3" t="s">
        <v>169</v>
      </c>
      <c r="E38" s="3" t="s">
        <v>162</v>
      </c>
      <c r="F38" s="3" t="s">
        <v>180</v>
      </c>
      <c r="G38" s="3" t="s">
        <v>153</v>
      </c>
      <c r="H38">
        <v>6</v>
      </c>
      <c r="I38">
        <v>1188</v>
      </c>
      <c r="J38">
        <f>Table1_1[[#This Row],[Quantity]]*Table1_1[[#This Row],[Unit Price]]</f>
        <v>7128</v>
      </c>
      <c r="K38">
        <v>0</v>
      </c>
      <c r="L38">
        <f>Table1_1[[#This Row],[Total Sales]]*Table1_1[[#This Row],[Discount %]]/100</f>
        <v>0</v>
      </c>
      <c r="M38">
        <f>Table1_1[[#This Row],[Total Sales]]-Table1_1[[#This Row],[Discount amount]]</f>
        <v>7128</v>
      </c>
      <c r="N38" s="3" t="s">
        <v>154</v>
      </c>
      <c r="O38" s="3" t="s">
        <v>159</v>
      </c>
      <c r="P38" s="3" t="s">
        <v>167</v>
      </c>
    </row>
    <row r="39" spans="1:16" x14ac:dyDescent="0.3">
      <c r="A39">
        <v>1039</v>
      </c>
      <c r="B39" s="2">
        <v>46087</v>
      </c>
      <c r="C39" s="3" t="s">
        <v>204</v>
      </c>
      <c r="D39" s="3" t="s">
        <v>169</v>
      </c>
      <c r="E39" s="3" t="s">
        <v>143</v>
      </c>
      <c r="F39" s="3" t="s">
        <v>171</v>
      </c>
      <c r="G39" s="3" t="s">
        <v>166</v>
      </c>
      <c r="H39">
        <v>6</v>
      </c>
      <c r="I39">
        <v>4718</v>
      </c>
      <c r="J39">
        <f>Table1_1[[#This Row],[Quantity]]*Table1_1[[#This Row],[Unit Price]]</f>
        <v>28308</v>
      </c>
      <c r="K39">
        <v>5</v>
      </c>
      <c r="L39">
        <f>Table1_1[[#This Row],[Total Sales]]*Table1_1[[#This Row],[Discount %]]/100</f>
        <v>1415.4</v>
      </c>
      <c r="M39">
        <f>Table1_1[[#This Row],[Total Sales]]-Table1_1[[#This Row],[Discount amount]]</f>
        <v>26892.6</v>
      </c>
      <c r="N39" s="3" t="s">
        <v>154</v>
      </c>
      <c r="O39" s="3" t="s">
        <v>159</v>
      </c>
      <c r="P39" s="3" t="s">
        <v>167</v>
      </c>
    </row>
    <row r="40" spans="1:16" x14ac:dyDescent="0.3">
      <c r="A40">
        <v>1040</v>
      </c>
      <c r="B40" s="2">
        <v>46181</v>
      </c>
      <c r="C40" s="3" t="s">
        <v>205</v>
      </c>
      <c r="D40" s="3" t="s">
        <v>157</v>
      </c>
      <c r="E40" s="3" t="s">
        <v>162</v>
      </c>
      <c r="F40" s="3" t="s">
        <v>163</v>
      </c>
      <c r="G40" s="3" t="s">
        <v>166</v>
      </c>
      <c r="H40">
        <v>8</v>
      </c>
      <c r="I40">
        <v>565</v>
      </c>
      <c r="J40">
        <f>Table1_1[[#This Row],[Quantity]]*Table1_1[[#This Row],[Unit Price]]</f>
        <v>4520</v>
      </c>
      <c r="K40">
        <v>15</v>
      </c>
      <c r="L40">
        <f>Table1_1[[#This Row],[Total Sales]]*Table1_1[[#This Row],[Discount %]]/100</f>
        <v>678</v>
      </c>
      <c r="M40">
        <f>Table1_1[[#This Row],[Total Sales]]-Table1_1[[#This Row],[Discount amount]]</f>
        <v>3842</v>
      </c>
      <c r="N40" s="3" t="s">
        <v>154</v>
      </c>
      <c r="O40" s="3" t="s">
        <v>159</v>
      </c>
      <c r="P40" s="3" t="s">
        <v>167</v>
      </c>
    </row>
    <row r="41" spans="1:16" x14ac:dyDescent="0.3">
      <c r="A41">
        <v>1041</v>
      </c>
      <c r="B41" s="2">
        <v>46063</v>
      </c>
      <c r="C41" s="3" t="s">
        <v>206</v>
      </c>
      <c r="D41" s="3" t="s">
        <v>157</v>
      </c>
      <c r="E41" s="3" t="s">
        <v>162</v>
      </c>
      <c r="F41" s="3" t="s">
        <v>163</v>
      </c>
      <c r="G41" s="3" t="s">
        <v>145</v>
      </c>
      <c r="H41">
        <v>3</v>
      </c>
      <c r="I41">
        <v>4102</v>
      </c>
      <c r="J41">
        <f>Table1_1[[#This Row],[Quantity]]*Table1_1[[#This Row],[Unit Price]]</f>
        <v>12306</v>
      </c>
      <c r="K41">
        <v>5</v>
      </c>
      <c r="L41">
        <f>Table1_1[[#This Row],[Total Sales]]*Table1_1[[#This Row],[Discount %]]/100</f>
        <v>615.29999999999995</v>
      </c>
      <c r="M41">
        <f>Table1_1[[#This Row],[Total Sales]]-Table1_1[[#This Row],[Discount amount]]</f>
        <v>11690.7</v>
      </c>
      <c r="N41" s="3" t="s">
        <v>154</v>
      </c>
      <c r="O41" s="3" t="s">
        <v>19</v>
      </c>
      <c r="P41" s="3" t="s">
        <v>147</v>
      </c>
    </row>
    <row r="42" spans="1:16" x14ac:dyDescent="0.3">
      <c r="A42">
        <v>1042</v>
      </c>
      <c r="B42" s="2">
        <v>46052</v>
      </c>
      <c r="C42" s="3" t="s">
        <v>207</v>
      </c>
      <c r="D42" s="3" t="s">
        <v>150</v>
      </c>
      <c r="E42" s="3" t="s">
        <v>143</v>
      </c>
      <c r="F42" s="3" t="s">
        <v>171</v>
      </c>
      <c r="G42" s="3" t="s">
        <v>145</v>
      </c>
      <c r="H42">
        <v>4</v>
      </c>
      <c r="I42">
        <v>713</v>
      </c>
      <c r="J42">
        <f>Table1_1[[#This Row],[Quantity]]*Table1_1[[#This Row],[Unit Price]]</f>
        <v>2852</v>
      </c>
      <c r="K42">
        <v>15</v>
      </c>
      <c r="L42">
        <f>Table1_1[[#This Row],[Total Sales]]*Table1_1[[#This Row],[Discount %]]/100</f>
        <v>427.8</v>
      </c>
      <c r="M42">
        <f>Table1_1[[#This Row],[Total Sales]]-Table1_1[[#This Row],[Discount amount]]</f>
        <v>2424.1999999999998</v>
      </c>
      <c r="N42" s="3" t="s">
        <v>146</v>
      </c>
      <c r="O42" s="3" t="s">
        <v>19</v>
      </c>
      <c r="P42" s="3" t="s">
        <v>174</v>
      </c>
    </row>
    <row r="43" spans="1:16" x14ac:dyDescent="0.3">
      <c r="A43">
        <v>1043</v>
      </c>
      <c r="B43" s="2">
        <v>46156</v>
      </c>
      <c r="C43" s="3" t="s">
        <v>208</v>
      </c>
      <c r="D43" s="3" t="s">
        <v>142</v>
      </c>
      <c r="E43" s="3" t="s">
        <v>143</v>
      </c>
      <c r="F43" s="3" t="s">
        <v>171</v>
      </c>
      <c r="G43" s="3" t="s">
        <v>153</v>
      </c>
      <c r="H43">
        <v>5</v>
      </c>
      <c r="I43">
        <v>2283</v>
      </c>
      <c r="J43">
        <f>Table1_1[[#This Row],[Quantity]]*Table1_1[[#This Row],[Unit Price]]</f>
        <v>11415</v>
      </c>
      <c r="K43">
        <v>15</v>
      </c>
      <c r="L43">
        <f>Table1_1[[#This Row],[Total Sales]]*Table1_1[[#This Row],[Discount %]]/100</f>
        <v>1712.25</v>
      </c>
      <c r="M43">
        <f>Table1_1[[#This Row],[Total Sales]]-Table1_1[[#This Row],[Discount amount]]</f>
        <v>9702.75</v>
      </c>
      <c r="N43" s="3" t="s">
        <v>154</v>
      </c>
      <c r="O43" s="3" t="s">
        <v>155</v>
      </c>
      <c r="P43" s="3" t="s">
        <v>167</v>
      </c>
    </row>
    <row r="44" spans="1:16" x14ac:dyDescent="0.3">
      <c r="A44">
        <v>1044</v>
      </c>
      <c r="B44" s="2">
        <v>46078</v>
      </c>
      <c r="C44" s="3" t="s">
        <v>209</v>
      </c>
      <c r="D44" s="3" t="s">
        <v>142</v>
      </c>
      <c r="E44" s="3" t="s">
        <v>162</v>
      </c>
      <c r="F44" s="3" t="s">
        <v>165</v>
      </c>
      <c r="G44" s="3" t="s">
        <v>172</v>
      </c>
      <c r="H44">
        <v>8</v>
      </c>
      <c r="I44">
        <v>1957</v>
      </c>
      <c r="J44">
        <f>Table1_1[[#This Row],[Quantity]]*Table1_1[[#This Row],[Unit Price]]</f>
        <v>15656</v>
      </c>
      <c r="K44">
        <v>10</v>
      </c>
      <c r="L44">
        <f>Table1_1[[#This Row],[Total Sales]]*Table1_1[[#This Row],[Discount %]]/100</f>
        <v>1565.6</v>
      </c>
      <c r="M44">
        <f>Table1_1[[#This Row],[Total Sales]]-Table1_1[[#This Row],[Discount amount]]</f>
        <v>14090.4</v>
      </c>
      <c r="N44" s="3" t="s">
        <v>154</v>
      </c>
      <c r="O44" s="3" t="s">
        <v>19</v>
      </c>
      <c r="P44" s="3" t="s">
        <v>147</v>
      </c>
    </row>
    <row r="45" spans="1:16" x14ac:dyDescent="0.3">
      <c r="A45">
        <v>1045</v>
      </c>
      <c r="B45" s="2">
        <v>46046</v>
      </c>
      <c r="C45" s="3" t="s">
        <v>210</v>
      </c>
      <c r="D45" s="3" t="s">
        <v>169</v>
      </c>
      <c r="E45" s="3" t="s">
        <v>151</v>
      </c>
      <c r="F45" s="3" t="s">
        <v>152</v>
      </c>
      <c r="G45" s="3" t="s">
        <v>172</v>
      </c>
      <c r="H45">
        <v>10</v>
      </c>
      <c r="I45">
        <v>2544</v>
      </c>
      <c r="J45">
        <f>Table1_1[[#This Row],[Quantity]]*Table1_1[[#This Row],[Unit Price]]</f>
        <v>25440</v>
      </c>
      <c r="K45">
        <v>5</v>
      </c>
      <c r="L45">
        <f>Table1_1[[#This Row],[Total Sales]]*Table1_1[[#This Row],[Discount %]]/100</f>
        <v>1272</v>
      </c>
      <c r="M45">
        <f>Table1_1[[#This Row],[Total Sales]]-Table1_1[[#This Row],[Discount amount]]</f>
        <v>24168</v>
      </c>
      <c r="N45" s="3" t="s">
        <v>154</v>
      </c>
      <c r="O45" s="3" t="s">
        <v>19</v>
      </c>
      <c r="P45" s="3" t="s">
        <v>267</v>
      </c>
    </row>
    <row r="46" spans="1:16" x14ac:dyDescent="0.3">
      <c r="A46">
        <v>1046</v>
      </c>
      <c r="B46" s="2">
        <v>46180</v>
      </c>
      <c r="C46" s="3" t="s">
        <v>211</v>
      </c>
      <c r="D46" s="3" t="s">
        <v>157</v>
      </c>
      <c r="E46" s="3" t="s">
        <v>151</v>
      </c>
      <c r="F46" s="3" t="s">
        <v>152</v>
      </c>
      <c r="G46" s="3" t="s">
        <v>166</v>
      </c>
      <c r="H46">
        <v>1</v>
      </c>
      <c r="I46">
        <v>353</v>
      </c>
      <c r="J46">
        <f>Table1_1[[#This Row],[Quantity]]*Table1_1[[#This Row],[Unit Price]]</f>
        <v>353</v>
      </c>
      <c r="K46">
        <v>15</v>
      </c>
      <c r="L46">
        <f>Table1_1[[#This Row],[Total Sales]]*Table1_1[[#This Row],[Discount %]]/100</f>
        <v>52.95</v>
      </c>
      <c r="M46">
        <f>Table1_1[[#This Row],[Total Sales]]-Table1_1[[#This Row],[Discount amount]]</f>
        <v>300.05</v>
      </c>
      <c r="N46" s="3" t="s">
        <v>154</v>
      </c>
      <c r="O46" s="3" t="s">
        <v>155</v>
      </c>
      <c r="P46" s="3" t="s">
        <v>167</v>
      </c>
    </row>
    <row r="47" spans="1:16" x14ac:dyDescent="0.3">
      <c r="A47">
        <v>1047</v>
      </c>
      <c r="B47" s="2">
        <v>46162</v>
      </c>
      <c r="C47" s="3" t="s">
        <v>212</v>
      </c>
      <c r="D47" s="3" t="s">
        <v>161</v>
      </c>
      <c r="E47" s="3" t="s">
        <v>151</v>
      </c>
      <c r="F47" s="3" t="s">
        <v>158</v>
      </c>
      <c r="G47" s="3" t="s">
        <v>172</v>
      </c>
      <c r="H47">
        <v>9</v>
      </c>
      <c r="I47">
        <v>4928</v>
      </c>
      <c r="J47">
        <f>Table1_1[[#This Row],[Quantity]]*Table1_1[[#This Row],[Unit Price]]</f>
        <v>44352</v>
      </c>
      <c r="K47">
        <v>0</v>
      </c>
      <c r="L47">
        <f>Table1_1[[#This Row],[Total Sales]]*Table1_1[[#This Row],[Discount %]]/100</f>
        <v>0</v>
      </c>
      <c r="M47">
        <f>Table1_1[[#This Row],[Total Sales]]-Table1_1[[#This Row],[Discount amount]]</f>
        <v>44352</v>
      </c>
      <c r="N47" s="3" t="s">
        <v>146</v>
      </c>
      <c r="O47" s="3" t="s">
        <v>19</v>
      </c>
      <c r="P47" s="3" t="s">
        <v>167</v>
      </c>
    </row>
    <row r="48" spans="1:16" x14ac:dyDescent="0.3">
      <c r="A48">
        <v>1048</v>
      </c>
      <c r="B48" s="2">
        <v>46078</v>
      </c>
      <c r="C48" s="3" t="s">
        <v>213</v>
      </c>
      <c r="D48" s="3" t="s">
        <v>157</v>
      </c>
      <c r="E48" s="3" t="s">
        <v>143</v>
      </c>
      <c r="F48" s="3" t="s">
        <v>144</v>
      </c>
      <c r="G48" s="3" t="s">
        <v>172</v>
      </c>
      <c r="H48">
        <v>9</v>
      </c>
      <c r="I48">
        <v>1271</v>
      </c>
      <c r="J48">
        <f>Table1_1[[#This Row],[Quantity]]*Table1_1[[#This Row],[Unit Price]]</f>
        <v>11439</v>
      </c>
      <c r="K48">
        <v>15</v>
      </c>
      <c r="L48">
        <f>Table1_1[[#This Row],[Total Sales]]*Table1_1[[#This Row],[Discount %]]/100</f>
        <v>1715.85</v>
      </c>
      <c r="M48">
        <f>Table1_1[[#This Row],[Total Sales]]-Table1_1[[#This Row],[Discount amount]]</f>
        <v>9723.15</v>
      </c>
      <c r="N48" s="3" t="s">
        <v>146</v>
      </c>
      <c r="O48" s="3" t="s">
        <v>19</v>
      </c>
      <c r="P48" s="3" t="s">
        <v>174</v>
      </c>
    </row>
    <row r="49" spans="1:16" x14ac:dyDescent="0.3">
      <c r="A49">
        <v>1049</v>
      </c>
      <c r="B49" s="2">
        <v>46052</v>
      </c>
      <c r="C49" s="3" t="s">
        <v>214</v>
      </c>
      <c r="D49" s="3" t="s">
        <v>169</v>
      </c>
      <c r="E49" s="3" t="s">
        <v>143</v>
      </c>
      <c r="F49" s="3" t="s">
        <v>144</v>
      </c>
      <c r="G49" s="3" t="s">
        <v>166</v>
      </c>
      <c r="H49">
        <v>6</v>
      </c>
      <c r="I49">
        <v>4683</v>
      </c>
      <c r="J49">
        <f>Table1_1[[#This Row],[Quantity]]*Table1_1[[#This Row],[Unit Price]]</f>
        <v>28098</v>
      </c>
      <c r="K49">
        <v>15</v>
      </c>
      <c r="L49">
        <f>Table1_1[[#This Row],[Total Sales]]*Table1_1[[#This Row],[Discount %]]/100</f>
        <v>4214.7</v>
      </c>
      <c r="M49">
        <f>Table1_1[[#This Row],[Total Sales]]-Table1_1[[#This Row],[Discount amount]]</f>
        <v>23883.3</v>
      </c>
      <c r="N49" s="3" t="s">
        <v>154</v>
      </c>
      <c r="O49" s="3" t="s">
        <v>155</v>
      </c>
      <c r="P49" s="3" t="s">
        <v>267</v>
      </c>
    </row>
    <row r="50" spans="1:16" x14ac:dyDescent="0.3">
      <c r="A50">
        <v>1050</v>
      </c>
      <c r="B50" s="2">
        <v>46189</v>
      </c>
      <c r="C50" s="3" t="s">
        <v>215</v>
      </c>
      <c r="D50" s="3" t="s">
        <v>157</v>
      </c>
      <c r="E50" s="3" t="s">
        <v>151</v>
      </c>
      <c r="F50" s="3" t="s">
        <v>152</v>
      </c>
      <c r="G50" s="3" t="s">
        <v>172</v>
      </c>
      <c r="H50">
        <v>7</v>
      </c>
      <c r="I50">
        <v>2360</v>
      </c>
      <c r="J50">
        <f>Table1_1[[#This Row],[Quantity]]*Table1_1[[#This Row],[Unit Price]]</f>
        <v>16520</v>
      </c>
      <c r="K50">
        <v>10</v>
      </c>
      <c r="L50">
        <f>Table1_1[[#This Row],[Total Sales]]*Table1_1[[#This Row],[Discount %]]/100</f>
        <v>1652</v>
      </c>
      <c r="M50">
        <f>Table1_1[[#This Row],[Total Sales]]-Table1_1[[#This Row],[Discount amount]]</f>
        <v>14868</v>
      </c>
      <c r="N50" s="3" t="s">
        <v>146</v>
      </c>
      <c r="O50" s="3" t="s">
        <v>155</v>
      </c>
      <c r="P50" s="3" t="s">
        <v>174</v>
      </c>
    </row>
    <row r="51" spans="1:16" x14ac:dyDescent="0.3">
      <c r="A51">
        <v>1051</v>
      </c>
      <c r="B51" s="2">
        <v>46054</v>
      </c>
      <c r="C51" s="3" t="s">
        <v>216</v>
      </c>
      <c r="D51" s="3" t="s">
        <v>169</v>
      </c>
      <c r="E51" s="3" t="s">
        <v>151</v>
      </c>
      <c r="F51" s="3" t="s">
        <v>152</v>
      </c>
      <c r="G51" s="3" t="s">
        <v>172</v>
      </c>
      <c r="H51">
        <v>10</v>
      </c>
      <c r="I51">
        <v>385</v>
      </c>
      <c r="J51">
        <f>Table1_1[[#This Row],[Quantity]]*Table1_1[[#This Row],[Unit Price]]</f>
        <v>3850</v>
      </c>
      <c r="K51">
        <v>0</v>
      </c>
      <c r="L51">
        <f>Table1_1[[#This Row],[Total Sales]]*Table1_1[[#This Row],[Discount %]]/100</f>
        <v>0</v>
      </c>
      <c r="M51">
        <f>Table1_1[[#This Row],[Total Sales]]-Table1_1[[#This Row],[Discount amount]]</f>
        <v>3850</v>
      </c>
      <c r="N51" s="3" t="s">
        <v>154</v>
      </c>
      <c r="O51" s="3" t="s">
        <v>155</v>
      </c>
      <c r="P51" s="3" t="s">
        <v>267</v>
      </c>
    </row>
    <row r="52" spans="1:16" x14ac:dyDescent="0.3">
      <c r="A52">
        <v>1052</v>
      </c>
      <c r="B52" s="2">
        <v>46110</v>
      </c>
      <c r="C52" s="3" t="s">
        <v>217</v>
      </c>
      <c r="D52" s="3" t="s">
        <v>169</v>
      </c>
      <c r="E52" s="3" t="s">
        <v>151</v>
      </c>
      <c r="F52" s="3" t="s">
        <v>152</v>
      </c>
      <c r="G52" s="3" t="s">
        <v>145</v>
      </c>
      <c r="H52">
        <v>5</v>
      </c>
      <c r="I52">
        <v>1649</v>
      </c>
      <c r="J52">
        <f>Table1_1[[#This Row],[Quantity]]*Table1_1[[#This Row],[Unit Price]]</f>
        <v>8245</v>
      </c>
      <c r="K52">
        <v>5</v>
      </c>
      <c r="L52">
        <f>Table1_1[[#This Row],[Total Sales]]*Table1_1[[#This Row],[Discount %]]/100</f>
        <v>412.25</v>
      </c>
      <c r="M52">
        <f>Table1_1[[#This Row],[Total Sales]]-Table1_1[[#This Row],[Discount amount]]</f>
        <v>7832.75</v>
      </c>
      <c r="N52" s="3" t="s">
        <v>146</v>
      </c>
      <c r="O52" s="3" t="s">
        <v>155</v>
      </c>
      <c r="P52" s="3" t="s">
        <v>174</v>
      </c>
    </row>
    <row r="53" spans="1:16" x14ac:dyDescent="0.3">
      <c r="A53">
        <v>1053</v>
      </c>
      <c r="B53" s="2">
        <v>46033</v>
      </c>
      <c r="C53" s="3" t="s">
        <v>218</v>
      </c>
      <c r="D53" s="3" t="s">
        <v>150</v>
      </c>
      <c r="E53" s="3" t="s">
        <v>162</v>
      </c>
      <c r="F53" s="3" t="s">
        <v>163</v>
      </c>
      <c r="G53" s="3" t="s">
        <v>145</v>
      </c>
      <c r="H53">
        <v>7</v>
      </c>
      <c r="I53">
        <v>4810</v>
      </c>
      <c r="J53">
        <f>Table1_1[[#This Row],[Quantity]]*Table1_1[[#This Row],[Unit Price]]</f>
        <v>33670</v>
      </c>
      <c r="K53">
        <v>0</v>
      </c>
      <c r="L53">
        <f>Table1_1[[#This Row],[Total Sales]]*Table1_1[[#This Row],[Discount %]]/100</f>
        <v>0</v>
      </c>
      <c r="M53">
        <f>Table1_1[[#This Row],[Total Sales]]-Table1_1[[#This Row],[Discount amount]]</f>
        <v>33670</v>
      </c>
      <c r="N53" s="3" t="s">
        <v>146</v>
      </c>
      <c r="O53" s="3" t="s">
        <v>159</v>
      </c>
      <c r="P53" s="3" t="s">
        <v>174</v>
      </c>
    </row>
    <row r="54" spans="1:16" x14ac:dyDescent="0.3">
      <c r="A54">
        <v>1054</v>
      </c>
      <c r="B54" s="2">
        <v>46146</v>
      </c>
      <c r="C54" s="3" t="s">
        <v>219</v>
      </c>
      <c r="D54" s="3" t="s">
        <v>150</v>
      </c>
      <c r="E54" s="3" t="s">
        <v>151</v>
      </c>
      <c r="F54" s="3" t="s">
        <v>158</v>
      </c>
      <c r="G54" s="3" t="s">
        <v>153</v>
      </c>
      <c r="H54">
        <v>7</v>
      </c>
      <c r="I54">
        <v>1749</v>
      </c>
      <c r="J54">
        <f>Table1_1[[#This Row],[Quantity]]*Table1_1[[#This Row],[Unit Price]]</f>
        <v>12243</v>
      </c>
      <c r="K54">
        <v>15</v>
      </c>
      <c r="L54">
        <f>Table1_1[[#This Row],[Total Sales]]*Table1_1[[#This Row],[Discount %]]/100</f>
        <v>1836.45</v>
      </c>
      <c r="M54">
        <f>Table1_1[[#This Row],[Total Sales]]-Table1_1[[#This Row],[Discount amount]]</f>
        <v>10406.549999999999</v>
      </c>
      <c r="N54" s="3" t="s">
        <v>146</v>
      </c>
      <c r="O54" s="3" t="s">
        <v>19</v>
      </c>
      <c r="P54" s="3" t="s">
        <v>174</v>
      </c>
    </row>
    <row r="55" spans="1:16" x14ac:dyDescent="0.3">
      <c r="A55">
        <v>1055</v>
      </c>
      <c r="B55" s="2">
        <v>46203</v>
      </c>
      <c r="C55" s="3" t="s">
        <v>220</v>
      </c>
      <c r="D55" s="3" t="s">
        <v>169</v>
      </c>
      <c r="E55" s="3" t="s">
        <v>143</v>
      </c>
      <c r="F55" s="3" t="s">
        <v>144</v>
      </c>
      <c r="G55" s="3" t="s">
        <v>172</v>
      </c>
      <c r="H55">
        <v>8</v>
      </c>
      <c r="I55">
        <v>1461</v>
      </c>
      <c r="J55">
        <f>Table1_1[[#This Row],[Quantity]]*Table1_1[[#This Row],[Unit Price]]</f>
        <v>11688</v>
      </c>
      <c r="K55">
        <v>10</v>
      </c>
      <c r="L55">
        <f>Table1_1[[#This Row],[Total Sales]]*Table1_1[[#This Row],[Discount %]]/100</f>
        <v>1168.8</v>
      </c>
      <c r="M55">
        <f>Table1_1[[#This Row],[Total Sales]]-Table1_1[[#This Row],[Discount amount]]</f>
        <v>10519.2</v>
      </c>
      <c r="N55" s="3" t="s">
        <v>146</v>
      </c>
      <c r="O55" s="3" t="s">
        <v>159</v>
      </c>
      <c r="P55" s="3" t="s">
        <v>267</v>
      </c>
    </row>
    <row r="56" spans="1:16" x14ac:dyDescent="0.3">
      <c r="A56">
        <v>1056</v>
      </c>
      <c r="B56" s="2">
        <v>46066</v>
      </c>
      <c r="C56" s="3" t="s">
        <v>221</v>
      </c>
      <c r="D56" s="3" t="s">
        <v>161</v>
      </c>
      <c r="E56" s="3" t="s">
        <v>151</v>
      </c>
      <c r="F56" s="3" t="s">
        <v>158</v>
      </c>
      <c r="G56" s="3" t="s">
        <v>145</v>
      </c>
      <c r="H56">
        <v>1</v>
      </c>
      <c r="I56">
        <v>941</v>
      </c>
      <c r="J56">
        <f>Table1_1[[#This Row],[Quantity]]*Table1_1[[#This Row],[Unit Price]]</f>
        <v>941</v>
      </c>
      <c r="K56">
        <v>0</v>
      </c>
      <c r="L56">
        <f>Table1_1[[#This Row],[Total Sales]]*Table1_1[[#This Row],[Discount %]]/100</f>
        <v>0</v>
      </c>
      <c r="M56">
        <f>Table1_1[[#This Row],[Total Sales]]-Table1_1[[#This Row],[Discount amount]]</f>
        <v>941</v>
      </c>
      <c r="N56" s="3" t="s">
        <v>146</v>
      </c>
      <c r="O56" s="3" t="s">
        <v>19</v>
      </c>
      <c r="P56" s="3" t="s">
        <v>267</v>
      </c>
    </row>
    <row r="57" spans="1:16" x14ac:dyDescent="0.3">
      <c r="A57">
        <v>1057</v>
      </c>
      <c r="B57" s="2">
        <v>46163</v>
      </c>
      <c r="C57" s="3" t="s">
        <v>222</v>
      </c>
      <c r="D57" s="3" t="s">
        <v>169</v>
      </c>
      <c r="E57" s="3" t="s">
        <v>151</v>
      </c>
      <c r="F57" s="3" t="s">
        <v>152</v>
      </c>
      <c r="G57" s="3" t="s">
        <v>145</v>
      </c>
      <c r="H57">
        <v>3</v>
      </c>
      <c r="I57">
        <v>1245</v>
      </c>
      <c r="J57">
        <f>Table1_1[[#This Row],[Quantity]]*Table1_1[[#This Row],[Unit Price]]</f>
        <v>3735</v>
      </c>
      <c r="K57">
        <v>0</v>
      </c>
      <c r="L57">
        <f>Table1_1[[#This Row],[Total Sales]]*Table1_1[[#This Row],[Discount %]]/100</f>
        <v>0</v>
      </c>
      <c r="M57">
        <f>Table1_1[[#This Row],[Total Sales]]-Table1_1[[#This Row],[Discount amount]]</f>
        <v>3735</v>
      </c>
      <c r="N57" s="3" t="s">
        <v>146</v>
      </c>
      <c r="O57" s="3" t="s">
        <v>159</v>
      </c>
      <c r="P57" s="3" t="s">
        <v>267</v>
      </c>
    </row>
    <row r="58" spans="1:16" x14ac:dyDescent="0.3">
      <c r="A58">
        <v>1058</v>
      </c>
      <c r="B58" s="2">
        <v>46096</v>
      </c>
      <c r="C58" s="3" t="s">
        <v>223</v>
      </c>
      <c r="D58" s="3" t="s">
        <v>169</v>
      </c>
      <c r="E58" s="3" t="s">
        <v>151</v>
      </c>
      <c r="F58" s="3" t="s">
        <v>158</v>
      </c>
      <c r="G58" s="3" t="s">
        <v>172</v>
      </c>
      <c r="H58">
        <v>5</v>
      </c>
      <c r="I58">
        <v>3559</v>
      </c>
      <c r="J58">
        <f>Table1_1[[#This Row],[Quantity]]*Table1_1[[#This Row],[Unit Price]]</f>
        <v>17795</v>
      </c>
      <c r="K58">
        <v>5</v>
      </c>
      <c r="L58">
        <f>Table1_1[[#This Row],[Total Sales]]*Table1_1[[#This Row],[Discount %]]/100</f>
        <v>889.75</v>
      </c>
      <c r="M58">
        <f>Table1_1[[#This Row],[Total Sales]]-Table1_1[[#This Row],[Discount amount]]</f>
        <v>16905.25</v>
      </c>
      <c r="N58" s="3" t="s">
        <v>154</v>
      </c>
      <c r="O58" s="3" t="s">
        <v>159</v>
      </c>
      <c r="P58" s="3" t="s">
        <v>147</v>
      </c>
    </row>
    <row r="59" spans="1:16" x14ac:dyDescent="0.3">
      <c r="A59">
        <v>1059</v>
      </c>
      <c r="B59" s="2">
        <v>46081</v>
      </c>
      <c r="C59" s="3" t="s">
        <v>224</v>
      </c>
      <c r="D59" s="3" t="s">
        <v>150</v>
      </c>
      <c r="E59" s="3" t="s">
        <v>143</v>
      </c>
      <c r="F59" s="3" t="s">
        <v>144</v>
      </c>
      <c r="G59" s="3" t="s">
        <v>172</v>
      </c>
      <c r="H59">
        <v>4</v>
      </c>
      <c r="I59">
        <v>1204</v>
      </c>
      <c r="J59">
        <f>Table1_1[[#This Row],[Quantity]]*Table1_1[[#This Row],[Unit Price]]</f>
        <v>4816</v>
      </c>
      <c r="K59">
        <v>10</v>
      </c>
      <c r="L59">
        <f>Table1_1[[#This Row],[Total Sales]]*Table1_1[[#This Row],[Discount %]]/100</f>
        <v>481.6</v>
      </c>
      <c r="M59">
        <f>Table1_1[[#This Row],[Total Sales]]-Table1_1[[#This Row],[Discount amount]]</f>
        <v>4334.3999999999996</v>
      </c>
      <c r="N59" s="3" t="s">
        <v>154</v>
      </c>
      <c r="O59" s="3" t="s">
        <v>155</v>
      </c>
      <c r="P59" s="3" t="s">
        <v>174</v>
      </c>
    </row>
    <row r="60" spans="1:16" x14ac:dyDescent="0.3">
      <c r="A60">
        <v>1060</v>
      </c>
      <c r="B60" s="2">
        <v>46045</v>
      </c>
      <c r="C60" s="3" t="s">
        <v>225</v>
      </c>
      <c r="D60" s="3" t="s">
        <v>157</v>
      </c>
      <c r="E60" s="3" t="s">
        <v>143</v>
      </c>
      <c r="F60" s="3" t="s">
        <v>144</v>
      </c>
      <c r="G60" s="3" t="s">
        <v>153</v>
      </c>
      <c r="H60">
        <v>10</v>
      </c>
      <c r="I60">
        <v>435</v>
      </c>
      <c r="J60">
        <f>Table1_1[[#This Row],[Quantity]]*Table1_1[[#This Row],[Unit Price]]</f>
        <v>4350</v>
      </c>
      <c r="K60">
        <v>10</v>
      </c>
      <c r="L60">
        <f>Table1_1[[#This Row],[Total Sales]]*Table1_1[[#This Row],[Discount %]]/100</f>
        <v>435</v>
      </c>
      <c r="M60">
        <f>Table1_1[[#This Row],[Total Sales]]-Table1_1[[#This Row],[Discount amount]]</f>
        <v>3915</v>
      </c>
      <c r="N60" s="3" t="s">
        <v>146</v>
      </c>
      <c r="O60" s="3" t="s">
        <v>19</v>
      </c>
      <c r="P60" s="3" t="s">
        <v>174</v>
      </c>
    </row>
    <row r="61" spans="1:16" x14ac:dyDescent="0.3">
      <c r="A61">
        <v>1061</v>
      </c>
      <c r="B61" s="2">
        <v>46074</v>
      </c>
      <c r="C61" s="3" t="s">
        <v>226</v>
      </c>
      <c r="D61" s="3" t="s">
        <v>150</v>
      </c>
      <c r="E61" s="3" t="s">
        <v>151</v>
      </c>
      <c r="F61" s="3" t="s">
        <v>152</v>
      </c>
      <c r="G61" s="3" t="s">
        <v>172</v>
      </c>
      <c r="H61">
        <v>4</v>
      </c>
      <c r="I61">
        <v>4428</v>
      </c>
      <c r="J61">
        <f>Table1_1[[#This Row],[Quantity]]*Table1_1[[#This Row],[Unit Price]]</f>
        <v>17712</v>
      </c>
      <c r="K61">
        <v>0</v>
      </c>
      <c r="L61">
        <f>Table1_1[[#This Row],[Total Sales]]*Table1_1[[#This Row],[Discount %]]/100</f>
        <v>0</v>
      </c>
      <c r="M61">
        <f>Table1_1[[#This Row],[Total Sales]]-Table1_1[[#This Row],[Discount amount]]</f>
        <v>17712</v>
      </c>
      <c r="N61" s="3" t="s">
        <v>154</v>
      </c>
      <c r="O61" s="3" t="s">
        <v>159</v>
      </c>
      <c r="P61" s="3" t="s">
        <v>267</v>
      </c>
    </row>
    <row r="62" spans="1:16" x14ac:dyDescent="0.3">
      <c r="A62">
        <v>1062</v>
      </c>
      <c r="B62" s="2">
        <v>46067</v>
      </c>
      <c r="C62" s="3" t="s">
        <v>227</v>
      </c>
      <c r="D62" s="3" t="s">
        <v>161</v>
      </c>
      <c r="E62" s="3" t="s">
        <v>143</v>
      </c>
      <c r="F62" s="3" t="s">
        <v>171</v>
      </c>
      <c r="G62" s="3" t="s">
        <v>166</v>
      </c>
      <c r="H62">
        <v>4</v>
      </c>
      <c r="I62">
        <v>2146</v>
      </c>
      <c r="J62">
        <f>Table1_1[[#This Row],[Quantity]]*Table1_1[[#This Row],[Unit Price]]</f>
        <v>8584</v>
      </c>
      <c r="K62">
        <v>5</v>
      </c>
      <c r="L62">
        <f>Table1_1[[#This Row],[Total Sales]]*Table1_1[[#This Row],[Discount %]]/100</f>
        <v>429.2</v>
      </c>
      <c r="M62">
        <f>Table1_1[[#This Row],[Total Sales]]-Table1_1[[#This Row],[Discount amount]]</f>
        <v>8154.8</v>
      </c>
      <c r="N62" s="3" t="s">
        <v>154</v>
      </c>
      <c r="O62" s="3" t="s">
        <v>159</v>
      </c>
      <c r="P62" s="3" t="s">
        <v>174</v>
      </c>
    </row>
    <row r="63" spans="1:16" x14ac:dyDescent="0.3">
      <c r="A63">
        <v>1063</v>
      </c>
      <c r="B63" s="2">
        <v>46092</v>
      </c>
      <c r="C63" s="3" t="s">
        <v>228</v>
      </c>
      <c r="D63" s="3" t="s">
        <v>150</v>
      </c>
      <c r="E63" s="3" t="s">
        <v>162</v>
      </c>
      <c r="F63" s="3" t="s">
        <v>163</v>
      </c>
      <c r="G63" s="3" t="s">
        <v>153</v>
      </c>
      <c r="H63">
        <v>4</v>
      </c>
      <c r="I63">
        <v>1168</v>
      </c>
      <c r="J63">
        <f>Table1_1[[#This Row],[Quantity]]*Table1_1[[#This Row],[Unit Price]]</f>
        <v>4672</v>
      </c>
      <c r="K63">
        <v>15</v>
      </c>
      <c r="L63">
        <f>Table1_1[[#This Row],[Total Sales]]*Table1_1[[#This Row],[Discount %]]/100</f>
        <v>700.8</v>
      </c>
      <c r="M63">
        <f>Table1_1[[#This Row],[Total Sales]]-Table1_1[[#This Row],[Discount amount]]</f>
        <v>3971.2</v>
      </c>
      <c r="N63" s="3" t="s">
        <v>154</v>
      </c>
      <c r="O63" s="3" t="s">
        <v>155</v>
      </c>
      <c r="P63" s="3" t="s">
        <v>267</v>
      </c>
    </row>
    <row r="64" spans="1:16" x14ac:dyDescent="0.3">
      <c r="A64">
        <v>1064</v>
      </c>
      <c r="B64" s="2">
        <v>46059</v>
      </c>
      <c r="C64" s="3" t="s">
        <v>229</v>
      </c>
      <c r="D64" s="3" t="s">
        <v>150</v>
      </c>
      <c r="E64" s="3" t="s">
        <v>162</v>
      </c>
      <c r="F64" s="3" t="s">
        <v>165</v>
      </c>
      <c r="G64" s="3" t="s">
        <v>172</v>
      </c>
      <c r="H64">
        <v>6</v>
      </c>
      <c r="I64">
        <v>4798</v>
      </c>
      <c r="J64">
        <f>Table1_1[[#This Row],[Quantity]]*Table1_1[[#This Row],[Unit Price]]</f>
        <v>28788</v>
      </c>
      <c r="K64">
        <v>10</v>
      </c>
      <c r="L64">
        <f>Table1_1[[#This Row],[Total Sales]]*Table1_1[[#This Row],[Discount %]]/100</f>
        <v>2878.8</v>
      </c>
      <c r="M64">
        <f>Table1_1[[#This Row],[Total Sales]]-Table1_1[[#This Row],[Discount amount]]</f>
        <v>25909.200000000001</v>
      </c>
      <c r="N64" s="3" t="s">
        <v>154</v>
      </c>
      <c r="O64" s="3" t="s">
        <v>159</v>
      </c>
      <c r="P64" s="3" t="s">
        <v>147</v>
      </c>
    </row>
    <row r="65" spans="1:16" x14ac:dyDescent="0.3">
      <c r="A65">
        <v>1065</v>
      </c>
      <c r="B65" s="2">
        <v>46082</v>
      </c>
      <c r="C65" s="3" t="s">
        <v>230</v>
      </c>
      <c r="D65" s="3" t="s">
        <v>169</v>
      </c>
      <c r="E65" s="3" t="s">
        <v>162</v>
      </c>
      <c r="F65" s="3" t="s">
        <v>180</v>
      </c>
      <c r="G65" s="3" t="s">
        <v>153</v>
      </c>
      <c r="H65">
        <v>3</v>
      </c>
      <c r="I65">
        <v>2000</v>
      </c>
      <c r="J65">
        <f>Table1_1[[#This Row],[Quantity]]*Table1_1[[#This Row],[Unit Price]]</f>
        <v>6000</v>
      </c>
      <c r="K65">
        <v>10</v>
      </c>
      <c r="L65">
        <f>Table1_1[[#This Row],[Total Sales]]*Table1_1[[#This Row],[Discount %]]/100</f>
        <v>600</v>
      </c>
      <c r="M65">
        <f>Table1_1[[#This Row],[Total Sales]]-Table1_1[[#This Row],[Discount amount]]</f>
        <v>5400</v>
      </c>
      <c r="N65" s="3" t="s">
        <v>154</v>
      </c>
      <c r="O65" s="3" t="s">
        <v>159</v>
      </c>
      <c r="P65" s="3" t="s">
        <v>267</v>
      </c>
    </row>
    <row r="66" spans="1:16" x14ac:dyDescent="0.3">
      <c r="A66">
        <v>1066</v>
      </c>
      <c r="B66" s="2">
        <v>46115</v>
      </c>
      <c r="C66" s="3" t="s">
        <v>231</v>
      </c>
      <c r="D66" s="3" t="s">
        <v>150</v>
      </c>
      <c r="E66" s="3" t="s">
        <v>143</v>
      </c>
      <c r="F66" s="3" t="s">
        <v>171</v>
      </c>
      <c r="G66" s="3" t="s">
        <v>166</v>
      </c>
      <c r="H66">
        <v>4</v>
      </c>
      <c r="I66">
        <v>3282</v>
      </c>
      <c r="J66">
        <f>Table1_1[[#This Row],[Quantity]]*Table1_1[[#This Row],[Unit Price]]</f>
        <v>13128</v>
      </c>
      <c r="K66">
        <v>15</v>
      </c>
      <c r="L66">
        <f>Table1_1[[#This Row],[Total Sales]]*Table1_1[[#This Row],[Discount %]]/100</f>
        <v>1969.2</v>
      </c>
      <c r="M66">
        <f>Table1_1[[#This Row],[Total Sales]]-Table1_1[[#This Row],[Discount amount]]</f>
        <v>11158.8</v>
      </c>
      <c r="N66" s="3" t="s">
        <v>154</v>
      </c>
      <c r="O66" s="3" t="s">
        <v>155</v>
      </c>
      <c r="P66" s="3" t="s">
        <v>174</v>
      </c>
    </row>
    <row r="67" spans="1:16" x14ac:dyDescent="0.3">
      <c r="A67">
        <v>1067</v>
      </c>
      <c r="B67" s="2">
        <v>46067</v>
      </c>
      <c r="C67" s="3" t="s">
        <v>232</v>
      </c>
      <c r="D67" s="3" t="s">
        <v>161</v>
      </c>
      <c r="E67" s="3" t="s">
        <v>143</v>
      </c>
      <c r="F67" s="3" t="s">
        <v>171</v>
      </c>
      <c r="G67" s="3" t="s">
        <v>145</v>
      </c>
      <c r="H67">
        <v>6</v>
      </c>
      <c r="I67">
        <v>584</v>
      </c>
      <c r="J67">
        <f>Table1_1[[#This Row],[Quantity]]*Table1_1[[#This Row],[Unit Price]]</f>
        <v>3504</v>
      </c>
      <c r="K67">
        <v>15</v>
      </c>
      <c r="L67">
        <f>Table1_1[[#This Row],[Total Sales]]*Table1_1[[#This Row],[Discount %]]/100</f>
        <v>525.6</v>
      </c>
      <c r="M67">
        <f>Table1_1[[#This Row],[Total Sales]]-Table1_1[[#This Row],[Discount amount]]</f>
        <v>2978.4</v>
      </c>
      <c r="N67" s="3" t="s">
        <v>146</v>
      </c>
      <c r="O67" s="3" t="s">
        <v>159</v>
      </c>
      <c r="P67" s="3" t="s">
        <v>167</v>
      </c>
    </row>
    <row r="68" spans="1:16" x14ac:dyDescent="0.3">
      <c r="A68">
        <v>1068</v>
      </c>
      <c r="B68" s="2">
        <v>46032</v>
      </c>
      <c r="C68" s="3" t="s">
        <v>233</v>
      </c>
      <c r="D68" s="3" t="s">
        <v>161</v>
      </c>
      <c r="E68" s="3" t="s">
        <v>151</v>
      </c>
      <c r="F68" s="3" t="s">
        <v>152</v>
      </c>
      <c r="G68" s="3" t="s">
        <v>145</v>
      </c>
      <c r="H68">
        <v>2</v>
      </c>
      <c r="I68">
        <v>1798</v>
      </c>
      <c r="J68">
        <f>Table1_1[[#This Row],[Quantity]]*Table1_1[[#This Row],[Unit Price]]</f>
        <v>3596</v>
      </c>
      <c r="K68">
        <v>10</v>
      </c>
      <c r="L68">
        <f>Table1_1[[#This Row],[Total Sales]]*Table1_1[[#This Row],[Discount %]]/100</f>
        <v>359.6</v>
      </c>
      <c r="M68">
        <f>Table1_1[[#This Row],[Total Sales]]-Table1_1[[#This Row],[Discount amount]]</f>
        <v>3236.4</v>
      </c>
      <c r="N68" s="3" t="s">
        <v>146</v>
      </c>
      <c r="O68" s="3" t="s">
        <v>155</v>
      </c>
      <c r="P68" s="3" t="s">
        <v>267</v>
      </c>
    </row>
    <row r="69" spans="1:16" x14ac:dyDescent="0.3">
      <c r="A69">
        <v>1069</v>
      </c>
      <c r="B69" s="2">
        <v>46061</v>
      </c>
      <c r="C69" s="3" t="s">
        <v>234</v>
      </c>
      <c r="D69" s="3" t="s">
        <v>142</v>
      </c>
      <c r="E69" s="3" t="s">
        <v>143</v>
      </c>
      <c r="F69" s="3" t="s">
        <v>144</v>
      </c>
      <c r="G69" s="3" t="s">
        <v>145</v>
      </c>
      <c r="H69">
        <v>6</v>
      </c>
      <c r="I69">
        <v>3099</v>
      </c>
      <c r="J69">
        <f>Table1_1[[#This Row],[Quantity]]*Table1_1[[#This Row],[Unit Price]]</f>
        <v>18594</v>
      </c>
      <c r="K69">
        <v>5</v>
      </c>
      <c r="L69">
        <f>Table1_1[[#This Row],[Total Sales]]*Table1_1[[#This Row],[Discount %]]/100</f>
        <v>929.7</v>
      </c>
      <c r="M69">
        <f>Table1_1[[#This Row],[Total Sales]]-Table1_1[[#This Row],[Discount amount]]</f>
        <v>17664.3</v>
      </c>
      <c r="N69" s="3" t="s">
        <v>154</v>
      </c>
      <c r="O69" s="3" t="s">
        <v>159</v>
      </c>
      <c r="P69" s="3" t="s">
        <v>147</v>
      </c>
    </row>
    <row r="70" spans="1:16" x14ac:dyDescent="0.3">
      <c r="A70">
        <v>1070</v>
      </c>
      <c r="B70" s="2">
        <v>46161</v>
      </c>
      <c r="C70" s="3" t="s">
        <v>235</v>
      </c>
      <c r="D70" s="3" t="s">
        <v>150</v>
      </c>
      <c r="E70" s="3" t="s">
        <v>143</v>
      </c>
      <c r="F70" s="3" t="s">
        <v>171</v>
      </c>
      <c r="G70" s="3" t="s">
        <v>172</v>
      </c>
      <c r="H70">
        <v>3</v>
      </c>
      <c r="I70">
        <v>1879</v>
      </c>
      <c r="J70">
        <f>Table1_1[[#This Row],[Quantity]]*Table1_1[[#This Row],[Unit Price]]</f>
        <v>5637</v>
      </c>
      <c r="K70">
        <v>10</v>
      </c>
      <c r="L70">
        <f>Table1_1[[#This Row],[Total Sales]]*Table1_1[[#This Row],[Discount %]]/100</f>
        <v>563.70000000000005</v>
      </c>
      <c r="M70">
        <f>Table1_1[[#This Row],[Total Sales]]-Table1_1[[#This Row],[Discount amount]]</f>
        <v>5073.3</v>
      </c>
      <c r="N70" s="3" t="s">
        <v>154</v>
      </c>
      <c r="O70" s="3" t="s">
        <v>155</v>
      </c>
      <c r="P70" s="3" t="s">
        <v>147</v>
      </c>
    </row>
    <row r="71" spans="1:16" x14ac:dyDescent="0.3">
      <c r="A71">
        <v>1071</v>
      </c>
      <c r="B71" s="2">
        <v>46029</v>
      </c>
      <c r="C71" s="3" t="s">
        <v>236</v>
      </c>
      <c r="D71" s="3" t="s">
        <v>142</v>
      </c>
      <c r="E71" s="3" t="s">
        <v>143</v>
      </c>
      <c r="F71" s="3" t="s">
        <v>144</v>
      </c>
      <c r="G71" s="3" t="s">
        <v>166</v>
      </c>
      <c r="H71">
        <v>9</v>
      </c>
      <c r="I71">
        <v>930</v>
      </c>
      <c r="J71">
        <f>Table1_1[[#This Row],[Quantity]]*Table1_1[[#This Row],[Unit Price]]</f>
        <v>8370</v>
      </c>
      <c r="K71">
        <v>0</v>
      </c>
      <c r="L71">
        <f>Table1_1[[#This Row],[Total Sales]]*Table1_1[[#This Row],[Discount %]]/100</f>
        <v>0</v>
      </c>
      <c r="M71">
        <f>Table1_1[[#This Row],[Total Sales]]-Table1_1[[#This Row],[Discount amount]]</f>
        <v>8370</v>
      </c>
      <c r="N71" s="3" t="s">
        <v>154</v>
      </c>
      <c r="O71" s="3" t="s">
        <v>155</v>
      </c>
      <c r="P71" s="3" t="s">
        <v>147</v>
      </c>
    </row>
    <row r="72" spans="1:16" x14ac:dyDescent="0.3">
      <c r="A72">
        <v>1072</v>
      </c>
      <c r="B72" s="2">
        <v>46181</v>
      </c>
      <c r="C72" s="3" t="s">
        <v>237</v>
      </c>
      <c r="D72" s="3" t="s">
        <v>169</v>
      </c>
      <c r="E72" s="3" t="s">
        <v>151</v>
      </c>
      <c r="F72" s="3" t="s">
        <v>158</v>
      </c>
      <c r="G72" s="3" t="s">
        <v>145</v>
      </c>
      <c r="H72">
        <v>6</v>
      </c>
      <c r="I72">
        <v>4713</v>
      </c>
      <c r="J72">
        <f>Table1_1[[#This Row],[Quantity]]*Table1_1[[#This Row],[Unit Price]]</f>
        <v>28278</v>
      </c>
      <c r="K72">
        <v>0</v>
      </c>
      <c r="L72">
        <f>Table1_1[[#This Row],[Total Sales]]*Table1_1[[#This Row],[Discount %]]/100</f>
        <v>0</v>
      </c>
      <c r="M72">
        <f>Table1_1[[#This Row],[Total Sales]]-Table1_1[[#This Row],[Discount amount]]</f>
        <v>28278</v>
      </c>
      <c r="N72" s="3" t="s">
        <v>154</v>
      </c>
      <c r="O72" s="3" t="s">
        <v>159</v>
      </c>
      <c r="P72" s="3" t="s">
        <v>147</v>
      </c>
    </row>
    <row r="73" spans="1:16" x14ac:dyDescent="0.3">
      <c r="A73">
        <v>1073</v>
      </c>
      <c r="B73" s="2">
        <v>46186</v>
      </c>
      <c r="C73" s="3" t="s">
        <v>238</v>
      </c>
      <c r="D73" s="3" t="s">
        <v>150</v>
      </c>
      <c r="E73" s="3" t="s">
        <v>151</v>
      </c>
      <c r="F73" s="3" t="s">
        <v>152</v>
      </c>
      <c r="G73" s="3" t="s">
        <v>145</v>
      </c>
      <c r="H73">
        <v>2</v>
      </c>
      <c r="I73">
        <v>3055</v>
      </c>
      <c r="J73">
        <f>Table1_1[[#This Row],[Quantity]]*Table1_1[[#This Row],[Unit Price]]</f>
        <v>6110</v>
      </c>
      <c r="K73">
        <v>5</v>
      </c>
      <c r="L73">
        <f>Table1_1[[#This Row],[Total Sales]]*Table1_1[[#This Row],[Discount %]]/100</f>
        <v>305.5</v>
      </c>
      <c r="M73">
        <f>Table1_1[[#This Row],[Total Sales]]-Table1_1[[#This Row],[Discount amount]]</f>
        <v>5804.5</v>
      </c>
      <c r="N73" s="3" t="s">
        <v>146</v>
      </c>
      <c r="O73" s="3" t="s">
        <v>155</v>
      </c>
      <c r="P73" s="3" t="s">
        <v>167</v>
      </c>
    </row>
    <row r="74" spans="1:16" x14ac:dyDescent="0.3">
      <c r="A74">
        <v>1074</v>
      </c>
      <c r="B74" s="2">
        <v>46180</v>
      </c>
      <c r="C74" s="3" t="s">
        <v>239</v>
      </c>
      <c r="D74" s="3" t="s">
        <v>161</v>
      </c>
      <c r="E74" s="3" t="s">
        <v>143</v>
      </c>
      <c r="F74" s="3" t="s">
        <v>144</v>
      </c>
      <c r="G74" s="3" t="s">
        <v>172</v>
      </c>
      <c r="H74">
        <v>5</v>
      </c>
      <c r="I74">
        <v>993</v>
      </c>
      <c r="J74">
        <f>Table1_1[[#This Row],[Quantity]]*Table1_1[[#This Row],[Unit Price]]</f>
        <v>4965</v>
      </c>
      <c r="K74">
        <v>5</v>
      </c>
      <c r="L74">
        <f>Table1_1[[#This Row],[Total Sales]]*Table1_1[[#This Row],[Discount %]]/100</f>
        <v>248.25</v>
      </c>
      <c r="M74">
        <f>Table1_1[[#This Row],[Total Sales]]-Table1_1[[#This Row],[Discount amount]]</f>
        <v>4716.75</v>
      </c>
      <c r="N74" s="3" t="s">
        <v>146</v>
      </c>
      <c r="O74" s="3" t="s">
        <v>159</v>
      </c>
      <c r="P74" s="3" t="s">
        <v>174</v>
      </c>
    </row>
    <row r="75" spans="1:16" x14ac:dyDescent="0.3">
      <c r="A75">
        <v>1075</v>
      </c>
      <c r="B75" s="2">
        <v>46110</v>
      </c>
      <c r="C75" s="3" t="s">
        <v>240</v>
      </c>
      <c r="D75" s="3" t="s">
        <v>142</v>
      </c>
      <c r="E75" s="3" t="s">
        <v>151</v>
      </c>
      <c r="F75" s="3" t="s">
        <v>152</v>
      </c>
      <c r="G75" s="3" t="s">
        <v>145</v>
      </c>
      <c r="H75">
        <v>2</v>
      </c>
      <c r="I75">
        <v>4128</v>
      </c>
      <c r="J75">
        <f>Table1_1[[#This Row],[Quantity]]*Table1_1[[#This Row],[Unit Price]]</f>
        <v>8256</v>
      </c>
      <c r="K75">
        <v>0</v>
      </c>
      <c r="L75">
        <f>Table1_1[[#This Row],[Total Sales]]*Table1_1[[#This Row],[Discount %]]/100</f>
        <v>0</v>
      </c>
      <c r="M75">
        <f>Table1_1[[#This Row],[Total Sales]]-Table1_1[[#This Row],[Discount amount]]</f>
        <v>8256</v>
      </c>
      <c r="N75" s="3" t="s">
        <v>146</v>
      </c>
      <c r="O75" s="3" t="s">
        <v>159</v>
      </c>
      <c r="P75" s="3" t="s">
        <v>267</v>
      </c>
    </row>
    <row r="76" spans="1:16" x14ac:dyDescent="0.3">
      <c r="A76">
        <v>1076</v>
      </c>
      <c r="B76" s="2">
        <v>46193</v>
      </c>
      <c r="C76" s="3" t="s">
        <v>241</v>
      </c>
      <c r="D76" s="3" t="s">
        <v>157</v>
      </c>
      <c r="E76" s="3" t="s">
        <v>143</v>
      </c>
      <c r="F76" s="3" t="s">
        <v>144</v>
      </c>
      <c r="G76" s="3" t="s">
        <v>172</v>
      </c>
      <c r="H76">
        <v>4</v>
      </c>
      <c r="I76">
        <v>4162</v>
      </c>
      <c r="J76">
        <f>Table1_1[[#This Row],[Quantity]]*Table1_1[[#This Row],[Unit Price]]</f>
        <v>16648</v>
      </c>
      <c r="K76">
        <v>10</v>
      </c>
      <c r="L76">
        <f>Table1_1[[#This Row],[Total Sales]]*Table1_1[[#This Row],[Discount %]]/100</f>
        <v>1664.8</v>
      </c>
      <c r="M76">
        <f>Table1_1[[#This Row],[Total Sales]]-Table1_1[[#This Row],[Discount amount]]</f>
        <v>14983.2</v>
      </c>
      <c r="N76" s="3" t="s">
        <v>146</v>
      </c>
      <c r="O76" s="3" t="s">
        <v>19</v>
      </c>
      <c r="P76" s="3" t="s">
        <v>167</v>
      </c>
    </row>
    <row r="77" spans="1:16" x14ac:dyDescent="0.3">
      <c r="A77">
        <v>1077</v>
      </c>
      <c r="B77" s="2">
        <v>46095</v>
      </c>
      <c r="C77" s="3" t="s">
        <v>242</v>
      </c>
      <c r="D77" s="3" t="s">
        <v>150</v>
      </c>
      <c r="E77" s="3" t="s">
        <v>143</v>
      </c>
      <c r="F77" s="3" t="s">
        <v>171</v>
      </c>
      <c r="G77" s="3" t="s">
        <v>153</v>
      </c>
      <c r="H77">
        <v>8</v>
      </c>
      <c r="I77">
        <v>3138</v>
      </c>
      <c r="J77">
        <f>Table1_1[[#This Row],[Quantity]]*Table1_1[[#This Row],[Unit Price]]</f>
        <v>25104</v>
      </c>
      <c r="K77">
        <v>0</v>
      </c>
      <c r="L77">
        <f>Table1_1[[#This Row],[Total Sales]]*Table1_1[[#This Row],[Discount %]]/100</f>
        <v>0</v>
      </c>
      <c r="M77">
        <f>Table1_1[[#This Row],[Total Sales]]-Table1_1[[#This Row],[Discount amount]]</f>
        <v>25104</v>
      </c>
      <c r="N77" s="3" t="s">
        <v>146</v>
      </c>
      <c r="O77" s="3" t="s">
        <v>155</v>
      </c>
      <c r="P77" s="3" t="s">
        <v>174</v>
      </c>
    </row>
    <row r="78" spans="1:16" x14ac:dyDescent="0.3">
      <c r="A78">
        <v>1078</v>
      </c>
      <c r="B78" s="2">
        <v>46194</v>
      </c>
      <c r="C78" s="3" t="s">
        <v>243</v>
      </c>
      <c r="D78" s="3" t="s">
        <v>150</v>
      </c>
      <c r="E78" s="3" t="s">
        <v>151</v>
      </c>
      <c r="F78" s="3" t="s">
        <v>152</v>
      </c>
      <c r="G78" s="3" t="s">
        <v>153</v>
      </c>
      <c r="H78">
        <v>3</v>
      </c>
      <c r="I78">
        <v>1393</v>
      </c>
      <c r="J78">
        <f>Table1_1[[#This Row],[Quantity]]*Table1_1[[#This Row],[Unit Price]]</f>
        <v>4179</v>
      </c>
      <c r="K78">
        <v>5</v>
      </c>
      <c r="L78">
        <f>Table1_1[[#This Row],[Total Sales]]*Table1_1[[#This Row],[Discount %]]/100</f>
        <v>208.95</v>
      </c>
      <c r="M78">
        <f>Table1_1[[#This Row],[Total Sales]]-Table1_1[[#This Row],[Discount amount]]</f>
        <v>3970.05</v>
      </c>
      <c r="N78" s="3" t="s">
        <v>154</v>
      </c>
      <c r="O78" s="3" t="s">
        <v>155</v>
      </c>
      <c r="P78" s="3" t="s">
        <v>174</v>
      </c>
    </row>
    <row r="79" spans="1:16" x14ac:dyDescent="0.3">
      <c r="A79">
        <v>1079</v>
      </c>
      <c r="B79" s="2">
        <v>46073</v>
      </c>
      <c r="C79" s="3" t="s">
        <v>244</v>
      </c>
      <c r="D79" s="3" t="s">
        <v>142</v>
      </c>
      <c r="E79" s="3" t="s">
        <v>151</v>
      </c>
      <c r="F79" s="3" t="s">
        <v>152</v>
      </c>
      <c r="G79" s="3" t="s">
        <v>172</v>
      </c>
      <c r="H79">
        <v>9</v>
      </c>
      <c r="I79">
        <v>4425</v>
      </c>
      <c r="J79">
        <f>Table1_1[[#This Row],[Quantity]]*Table1_1[[#This Row],[Unit Price]]</f>
        <v>39825</v>
      </c>
      <c r="K79">
        <v>0</v>
      </c>
      <c r="L79">
        <f>Table1_1[[#This Row],[Total Sales]]*Table1_1[[#This Row],[Discount %]]/100</f>
        <v>0</v>
      </c>
      <c r="M79">
        <f>Table1_1[[#This Row],[Total Sales]]-Table1_1[[#This Row],[Discount amount]]</f>
        <v>39825</v>
      </c>
      <c r="N79" s="3" t="s">
        <v>154</v>
      </c>
      <c r="O79" s="3" t="s">
        <v>19</v>
      </c>
      <c r="P79" s="3" t="s">
        <v>174</v>
      </c>
    </row>
    <row r="80" spans="1:16" x14ac:dyDescent="0.3">
      <c r="A80">
        <v>1080</v>
      </c>
      <c r="B80" s="2">
        <v>46131</v>
      </c>
      <c r="C80" s="3" t="s">
        <v>245</v>
      </c>
      <c r="D80" s="3" t="s">
        <v>169</v>
      </c>
      <c r="E80" s="3" t="s">
        <v>162</v>
      </c>
      <c r="F80" s="3" t="s">
        <v>165</v>
      </c>
      <c r="G80" s="3" t="s">
        <v>145</v>
      </c>
      <c r="H80">
        <v>4</v>
      </c>
      <c r="I80">
        <v>4656</v>
      </c>
      <c r="J80">
        <f>Table1_1[[#This Row],[Quantity]]*Table1_1[[#This Row],[Unit Price]]</f>
        <v>18624</v>
      </c>
      <c r="K80">
        <v>0</v>
      </c>
      <c r="L80">
        <f>Table1_1[[#This Row],[Total Sales]]*Table1_1[[#This Row],[Discount %]]/100</f>
        <v>0</v>
      </c>
      <c r="M80">
        <f>Table1_1[[#This Row],[Total Sales]]-Table1_1[[#This Row],[Discount amount]]</f>
        <v>18624</v>
      </c>
      <c r="N80" s="3" t="s">
        <v>146</v>
      </c>
      <c r="O80" s="3" t="s">
        <v>19</v>
      </c>
      <c r="P80" s="3" t="s">
        <v>174</v>
      </c>
    </row>
    <row r="81" spans="1:16" x14ac:dyDescent="0.3">
      <c r="A81">
        <v>1081</v>
      </c>
      <c r="B81" s="2">
        <v>46035</v>
      </c>
      <c r="C81" s="3" t="s">
        <v>246</v>
      </c>
      <c r="D81" s="3" t="s">
        <v>161</v>
      </c>
      <c r="E81" s="3" t="s">
        <v>162</v>
      </c>
      <c r="F81" s="3" t="s">
        <v>165</v>
      </c>
      <c r="G81" s="3" t="s">
        <v>145</v>
      </c>
      <c r="H81">
        <v>1</v>
      </c>
      <c r="I81">
        <v>1513</v>
      </c>
      <c r="J81">
        <f>Table1_1[[#This Row],[Quantity]]*Table1_1[[#This Row],[Unit Price]]</f>
        <v>1513</v>
      </c>
      <c r="K81">
        <v>0</v>
      </c>
      <c r="L81">
        <f>Table1_1[[#This Row],[Total Sales]]*Table1_1[[#This Row],[Discount %]]/100</f>
        <v>0</v>
      </c>
      <c r="M81">
        <f>Table1_1[[#This Row],[Total Sales]]-Table1_1[[#This Row],[Discount amount]]</f>
        <v>1513</v>
      </c>
      <c r="N81" s="3" t="s">
        <v>146</v>
      </c>
      <c r="O81" s="3" t="s">
        <v>155</v>
      </c>
      <c r="P81" s="3" t="s">
        <v>147</v>
      </c>
    </row>
    <row r="82" spans="1:16" x14ac:dyDescent="0.3">
      <c r="A82">
        <v>1082</v>
      </c>
      <c r="B82" s="2">
        <v>46111</v>
      </c>
      <c r="C82" s="3" t="s">
        <v>247</v>
      </c>
      <c r="D82" s="3" t="s">
        <v>157</v>
      </c>
      <c r="E82" s="3" t="s">
        <v>151</v>
      </c>
      <c r="F82" s="3" t="s">
        <v>152</v>
      </c>
      <c r="G82" s="3" t="s">
        <v>145</v>
      </c>
      <c r="H82">
        <v>10</v>
      </c>
      <c r="I82">
        <v>2508</v>
      </c>
      <c r="J82">
        <f>Table1_1[[#This Row],[Quantity]]*Table1_1[[#This Row],[Unit Price]]</f>
        <v>25080</v>
      </c>
      <c r="K82">
        <v>15</v>
      </c>
      <c r="L82">
        <f>Table1_1[[#This Row],[Total Sales]]*Table1_1[[#This Row],[Discount %]]/100</f>
        <v>3762</v>
      </c>
      <c r="M82">
        <f>Table1_1[[#This Row],[Total Sales]]-Table1_1[[#This Row],[Discount amount]]</f>
        <v>21318</v>
      </c>
      <c r="N82" s="3" t="s">
        <v>154</v>
      </c>
      <c r="O82" s="3" t="s">
        <v>19</v>
      </c>
      <c r="P82" s="3" t="s">
        <v>174</v>
      </c>
    </row>
    <row r="83" spans="1:16" x14ac:dyDescent="0.3">
      <c r="A83">
        <v>1083</v>
      </c>
      <c r="B83" s="2">
        <v>46085</v>
      </c>
      <c r="C83" s="3" t="s">
        <v>248</v>
      </c>
      <c r="D83" s="3" t="s">
        <v>150</v>
      </c>
      <c r="E83" s="3" t="s">
        <v>162</v>
      </c>
      <c r="F83" s="3" t="s">
        <v>163</v>
      </c>
      <c r="G83" s="3" t="s">
        <v>166</v>
      </c>
      <c r="H83">
        <v>2</v>
      </c>
      <c r="I83">
        <v>2555</v>
      </c>
      <c r="J83">
        <f>Table1_1[[#This Row],[Quantity]]*Table1_1[[#This Row],[Unit Price]]</f>
        <v>5110</v>
      </c>
      <c r="K83">
        <v>0</v>
      </c>
      <c r="L83">
        <f>Table1_1[[#This Row],[Total Sales]]*Table1_1[[#This Row],[Discount %]]/100</f>
        <v>0</v>
      </c>
      <c r="M83">
        <f>Table1_1[[#This Row],[Total Sales]]-Table1_1[[#This Row],[Discount amount]]</f>
        <v>5110</v>
      </c>
      <c r="N83" s="3" t="s">
        <v>146</v>
      </c>
      <c r="O83" s="3" t="s">
        <v>19</v>
      </c>
      <c r="P83" s="3" t="s">
        <v>267</v>
      </c>
    </row>
    <row r="84" spans="1:16" x14ac:dyDescent="0.3">
      <c r="A84">
        <v>1084</v>
      </c>
      <c r="B84" s="2">
        <v>46078</v>
      </c>
      <c r="C84" s="3" t="s">
        <v>249</v>
      </c>
      <c r="D84" s="3" t="s">
        <v>169</v>
      </c>
      <c r="E84" s="3" t="s">
        <v>162</v>
      </c>
      <c r="F84" s="3" t="s">
        <v>163</v>
      </c>
      <c r="G84" s="3" t="s">
        <v>153</v>
      </c>
      <c r="H84">
        <v>6</v>
      </c>
      <c r="I84">
        <v>3179</v>
      </c>
      <c r="J84">
        <f>Table1_1[[#This Row],[Quantity]]*Table1_1[[#This Row],[Unit Price]]</f>
        <v>19074</v>
      </c>
      <c r="K84">
        <v>5</v>
      </c>
      <c r="L84">
        <f>Table1_1[[#This Row],[Total Sales]]*Table1_1[[#This Row],[Discount %]]/100</f>
        <v>953.7</v>
      </c>
      <c r="M84">
        <f>Table1_1[[#This Row],[Total Sales]]-Table1_1[[#This Row],[Discount amount]]</f>
        <v>18120.3</v>
      </c>
      <c r="N84" s="3" t="s">
        <v>146</v>
      </c>
      <c r="O84" s="3" t="s">
        <v>155</v>
      </c>
      <c r="P84" s="3" t="s">
        <v>174</v>
      </c>
    </row>
    <row r="85" spans="1:16" x14ac:dyDescent="0.3">
      <c r="A85">
        <v>1085</v>
      </c>
      <c r="B85" s="2">
        <v>46082</v>
      </c>
      <c r="C85" s="3" t="s">
        <v>250</v>
      </c>
      <c r="D85" s="3" t="s">
        <v>161</v>
      </c>
      <c r="E85" s="3" t="s">
        <v>143</v>
      </c>
      <c r="F85" s="3" t="s">
        <v>171</v>
      </c>
      <c r="G85" s="3" t="s">
        <v>153</v>
      </c>
      <c r="H85">
        <v>3</v>
      </c>
      <c r="I85">
        <v>2462</v>
      </c>
      <c r="J85">
        <f>Table1_1[[#This Row],[Quantity]]*Table1_1[[#This Row],[Unit Price]]</f>
        <v>7386</v>
      </c>
      <c r="K85">
        <v>5</v>
      </c>
      <c r="L85">
        <f>Table1_1[[#This Row],[Total Sales]]*Table1_1[[#This Row],[Discount %]]/100</f>
        <v>369.3</v>
      </c>
      <c r="M85">
        <f>Table1_1[[#This Row],[Total Sales]]-Table1_1[[#This Row],[Discount amount]]</f>
        <v>7016.7</v>
      </c>
      <c r="N85" s="3" t="s">
        <v>146</v>
      </c>
      <c r="O85" s="3" t="s">
        <v>159</v>
      </c>
      <c r="P85" s="3" t="s">
        <v>167</v>
      </c>
    </row>
    <row r="86" spans="1:16" x14ac:dyDescent="0.3">
      <c r="A86">
        <v>1086</v>
      </c>
      <c r="B86" s="2">
        <v>46120</v>
      </c>
      <c r="C86" s="3" t="s">
        <v>251</v>
      </c>
      <c r="D86" s="3" t="s">
        <v>150</v>
      </c>
      <c r="E86" s="3" t="s">
        <v>162</v>
      </c>
      <c r="F86" s="3" t="s">
        <v>163</v>
      </c>
      <c r="G86" s="3" t="s">
        <v>166</v>
      </c>
      <c r="H86">
        <v>2</v>
      </c>
      <c r="I86">
        <v>4560</v>
      </c>
      <c r="J86">
        <f>Table1_1[[#This Row],[Quantity]]*Table1_1[[#This Row],[Unit Price]]</f>
        <v>9120</v>
      </c>
      <c r="K86">
        <v>0</v>
      </c>
      <c r="L86">
        <f>Table1_1[[#This Row],[Total Sales]]*Table1_1[[#This Row],[Discount %]]/100</f>
        <v>0</v>
      </c>
      <c r="M86">
        <f>Table1_1[[#This Row],[Total Sales]]-Table1_1[[#This Row],[Discount amount]]</f>
        <v>9120</v>
      </c>
      <c r="N86" s="3" t="s">
        <v>154</v>
      </c>
      <c r="O86" s="3" t="s">
        <v>155</v>
      </c>
      <c r="P86" s="3" t="s">
        <v>174</v>
      </c>
    </row>
    <row r="87" spans="1:16" x14ac:dyDescent="0.3">
      <c r="A87">
        <v>1087</v>
      </c>
      <c r="B87" s="2">
        <v>46028</v>
      </c>
      <c r="C87" s="3" t="s">
        <v>252</v>
      </c>
      <c r="D87" s="3" t="s">
        <v>142</v>
      </c>
      <c r="E87" s="3" t="s">
        <v>162</v>
      </c>
      <c r="F87" s="3" t="s">
        <v>180</v>
      </c>
      <c r="G87" s="3" t="s">
        <v>172</v>
      </c>
      <c r="H87">
        <v>6</v>
      </c>
      <c r="I87">
        <v>3102</v>
      </c>
      <c r="J87">
        <f>Table1_1[[#This Row],[Quantity]]*Table1_1[[#This Row],[Unit Price]]</f>
        <v>18612</v>
      </c>
      <c r="K87">
        <v>5</v>
      </c>
      <c r="L87">
        <f>Table1_1[[#This Row],[Total Sales]]*Table1_1[[#This Row],[Discount %]]/100</f>
        <v>930.6</v>
      </c>
      <c r="M87">
        <f>Table1_1[[#This Row],[Total Sales]]-Table1_1[[#This Row],[Discount amount]]</f>
        <v>17681.400000000001</v>
      </c>
      <c r="N87" s="3" t="s">
        <v>146</v>
      </c>
      <c r="O87" s="3" t="s">
        <v>155</v>
      </c>
      <c r="P87" s="3" t="s">
        <v>174</v>
      </c>
    </row>
    <row r="88" spans="1:16" x14ac:dyDescent="0.3">
      <c r="A88">
        <v>1088</v>
      </c>
      <c r="B88" s="2">
        <v>46094</v>
      </c>
      <c r="C88" s="3" t="s">
        <v>253</v>
      </c>
      <c r="D88" s="3" t="s">
        <v>161</v>
      </c>
      <c r="E88" s="3" t="s">
        <v>151</v>
      </c>
      <c r="F88" s="3" t="s">
        <v>158</v>
      </c>
      <c r="G88" s="3" t="s">
        <v>172</v>
      </c>
      <c r="H88">
        <v>2</v>
      </c>
      <c r="I88">
        <v>3298</v>
      </c>
      <c r="J88">
        <f>Table1_1[[#This Row],[Quantity]]*Table1_1[[#This Row],[Unit Price]]</f>
        <v>6596</v>
      </c>
      <c r="K88">
        <v>0</v>
      </c>
      <c r="L88">
        <f>Table1_1[[#This Row],[Total Sales]]*Table1_1[[#This Row],[Discount %]]/100</f>
        <v>0</v>
      </c>
      <c r="M88">
        <f>Table1_1[[#This Row],[Total Sales]]-Table1_1[[#This Row],[Discount amount]]</f>
        <v>6596</v>
      </c>
      <c r="N88" s="3" t="s">
        <v>154</v>
      </c>
      <c r="O88" s="3" t="s">
        <v>155</v>
      </c>
      <c r="P88" s="3" t="s">
        <v>267</v>
      </c>
    </row>
    <row r="89" spans="1:16" x14ac:dyDescent="0.3">
      <c r="A89">
        <v>1089</v>
      </c>
      <c r="B89" s="2">
        <v>46049</v>
      </c>
      <c r="C89" s="3" t="s">
        <v>254</v>
      </c>
      <c r="D89" s="3" t="s">
        <v>161</v>
      </c>
      <c r="E89" s="3" t="s">
        <v>143</v>
      </c>
      <c r="F89" s="3" t="s">
        <v>144</v>
      </c>
      <c r="G89" s="3" t="s">
        <v>172</v>
      </c>
      <c r="H89">
        <v>6</v>
      </c>
      <c r="I89">
        <v>2909</v>
      </c>
      <c r="J89">
        <f>Table1_1[[#This Row],[Quantity]]*Table1_1[[#This Row],[Unit Price]]</f>
        <v>17454</v>
      </c>
      <c r="K89">
        <v>15</v>
      </c>
      <c r="L89">
        <f>Table1_1[[#This Row],[Total Sales]]*Table1_1[[#This Row],[Discount %]]/100</f>
        <v>2618.1</v>
      </c>
      <c r="M89">
        <f>Table1_1[[#This Row],[Total Sales]]-Table1_1[[#This Row],[Discount amount]]</f>
        <v>14835.9</v>
      </c>
      <c r="N89" s="3" t="s">
        <v>154</v>
      </c>
      <c r="O89" s="3" t="s">
        <v>19</v>
      </c>
      <c r="P89" s="3" t="s">
        <v>147</v>
      </c>
    </row>
    <row r="90" spans="1:16" x14ac:dyDescent="0.3">
      <c r="A90">
        <v>1090</v>
      </c>
      <c r="B90" s="2">
        <v>46088</v>
      </c>
      <c r="C90" s="3" t="s">
        <v>255</v>
      </c>
      <c r="D90" s="3" t="s">
        <v>157</v>
      </c>
      <c r="E90" s="3" t="s">
        <v>162</v>
      </c>
      <c r="F90" s="3" t="s">
        <v>180</v>
      </c>
      <c r="G90" s="3" t="s">
        <v>153</v>
      </c>
      <c r="H90">
        <v>1</v>
      </c>
      <c r="I90">
        <v>1957</v>
      </c>
      <c r="J90">
        <f>Table1_1[[#This Row],[Quantity]]*Table1_1[[#This Row],[Unit Price]]</f>
        <v>1957</v>
      </c>
      <c r="K90">
        <v>10</v>
      </c>
      <c r="L90">
        <f>Table1_1[[#This Row],[Total Sales]]*Table1_1[[#This Row],[Discount %]]/100</f>
        <v>195.7</v>
      </c>
      <c r="M90">
        <f>Table1_1[[#This Row],[Total Sales]]-Table1_1[[#This Row],[Discount amount]]</f>
        <v>1761.3</v>
      </c>
      <c r="N90" s="3" t="s">
        <v>146</v>
      </c>
      <c r="O90" s="3" t="s">
        <v>19</v>
      </c>
      <c r="P90" s="3" t="s">
        <v>167</v>
      </c>
    </row>
    <row r="91" spans="1:16" x14ac:dyDescent="0.3">
      <c r="A91">
        <v>1091</v>
      </c>
      <c r="B91" s="2">
        <v>46025</v>
      </c>
      <c r="C91" s="3" t="s">
        <v>256</v>
      </c>
      <c r="D91" s="3" t="s">
        <v>142</v>
      </c>
      <c r="E91" s="3" t="s">
        <v>143</v>
      </c>
      <c r="F91" s="3" t="s">
        <v>144</v>
      </c>
      <c r="G91" s="3" t="s">
        <v>145</v>
      </c>
      <c r="H91">
        <v>2</v>
      </c>
      <c r="I91">
        <v>1703</v>
      </c>
      <c r="J91">
        <f>Table1_1[[#This Row],[Quantity]]*Table1_1[[#This Row],[Unit Price]]</f>
        <v>3406</v>
      </c>
      <c r="K91">
        <v>10</v>
      </c>
      <c r="L91">
        <f>Table1_1[[#This Row],[Total Sales]]*Table1_1[[#This Row],[Discount %]]/100</f>
        <v>340.6</v>
      </c>
      <c r="M91">
        <f>Table1_1[[#This Row],[Total Sales]]-Table1_1[[#This Row],[Discount amount]]</f>
        <v>3065.4</v>
      </c>
      <c r="N91" s="3" t="s">
        <v>146</v>
      </c>
      <c r="O91" s="3" t="s">
        <v>19</v>
      </c>
      <c r="P91" s="3" t="s">
        <v>267</v>
      </c>
    </row>
    <row r="92" spans="1:16" x14ac:dyDescent="0.3">
      <c r="A92">
        <v>1092</v>
      </c>
      <c r="B92" s="2">
        <v>46142</v>
      </c>
      <c r="C92" s="3" t="s">
        <v>257</v>
      </c>
      <c r="D92" s="3" t="s">
        <v>142</v>
      </c>
      <c r="E92" s="3" t="s">
        <v>143</v>
      </c>
      <c r="F92" s="3" t="s">
        <v>144</v>
      </c>
      <c r="G92" s="3" t="s">
        <v>172</v>
      </c>
      <c r="H92">
        <v>7</v>
      </c>
      <c r="I92">
        <v>1418</v>
      </c>
      <c r="J92">
        <f>Table1_1[[#This Row],[Quantity]]*Table1_1[[#This Row],[Unit Price]]</f>
        <v>9926</v>
      </c>
      <c r="K92">
        <v>5</v>
      </c>
      <c r="L92">
        <f>Table1_1[[#This Row],[Total Sales]]*Table1_1[[#This Row],[Discount %]]/100</f>
        <v>496.3</v>
      </c>
      <c r="M92">
        <f>Table1_1[[#This Row],[Total Sales]]-Table1_1[[#This Row],[Discount amount]]</f>
        <v>9429.7000000000007</v>
      </c>
      <c r="N92" s="3" t="s">
        <v>146</v>
      </c>
      <c r="O92" s="3" t="s">
        <v>159</v>
      </c>
      <c r="P92" s="3" t="s">
        <v>267</v>
      </c>
    </row>
    <row r="93" spans="1:16" x14ac:dyDescent="0.3">
      <c r="A93">
        <v>1093</v>
      </c>
      <c r="B93" s="2">
        <v>46122</v>
      </c>
      <c r="C93" s="3" t="s">
        <v>258</v>
      </c>
      <c r="D93" s="3" t="s">
        <v>161</v>
      </c>
      <c r="E93" s="3" t="s">
        <v>143</v>
      </c>
      <c r="F93" s="3" t="s">
        <v>171</v>
      </c>
      <c r="G93" s="3" t="s">
        <v>145</v>
      </c>
      <c r="H93">
        <v>5</v>
      </c>
      <c r="I93">
        <v>4271</v>
      </c>
      <c r="J93">
        <f>Table1_1[[#This Row],[Quantity]]*Table1_1[[#This Row],[Unit Price]]</f>
        <v>21355</v>
      </c>
      <c r="K93">
        <v>0</v>
      </c>
      <c r="L93">
        <f>Table1_1[[#This Row],[Total Sales]]*Table1_1[[#This Row],[Discount %]]/100</f>
        <v>0</v>
      </c>
      <c r="M93">
        <f>Table1_1[[#This Row],[Total Sales]]-Table1_1[[#This Row],[Discount amount]]</f>
        <v>21355</v>
      </c>
      <c r="N93" s="3" t="s">
        <v>146</v>
      </c>
      <c r="O93" s="3" t="s">
        <v>155</v>
      </c>
      <c r="P93" s="3" t="s">
        <v>167</v>
      </c>
    </row>
    <row r="94" spans="1:16" x14ac:dyDescent="0.3">
      <c r="A94">
        <v>1094</v>
      </c>
      <c r="B94" s="2">
        <v>46148</v>
      </c>
      <c r="C94" s="3" t="s">
        <v>259</v>
      </c>
      <c r="D94" s="3" t="s">
        <v>161</v>
      </c>
      <c r="E94" s="3" t="s">
        <v>162</v>
      </c>
      <c r="F94" s="3" t="s">
        <v>163</v>
      </c>
      <c r="G94" s="3" t="s">
        <v>145</v>
      </c>
      <c r="H94">
        <v>1</v>
      </c>
      <c r="I94">
        <v>666</v>
      </c>
      <c r="J94">
        <f>Table1_1[[#This Row],[Quantity]]*Table1_1[[#This Row],[Unit Price]]</f>
        <v>666</v>
      </c>
      <c r="K94">
        <v>15</v>
      </c>
      <c r="L94">
        <f>Table1_1[[#This Row],[Total Sales]]*Table1_1[[#This Row],[Discount %]]/100</f>
        <v>99.9</v>
      </c>
      <c r="M94">
        <f>Table1_1[[#This Row],[Total Sales]]-Table1_1[[#This Row],[Discount amount]]</f>
        <v>566.1</v>
      </c>
      <c r="N94" s="3" t="s">
        <v>146</v>
      </c>
      <c r="O94" s="3" t="s">
        <v>155</v>
      </c>
      <c r="P94" s="3" t="s">
        <v>147</v>
      </c>
    </row>
    <row r="95" spans="1:16" x14ac:dyDescent="0.3">
      <c r="A95">
        <v>1095</v>
      </c>
      <c r="B95" s="2">
        <v>46124</v>
      </c>
      <c r="C95" s="3" t="s">
        <v>260</v>
      </c>
      <c r="D95" s="3" t="s">
        <v>142</v>
      </c>
      <c r="E95" s="3" t="s">
        <v>151</v>
      </c>
      <c r="F95" s="3" t="s">
        <v>152</v>
      </c>
      <c r="G95" s="3" t="s">
        <v>172</v>
      </c>
      <c r="H95">
        <v>6</v>
      </c>
      <c r="I95">
        <v>2059</v>
      </c>
      <c r="J95">
        <f>Table1_1[[#This Row],[Quantity]]*Table1_1[[#This Row],[Unit Price]]</f>
        <v>12354</v>
      </c>
      <c r="K95">
        <v>5</v>
      </c>
      <c r="L95">
        <f>Table1_1[[#This Row],[Total Sales]]*Table1_1[[#This Row],[Discount %]]/100</f>
        <v>617.70000000000005</v>
      </c>
      <c r="M95">
        <f>Table1_1[[#This Row],[Total Sales]]-Table1_1[[#This Row],[Discount amount]]</f>
        <v>11736.3</v>
      </c>
      <c r="N95" s="3" t="s">
        <v>154</v>
      </c>
      <c r="O95" s="3" t="s">
        <v>155</v>
      </c>
      <c r="P95" s="3" t="s">
        <v>147</v>
      </c>
    </row>
    <row r="96" spans="1:16" x14ac:dyDescent="0.3">
      <c r="A96">
        <v>1096</v>
      </c>
      <c r="B96" s="2">
        <v>46138</v>
      </c>
      <c r="C96" s="3" t="s">
        <v>261</v>
      </c>
      <c r="D96" s="3" t="s">
        <v>169</v>
      </c>
      <c r="E96" s="3" t="s">
        <v>143</v>
      </c>
      <c r="F96" s="3" t="s">
        <v>144</v>
      </c>
      <c r="G96" s="3" t="s">
        <v>145</v>
      </c>
      <c r="H96">
        <v>4</v>
      </c>
      <c r="I96">
        <v>1564</v>
      </c>
      <c r="J96">
        <f>Table1_1[[#This Row],[Quantity]]*Table1_1[[#This Row],[Unit Price]]</f>
        <v>6256</v>
      </c>
      <c r="K96">
        <v>0</v>
      </c>
      <c r="L96">
        <f>Table1_1[[#This Row],[Total Sales]]*Table1_1[[#This Row],[Discount %]]/100</f>
        <v>0</v>
      </c>
      <c r="M96">
        <f>Table1_1[[#This Row],[Total Sales]]-Table1_1[[#This Row],[Discount amount]]</f>
        <v>6256</v>
      </c>
      <c r="N96" s="3" t="s">
        <v>154</v>
      </c>
      <c r="O96" s="3" t="s">
        <v>159</v>
      </c>
      <c r="P96" s="3" t="s">
        <v>167</v>
      </c>
    </row>
    <row r="97" spans="1:16" x14ac:dyDescent="0.3">
      <c r="A97">
        <v>1097</v>
      </c>
      <c r="B97" s="2">
        <v>46166</v>
      </c>
      <c r="C97" s="3" t="s">
        <v>262</v>
      </c>
      <c r="D97" s="3" t="s">
        <v>142</v>
      </c>
      <c r="E97" s="3" t="s">
        <v>143</v>
      </c>
      <c r="F97" s="3" t="s">
        <v>144</v>
      </c>
      <c r="G97" s="3" t="s">
        <v>166</v>
      </c>
      <c r="H97">
        <v>10</v>
      </c>
      <c r="I97">
        <v>1447</v>
      </c>
      <c r="J97">
        <f>Table1_1[[#This Row],[Quantity]]*Table1_1[[#This Row],[Unit Price]]</f>
        <v>14470</v>
      </c>
      <c r="K97">
        <v>5</v>
      </c>
      <c r="L97">
        <f>Table1_1[[#This Row],[Total Sales]]*Table1_1[[#This Row],[Discount %]]/100</f>
        <v>723.5</v>
      </c>
      <c r="M97">
        <f>Table1_1[[#This Row],[Total Sales]]-Table1_1[[#This Row],[Discount amount]]</f>
        <v>13746.5</v>
      </c>
      <c r="N97" s="3" t="s">
        <v>154</v>
      </c>
      <c r="O97" s="3" t="s">
        <v>159</v>
      </c>
      <c r="P97" s="3" t="s">
        <v>147</v>
      </c>
    </row>
    <row r="98" spans="1:16" x14ac:dyDescent="0.3">
      <c r="A98">
        <v>1098</v>
      </c>
      <c r="B98" s="2">
        <v>46094</v>
      </c>
      <c r="C98" s="3" t="s">
        <v>263</v>
      </c>
      <c r="D98" s="3" t="s">
        <v>157</v>
      </c>
      <c r="E98" s="3" t="s">
        <v>143</v>
      </c>
      <c r="F98" s="3" t="s">
        <v>171</v>
      </c>
      <c r="G98" s="3" t="s">
        <v>166</v>
      </c>
      <c r="H98">
        <v>7</v>
      </c>
      <c r="I98">
        <v>3739</v>
      </c>
      <c r="J98">
        <f>Table1_1[[#This Row],[Quantity]]*Table1_1[[#This Row],[Unit Price]]</f>
        <v>26173</v>
      </c>
      <c r="K98">
        <v>0</v>
      </c>
      <c r="L98">
        <f>Table1_1[[#This Row],[Total Sales]]*Table1_1[[#This Row],[Discount %]]/100</f>
        <v>0</v>
      </c>
      <c r="M98">
        <f>Table1_1[[#This Row],[Total Sales]]-Table1_1[[#This Row],[Discount amount]]</f>
        <v>26173</v>
      </c>
      <c r="N98" s="3" t="s">
        <v>146</v>
      </c>
      <c r="O98" s="3" t="s">
        <v>155</v>
      </c>
      <c r="P98" s="3" t="s">
        <v>147</v>
      </c>
    </row>
    <row r="99" spans="1:16" x14ac:dyDescent="0.3">
      <c r="A99">
        <v>1099</v>
      </c>
      <c r="B99" s="2">
        <v>46072</v>
      </c>
      <c r="C99" s="3" t="s">
        <v>264</v>
      </c>
      <c r="D99" s="3" t="s">
        <v>157</v>
      </c>
      <c r="E99" s="3" t="s">
        <v>151</v>
      </c>
      <c r="F99" s="3" t="s">
        <v>152</v>
      </c>
      <c r="G99" s="3" t="s">
        <v>172</v>
      </c>
      <c r="H99">
        <v>1</v>
      </c>
      <c r="I99">
        <v>4096</v>
      </c>
      <c r="J99">
        <f>Table1_1[[#This Row],[Quantity]]*Table1_1[[#This Row],[Unit Price]]</f>
        <v>4096</v>
      </c>
      <c r="K99">
        <v>10</v>
      </c>
      <c r="L99">
        <f>Table1_1[[#This Row],[Total Sales]]*Table1_1[[#This Row],[Discount %]]/100</f>
        <v>409.6</v>
      </c>
      <c r="M99">
        <f>Table1_1[[#This Row],[Total Sales]]-Table1_1[[#This Row],[Discount amount]]</f>
        <v>3686.4</v>
      </c>
      <c r="N99" s="3" t="s">
        <v>146</v>
      </c>
      <c r="O99" s="3" t="s">
        <v>155</v>
      </c>
      <c r="P99" s="3" t="s">
        <v>174</v>
      </c>
    </row>
    <row r="100" spans="1:16" x14ac:dyDescent="0.3">
      <c r="A100">
        <v>1100</v>
      </c>
      <c r="B100" s="2">
        <v>46059</v>
      </c>
      <c r="C100" s="3" t="s">
        <v>265</v>
      </c>
      <c r="D100" s="3" t="s">
        <v>142</v>
      </c>
      <c r="E100" s="3" t="s">
        <v>151</v>
      </c>
      <c r="F100" s="3" t="s">
        <v>152</v>
      </c>
      <c r="G100" s="3" t="s">
        <v>166</v>
      </c>
      <c r="H100">
        <v>8</v>
      </c>
      <c r="I100">
        <v>3693</v>
      </c>
      <c r="J100">
        <f>Table1_1[[#This Row],[Quantity]]*Table1_1[[#This Row],[Unit Price]]</f>
        <v>29544</v>
      </c>
      <c r="K100">
        <v>10</v>
      </c>
      <c r="L100">
        <f>Table1_1[[#This Row],[Total Sales]]*Table1_1[[#This Row],[Discount %]]/100</f>
        <v>2954.4</v>
      </c>
      <c r="M100">
        <f>Table1_1[[#This Row],[Total Sales]]-Table1_1[[#This Row],[Discount amount]]</f>
        <v>26589.599999999999</v>
      </c>
      <c r="N100" s="3" t="s">
        <v>154</v>
      </c>
      <c r="O100" s="3" t="s">
        <v>19</v>
      </c>
      <c r="P100" s="3" t="s">
        <v>167</v>
      </c>
    </row>
    <row r="101" spans="1:16" x14ac:dyDescent="0.3">
      <c r="A101">
        <v>1101</v>
      </c>
      <c r="B101" s="2">
        <v>46151</v>
      </c>
      <c r="C101" s="3" t="s">
        <v>266</v>
      </c>
      <c r="D101" s="3" t="s">
        <v>157</v>
      </c>
      <c r="E101" s="3" t="s">
        <v>143</v>
      </c>
      <c r="F101" s="3" t="s">
        <v>144</v>
      </c>
      <c r="G101" s="3" t="s">
        <v>166</v>
      </c>
      <c r="H101">
        <v>1</v>
      </c>
      <c r="I101">
        <v>3604</v>
      </c>
      <c r="J101">
        <f>Table1_1[[#This Row],[Quantity]]*Table1_1[[#This Row],[Unit Price]]</f>
        <v>3604</v>
      </c>
      <c r="K101">
        <v>10</v>
      </c>
      <c r="L101">
        <f>Table1_1[[#This Row],[Total Sales]]*Table1_1[[#This Row],[Discount %]]/100</f>
        <v>360.4</v>
      </c>
      <c r="M101">
        <f>Table1_1[[#This Row],[Total Sales]]-Table1_1[[#This Row],[Discount amount]]</f>
        <v>3243.6</v>
      </c>
      <c r="N101" s="3" t="s">
        <v>146</v>
      </c>
      <c r="O101" s="3" t="s">
        <v>155</v>
      </c>
      <c r="P101" s="3" t="s">
        <v>267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selection sqref="A1:M101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5" max="5" width="13" customWidth="1"/>
    <col min="6" max="6" width="9.5546875" customWidth="1"/>
    <col min="7" max="7" width="12.88671875" customWidth="1"/>
    <col min="8" max="8" width="10.21875" customWidth="1"/>
    <col min="9" max="9" width="11" customWidth="1"/>
    <col min="10" max="10" width="12.109375" customWidth="1"/>
    <col min="12" max="12" width="17.6640625" customWidth="1"/>
    <col min="13" max="13" width="10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1002</v>
      </c>
      <c r="B2" s="1">
        <v>46137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</v>
      </c>
      <c r="I2">
        <v>4924</v>
      </c>
      <c r="J2">
        <v>0</v>
      </c>
      <c r="K2" t="s">
        <v>18</v>
      </c>
      <c r="L2" t="s">
        <v>19</v>
      </c>
      <c r="M2" t="s">
        <v>20</v>
      </c>
    </row>
    <row r="3" spans="1:13" x14ac:dyDescent="0.3">
      <c r="A3">
        <v>1003</v>
      </c>
      <c r="B3" s="1">
        <v>46102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>
        <v>2</v>
      </c>
      <c r="I3">
        <v>3788</v>
      </c>
      <c r="J3">
        <v>15</v>
      </c>
      <c r="K3" t="s">
        <v>22</v>
      </c>
      <c r="L3" t="s">
        <v>19</v>
      </c>
    </row>
    <row r="4" spans="1:13" x14ac:dyDescent="0.3">
      <c r="A4">
        <v>1004</v>
      </c>
      <c r="B4" s="1">
        <v>46196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9</v>
      </c>
      <c r="I4">
        <v>636</v>
      </c>
      <c r="J4">
        <v>5</v>
      </c>
      <c r="K4" t="s">
        <v>28</v>
      </c>
      <c r="L4" t="s">
        <v>29</v>
      </c>
    </row>
    <row r="5" spans="1:13" x14ac:dyDescent="0.3">
      <c r="A5">
        <v>1005</v>
      </c>
      <c r="B5" s="1">
        <v>46101</v>
      </c>
      <c r="C5" t="s">
        <v>30</v>
      </c>
      <c r="D5" t="s">
        <v>31</v>
      </c>
      <c r="E5" t="s">
        <v>25</v>
      </c>
      <c r="F5" t="s">
        <v>32</v>
      </c>
      <c r="G5" t="s">
        <v>27</v>
      </c>
      <c r="H5">
        <v>5</v>
      </c>
      <c r="I5">
        <v>4721</v>
      </c>
      <c r="J5">
        <v>5</v>
      </c>
      <c r="K5" t="s">
        <v>28</v>
      </c>
      <c r="L5" t="s">
        <v>33</v>
      </c>
      <c r="M5" t="s">
        <v>20</v>
      </c>
    </row>
    <row r="6" spans="1:13" x14ac:dyDescent="0.3">
      <c r="A6">
        <v>1006</v>
      </c>
      <c r="B6" s="1">
        <v>46091</v>
      </c>
      <c r="C6" t="s">
        <v>34</v>
      </c>
      <c r="D6" t="s">
        <v>35</v>
      </c>
      <c r="E6" t="s">
        <v>36</v>
      </c>
      <c r="F6" t="s">
        <v>37</v>
      </c>
      <c r="G6" t="s">
        <v>17</v>
      </c>
      <c r="H6">
        <v>5</v>
      </c>
      <c r="I6">
        <v>310</v>
      </c>
      <c r="J6">
        <v>10</v>
      </c>
      <c r="K6" t="s">
        <v>18</v>
      </c>
      <c r="L6" t="s">
        <v>33</v>
      </c>
      <c r="M6" t="s">
        <v>20</v>
      </c>
    </row>
    <row r="7" spans="1:13" x14ac:dyDescent="0.3">
      <c r="A7">
        <v>1007</v>
      </c>
      <c r="B7" s="1">
        <v>46170</v>
      </c>
      <c r="C7" t="s">
        <v>38</v>
      </c>
      <c r="D7" t="s">
        <v>24</v>
      </c>
      <c r="E7" t="s">
        <v>36</v>
      </c>
      <c r="F7" t="s">
        <v>39</v>
      </c>
      <c r="G7" t="s">
        <v>40</v>
      </c>
      <c r="H7">
        <v>4</v>
      </c>
      <c r="I7">
        <v>1365</v>
      </c>
      <c r="J7">
        <v>5</v>
      </c>
      <c r="K7" t="s">
        <v>28</v>
      </c>
      <c r="L7" t="s">
        <v>29</v>
      </c>
      <c r="M7" t="s">
        <v>41</v>
      </c>
    </row>
    <row r="8" spans="1:13" x14ac:dyDescent="0.3">
      <c r="A8">
        <v>1008</v>
      </c>
      <c r="B8" s="1">
        <v>46194</v>
      </c>
      <c r="C8" t="s">
        <v>42</v>
      </c>
      <c r="D8" t="s">
        <v>43</v>
      </c>
      <c r="E8" t="s">
        <v>25</v>
      </c>
      <c r="F8" t="s">
        <v>26</v>
      </c>
      <c r="G8" t="s">
        <v>40</v>
      </c>
      <c r="H8">
        <v>4</v>
      </c>
      <c r="I8">
        <v>3367</v>
      </c>
      <c r="J8">
        <v>5</v>
      </c>
      <c r="K8" t="s">
        <v>22</v>
      </c>
      <c r="L8" t="s">
        <v>29</v>
      </c>
      <c r="M8" t="s">
        <v>20</v>
      </c>
    </row>
    <row r="9" spans="1:13" x14ac:dyDescent="0.3">
      <c r="A9">
        <v>1009</v>
      </c>
      <c r="B9" s="1">
        <v>46080</v>
      </c>
      <c r="C9" t="s">
        <v>44</v>
      </c>
      <c r="D9" t="s">
        <v>24</v>
      </c>
      <c r="E9" t="s">
        <v>15</v>
      </c>
      <c r="F9" t="s">
        <v>45</v>
      </c>
      <c r="G9" t="s">
        <v>46</v>
      </c>
      <c r="H9">
        <v>7</v>
      </c>
      <c r="I9">
        <v>635</v>
      </c>
      <c r="J9">
        <v>10</v>
      </c>
      <c r="K9" t="s">
        <v>28</v>
      </c>
      <c r="L9" t="s">
        <v>33</v>
      </c>
      <c r="M9" t="s">
        <v>20</v>
      </c>
    </row>
    <row r="10" spans="1:13" x14ac:dyDescent="0.3">
      <c r="A10">
        <v>1010</v>
      </c>
      <c r="B10" s="1">
        <v>46075</v>
      </c>
      <c r="C10" t="s">
        <v>47</v>
      </c>
      <c r="D10" t="s">
        <v>43</v>
      </c>
      <c r="E10" t="s">
        <v>15</v>
      </c>
      <c r="F10" t="s">
        <v>45</v>
      </c>
      <c r="G10" t="s">
        <v>40</v>
      </c>
      <c r="H10">
        <v>2</v>
      </c>
      <c r="I10">
        <v>931</v>
      </c>
      <c r="J10">
        <v>10</v>
      </c>
      <c r="K10" t="s">
        <v>28</v>
      </c>
      <c r="L10" t="s">
        <v>33</v>
      </c>
      <c r="M10" t="s">
        <v>48</v>
      </c>
    </row>
    <row r="11" spans="1:13" x14ac:dyDescent="0.3">
      <c r="A11">
        <v>1011</v>
      </c>
      <c r="B11" s="1">
        <v>46067</v>
      </c>
      <c r="C11" t="s">
        <v>49</v>
      </c>
      <c r="D11" t="s">
        <v>14</v>
      </c>
      <c r="E11" t="s">
        <v>15</v>
      </c>
      <c r="F11" t="s">
        <v>16</v>
      </c>
      <c r="G11" t="s">
        <v>40</v>
      </c>
      <c r="H11">
        <v>2</v>
      </c>
      <c r="I11">
        <v>1634</v>
      </c>
      <c r="J11">
        <v>15</v>
      </c>
      <c r="K11" t="s">
        <v>28</v>
      </c>
      <c r="L11" t="s">
        <v>29</v>
      </c>
    </row>
    <row r="12" spans="1:13" x14ac:dyDescent="0.3">
      <c r="A12">
        <v>1012</v>
      </c>
      <c r="B12" s="1">
        <v>46076</v>
      </c>
      <c r="C12" t="s">
        <v>50</v>
      </c>
      <c r="D12" t="s">
        <v>24</v>
      </c>
      <c r="E12" t="s">
        <v>25</v>
      </c>
      <c r="F12" t="s">
        <v>32</v>
      </c>
      <c r="G12" t="s">
        <v>46</v>
      </c>
      <c r="H12">
        <v>7</v>
      </c>
      <c r="I12">
        <v>4252</v>
      </c>
      <c r="J12">
        <v>15</v>
      </c>
      <c r="K12" t="s">
        <v>28</v>
      </c>
      <c r="L12" t="s">
        <v>19</v>
      </c>
    </row>
    <row r="13" spans="1:13" x14ac:dyDescent="0.3">
      <c r="A13">
        <v>1013</v>
      </c>
      <c r="B13" s="1">
        <v>46189</v>
      </c>
      <c r="C13" t="s">
        <v>51</v>
      </c>
      <c r="D13" t="s">
        <v>24</v>
      </c>
      <c r="E13" t="s">
        <v>15</v>
      </c>
      <c r="F13" t="s">
        <v>16</v>
      </c>
      <c r="G13" t="s">
        <v>17</v>
      </c>
      <c r="H13">
        <v>2</v>
      </c>
      <c r="I13">
        <v>2374</v>
      </c>
      <c r="J13">
        <v>10</v>
      </c>
      <c r="K13" t="s">
        <v>22</v>
      </c>
      <c r="L13" t="s">
        <v>33</v>
      </c>
    </row>
    <row r="14" spans="1:13" x14ac:dyDescent="0.3">
      <c r="A14">
        <v>1014</v>
      </c>
      <c r="B14" s="1">
        <v>46193</v>
      </c>
      <c r="C14" t="s">
        <v>52</v>
      </c>
      <c r="D14" t="s">
        <v>43</v>
      </c>
      <c r="E14" t="s">
        <v>15</v>
      </c>
      <c r="F14" t="s">
        <v>16</v>
      </c>
      <c r="G14" t="s">
        <v>17</v>
      </c>
      <c r="H14">
        <v>5</v>
      </c>
      <c r="I14">
        <v>1612</v>
      </c>
      <c r="J14">
        <v>5</v>
      </c>
      <c r="K14" t="s">
        <v>28</v>
      </c>
      <c r="L14" t="s">
        <v>29</v>
      </c>
      <c r="M14" t="s">
        <v>41</v>
      </c>
    </row>
    <row r="15" spans="1:13" x14ac:dyDescent="0.3">
      <c r="A15">
        <v>1015</v>
      </c>
      <c r="B15" s="1">
        <v>46182</v>
      </c>
      <c r="C15" t="s">
        <v>53</v>
      </c>
      <c r="D15" t="s">
        <v>24</v>
      </c>
      <c r="E15" t="s">
        <v>36</v>
      </c>
      <c r="F15" t="s">
        <v>54</v>
      </c>
      <c r="G15" t="s">
        <v>46</v>
      </c>
      <c r="H15">
        <v>10</v>
      </c>
      <c r="I15">
        <v>1044</v>
      </c>
      <c r="J15">
        <v>15</v>
      </c>
      <c r="K15" t="s">
        <v>22</v>
      </c>
      <c r="L15" t="s">
        <v>29</v>
      </c>
      <c r="M15" t="s">
        <v>20</v>
      </c>
    </row>
    <row r="16" spans="1:13" x14ac:dyDescent="0.3">
      <c r="A16">
        <v>1016</v>
      </c>
      <c r="B16" s="1">
        <v>46113</v>
      </c>
      <c r="C16" t="s">
        <v>55</v>
      </c>
      <c r="D16" t="s">
        <v>43</v>
      </c>
      <c r="E16" t="s">
        <v>36</v>
      </c>
      <c r="F16" t="s">
        <v>54</v>
      </c>
      <c r="G16" t="s">
        <v>46</v>
      </c>
      <c r="H16">
        <v>9</v>
      </c>
      <c r="I16">
        <v>3043</v>
      </c>
      <c r="J16">
        <v>10</v>
      </c>
      <c r="K16" t="s">
        <v>28</v>
      </c>
      <c r="L16" t="s">
        <v>33</v>
      </c>
    </row>
    <row r="17" spans="1:13" x14ac:dyDescent="0.3">
      <c r="A17">
        <v>1017</v>
      </c>
      <c r="B17" s="1">
        <v>46197</v>
      </c>
      <c r="C17" t="s">
        <v>56</v>
      </c>
      <c r="D17" t="s">
        <v>14</v>
      </c>
      <c r="E17" t="s">
        <v>15</v>
      </c>
      <c r="F17" t="s">
        <v>16</v>
      </c>
      <c r="G17" t="s">
        <v>17</v>
      </c>
      <c r="H17">
        <v>1</v>
      </c>
      <c r="I17">
        <v>319</v>
      </c>
      <c r="J17">
        <v>5</v>
      </c>
      <c r="K17" t="s">
        <v>28</v>
      </c>
      <c r="L17" t="s">
        <v>33</v>
      </c>
      <c r="M17" t="s">
        <v>41</v>
      </c>
    </row>
    <row r="18" spans="1:13" x14ac:dyDescent="0.3">
      <c r="A18">
        <v>1018</v>
      </c>
      <c r="B18" s="1">
        <v>46063</v>
      </c>
      <c r="C18" t="s">
        <v>57</v>
      </c>
      <c r="D18" t="s">
        <v>14</v>
      </c>
      <c r="E18" t="s">
        <v>15</v>
      </c>
      <c r="F18" t="s">
        <v>16</v>
      </c>
      <c r="G18" t="s">
        <v>46</v>
      </c>
      <c r="H18">
        <v>8</v>
      </c>
      <c r="I18">
        <v>4177</v>
      </c>
      <c r="J18">
        <v>0</v>
      </c>
      <c r="K18" t="s">
        <v>18</v>
      </c>
      <c r="L18" t="s">
        <v>19</v>
      </c>
      <c r="M18" t="s">
        <v>41</v>
      </c>
    </row>
    <row r="19" spans="1:13" x14ac:dyDescent="0.3">
      <c r="A19">
        <v>1019</v>
      </c>
      <c r="B19" s="1">
        <v>46099</v>
      </c>
      <c r="C19" t="s">
        <v>58</v>
      </c>
      <c r="D19" t="s">
        <v>24</v>
      </c>
      <c r="E19" t="s">
        <v>25</v>
      </c>
      <c r="F19" t="s">
        <v>26</v>
      </c>
      <c r="G19" t="s">
        <v>46</v>
      </c>
      <c r="H19">
        <v>4</v>
      </c>
      <c r="I19">
        <v>3996</v>
      </c>
      <c r="J19">
        <v>5</v>
      </c>
      <c r="K19" t="s">
        <v>28</v>
      </c>
      <c r="L19" t="s">
        <v>29</v>
      </c>
      <c r="M19" t="s">
        <v>41</v>
      </c>
    </row>
    <row r="20" spans="1:13" x14ac:dyDescent="0.3">
      <c r="A20">
        <v>1020</v>
      </c>
      <c r="B20" s="1">
        <v>46126</v>
      </c>
      <c r="C20" t="s">
        <v>59</v>
      </c>
      <c r="D20" t="s">
        <v>14</v>
      </c>
      <c r="E20" t="s">
        <v>36</v>
      </c>
      <c r="F20" t="s">
        <v>54</v>
      </c>
      <c r="G20" t="s">
        <v>17</v>
      </c>
      <c r="H20">
        <v>5</v>
      </c>
      <c r="I20">
        <v>1889</v>
      </c>
      <c r="J20">
        <v>10</v>
      </c>
      <c r="K20" t="s">
        <v>22</v>
      </c>
      <c r="L20" t="s">
        <v>33</v>
      </c>
      <c r="M20" t="s">
        <v>48</v>
      </c>
    </row>
    <row r="21" spans="1:13" x14ac:dyDescent="0.3">
      <c r="A21">
        <v>1021</v>
      </c>
      <c r="B21" s="1">
        <v>46165</v>
      </c>
      <c r="C21" t="s">
        <v>60</v>
      </c>
      <c r="D21" t="s">
        <v>31</v>
      </c>
      <c r="E21" t="s">
        <v>15</v>
      </c>
      <c r="F21" t="s">
        <v>45</v>
      </c>
      <c r="G21" t="s">
        <v>27</v>
      </c>
      <c r="H21">
        <v>10</v>
      </c>
      <c r="I21">
        <v>1883</v>
      </c>
      <c r="J21">
        <v>0</v>
      </c>
      <c r="K21" t="s">
        <v>18</v>
      </c>
      <c r="L21" t="s">
        <v>33</v>
      </c>
      <c r="M21" t="s">
        <v>41</v>
      </c>
    </row>
    <row r="22" spans="1:13" x14ac:dyDescent="0.3">
      <c r="A22">
        <v>1022</v>
      </c>
      <c r="B22" s="1">
        <v>46081</v>
      </c>
      <c r="C22" t="s">
        <v>61</v>
      </c>
      <c r="D22" t="s">
        <v>14</v>
      </c>
      <c r="E22" t="s">
        <v>25</v>
      </c>
      <c r="F22" t="s">
        <v>26</v>
      </c>
      <c r="G22" t="s">
        <v>27</v>
      </c>
      <c r="H22">
        <v>3</v>
      </c>
      <c r="I22">
        <v>3962</v>
      </c>
      <c r="J22">
        <v>5</v>
      </c>
      <c r="K22" t="s">
        <v>22</v>
      </c>
      <c r="L22" t="s">
        <v>33</v>
      </c>
      <c r="M22" t="s">
        <v>41</v>
      </c>
    </row>
    <row r="23" spans="1:13" x14ac:dyDescent="0.3">
      <c r="A23">
        <v>1023</v>
      </c>
      <c r="B23" s="1">
        <v>46146</v>
      </c>
      <c r="C23" t="s">
        <v>62</v>
      </c>
      <c r="D23" t="s">
        <v>14</v>
      </c>
      <c r="E23" t="s">
        <v>15</v>
      </c>
      <c r="F23" t="s">
        <v>45</v>
      </c>
      <c r="G23" t="s">
        <v>27</v>
      </c>
      <c r="H23">
        <v>2</v>
      </c>
      <c r="I23">
        <v>1153</v>
      </c>
      <c r="J23">
        <v>0</v>
      </c>
      <c r="K23" t="s">
        <v>22</v>
      </c>
      <c r="L23" t="s">
        <v>19</v>
      </c>
      <c r="M23" t="s">
        <v>48</v>
      </c>
    </row>
    <row r="24" spans="1:13" x14ac:dyDescent="0.3">
      <c r="A24">
        <v>1024</v>
      </c>
      <c r="B24" s="1">
        <v>46075</v>
      </c>
      <c r="C24" t="s">
        <v>63</v>
      </c>
      <c r="D24" t="s">
        <v>24</v>
      </c>
      <c r="E24" t="s">
        <v>25</v>
      </c>
      <c r="F24" t="s">
        <v>26</v>
      </c>
      <c r="G24" t="s">
        <v>46</v>
      </c>
      <c r="H24">
        <v>6</v>
      </c>
      <c r="I24">
        <v>2809</v>
      </c>
      <c r="J24">
        <v>5</v>
      </c>
      <c r="K24" t="s">
        <v>28</v>
      </c>
      <c r="L24" t="s">
        <v>19</v>
      </c>
      <c r="M24" t="s">
        <v>20</v>
      </c>
    </row>
    <row r="25" spans="1:13" x14ac:dyDescent="0.3">
      <c r="A25">
        <v>1025</v>
      </c>
      <c r="B25" s="1">
        <v>46129</v>
      </c>
      <c r="C25" t="s">
        <v>64</v>
      </c>
      <c r="D25" t="s">
        <v>24</v>
      </c>
      <c r="E25" t="s">
        <v>36</v>
      </c>
      <c r="F25" t="s">
        <v>37</v>
      </c>
      <c r="G25" t="s">
        <v>40</v>
      </c>
      <c r="H25">
        <v>4</v>
      </c>
      <c r="I25">
        <v>2307</v>
      </c>
      <c r="J25">
        <v>10</v>
      </c>
      <c r="K25" t="s">
        <v>18</v>
      </c>
      <c r="L25" t="s">
        <v>19</v>
      </c>
      <c r="M25" t="s">
        <v>41</v>
      </c>
    </row>
    <row r="26" spans="1:13" x14ac:dyDescent="0.3">
      <c r="A26">
        <v>1026</v>
      </c>
      <c r="B26" s="1">
        <v>46030</v>
      </c>
      <c r="C26" t="s">
        <v>65</v>
      </c>
      <c r="D26" t="s">
        <v>24</v>
      </c>
      <c r="E26" t="s">
        <v>25</v>
      </c>
      <c r="F26" t="s">
        <v>32</v>
      </c>
      <c r="G26" t="s">
        <v>17</v>
      </c>
      <c r="H26">
        <v>2</v>
      </c>
      <c r="I26">
        <v>1874</v>
      </c>
      <c r="J26">
        <v>0</v>
      </c>
      <c r="K26" t="s">
        <v>22</v>
      </c>
      <c r="L26" t="s">
        <v>29</v>
      </c>
    </row>
    <row r="27" spans="1:13" x14ac:dyDescent="0.3">
      <c r="A27">
        <v>1027</v>
      </c>
      <c r="B27" s="1">
        <v>46075</v>
      </c>
      <c r="C27" t="s">
        <v>66</v>
      </c>
      <c r="D27" t="s">
        <v>35</v>
      </c>
      <c r="E27" t="s">
        <v>15</v>
      </c>
      <c r="F27" t="s">
        <v>16</v>
      </c>
      <c r="G27" t="s">
        <v>17</v>
      </c>
      <c r="H27">
        <v>9</v>
      </c>
      <c r="I27">
        <v>2591</v>
      </c>
      <c r="J27">
        <v>10</v>
      </c>
      <c r="K27" t="s">
        <v>18</v>
      </c>
      <c r="L27" t="s">
        <v>33</v>
      </c>
      <c r="M27" t="s">
        <v>48</v>
      </c>
    </row>
    <row r="28" spans="1:13" x14ac:dyDescent="0.3">
      <c r="A28">
        <v>1028</v>
      </c>
      <c r="B28" s="1">
        <v>46153</v>
      </c>
      <c r="C28" t="s">
        <v>67</v>
      </c>
      <c r="D28" t="s">
        <v>43</v>
      </c>
      <c r="E28" t="s">
        <v>36</v>
      </c>
      <c r="F28" t="s">
        <v>54</v>
      </c>
      <c r="G28" t="s">
        <v>40</v>
      </c>
      <c r="H28">
        <v>10</v>
      </c>
      <c r="I28">
        <v>2973</v>
      </c>
      <c r="J28">
        <v>5</v>
      </c>
      <c r="K28" t="s">
        <v>22</v>
      </c>
      <c r="L28" t="s">
        <v>29</v>
      </c>
      <c r="M28" t="s">
        <v>48</v>
      </c>
    </row>
    <row r="29" spans="1:13" x14ac:dyDescent="0.3">
      <c r="A29">
        <v>1029</v>
      </c>
      <c r="B29" s="1">
        <v>46122</v>
      </c>
      <c r="C29" t="s">
        <v>68</v>
      </c>
      <c r="D29" t="s">
        <v>24</v>
      </c>
      <c r="E29" t="s">
        <v>15</v>
      </c>
      <c r="F29" t="s">
        <v>16</v>
      </c>
      <c r="G29" t="s">
        <v>40</v>
      </c>
      <c r="H29">
        <v>1</v>
      </c>
      <c r="I29">
        <v>1713</v>
      </c>
      <c r="J29">
        <v>0</v>
      </c>
      <c r="K29" t="s">
        <v>28</v>
      </c>
      <c r="L29" t="s">
        <v>29</v>
      </c>
      <c r="M29" t="s">
        <v>20</v>
      </c>
    </row>
    <row r="30" spans="1:13" x14ac:dyDescent="0.3">
      <c r="A30">
        <v>1030</v>
      </c>
      <c r="B30" s="1">
        <v>46163</v>
      </c>
      <c r="C30" t="s">
        <v>69</v>
      </c>
      <c r="D30" t="s">
        <v>24</v>
      </c>
      <c r="E30" t="s">
        <v>25</v>
      </c>
      <c r="F30" t="s">
        <v>32</v>
      </c>
      <c r="G30" t="s">
        <v>46</v>
      </c>
      <c r="H30">
        <v>2</v>
      </c>
      <c r="I30">
        <v>4916</v>
      </c>
      <c r="J30">
        <v>5</v>
      </c>
      <c r="K30" t="s">
        <v>28</v>
      </c>
      <c r="L30" t="s">
        <v>19</v>
      </c>
      <c r="M30" t="s">
        <v>48</v>
      </c>
    </row>
    <row r="31" spans="1:13" x14ac:dyDescent="0.3">
      <c r="A31">
        <v>1031</v>
      </c>
      <c r="B31" s="1">
        <v>46061</v>
      </c>
      <c r="C31" t="s">
        <v>70</v>
      </c>
      <c r="D31" t="s">
        <v>31</v>
      </c>
      <c r="E31" t="s">
        <v>25</v>
      </c>
      <c r="F31" t="s">
        <v>32</v>
      </c>
      <c r="G31" t="s">
        <v>46</v>
      </c>
      <c r="H31">
        <v>7</v>
      </c>
      <c r="I31">
        <v>2683</v>
      </c>
      <c r="J31">
        <v>10</v>
      </c>
      <c r="K31" t="s">
        <v>18</v>
      </c>
      <c r="L31" t="s">
        <v>19</v>
      </c>
    </row>
    <row r="32" spans="1:13" x14ac:dyDescent="0.3">
      <c r="A32">
        <v>1032</v>
      </c>
      <c r="B32" s="1">
        <v>46122</v>
      </c>
      <c r="C32" t="s">
        <v>71</v>
      </c>
      <c r="D32" t="s">
        <v>35</v>
      </c>
      <c r="E32" t="s">
        <v>15</v>
      </c>
      <c r="F32" t="s">
        <v>45</v>
      </c>
      <c r="G32" t="s">
        <v>40</v>
      </c>
      <c r="H32">
        <v>10</v>
      </c>
      <c r="I32">
        <v>4144</v>
      </c>
      <c r="J32">
        <v>15</v>
      </c>
      <c r="K32" t="s">
        <v>22</v>
      </c>
      <c r="L32" t="s">
        <v>33</v>
      </c>
      <c r="M32" t="s">
        <v>41</v>
      </c>
    </row>
    <row r="33" spans="1:13" x14ac:dyDescent="0.3">
      <c r="A33">
        <v>1033</v>
      </c>
      <c r="B33" s="1">
        <v>46133</v>
      </c>
      <c r="C33" t="s">
        <v>72</v>
      </c>
      <c r="D33" t="s">
        <v>35</v>
      </c>
      <c r="E33" t="s">
        <v>36</v>
      </c>
      <c r="F33" t="s">
        <v>39</v>
      </c>
      <c r="G33" t="s">
        <v>27</v>
      </c>
      <c r="H33">
        <v>7</v>
      </c>
      <c r="I33">
        <v>4072</v>
      </c>
      <c r="J33">
        <v>15</v>
      </c>
      <c r="K33" t="s">
        <v>22</v>
      </c>
      <c r="L33" t="s">
        <v>19</v>
      </c>
    </row>
    <row r="34" spans="1:13" x14ac:dyDescent="0.3">
      <c r="A34">
        <v>1034</v>
      </c>
      <c r="B34" s="1">
        <v>46057</v>
      </c>
      <c r="C34" t="s">
        <v>73</v>
      </c>
      <c r="D34" t="s">
        <v>24</v>
      </c>
      <c r="E34" t="s">
        <v>25</v>
      </c>
      <c r="F34" t="s">
        <v>32</v>
      </c>
      <c r="G34" t="s">
        <v>46</v>
      </c>
      <c r="H34">
        <v>9</v>
      </c>
      <c r="I34">
        <v>2346</v>
      </c>
      <c r="J34">
        <v>15</v>
      </c>
      <c r="K34" t="s">
        <v>28</v>
      </c>
      <c r="L34" t="s">
        <v>29</v>
      </c>
      <c r="M34" t="s">
        <v>20</v>
      </c>
    </row>
    <row r="35" spans="1:13" x14ac:dyDescent="0.3">
      <c r="A35">
        <v>1035</v>
      </c>
      <c r="B35" s="1">
        <v>46045</v>
      </c>
      <c r="C35" t="s">
        <v>74</v>
      </c>
      <c r="D35" t="s">
        <v>35</v>
      </c>
      <c r="E35" t="s">
        <v>15</v>
      </c>
      <c r="F35" t="s">
        <v>45</v>
      </c>
      <c r="G35" t="s">
        <v>46</v>
      </c>
      <c r="H35">
        <v>2</v>
      </c>
      <c r="I35">
        <v>546</v>
      </c>
      <c r="J35">
        <v>5</v>
      </c>
      <c r="K35" t="s">
        <v>22</v>
      </c>
      <c r="L35" t="s">
        <v>29</v>
      </c>
      <c r="M35" t="s">
        <v>20</v>
      </c>
    </row>
    <row r="36" spans="1:13" x14ac:dyDescent="0.3">
      <c r="A36">
        <v>1036</v>
      </c>
      <c r="B36" s="1">
        <v>46113</v>
      </c>
      <c r="C36" t="s">
        <v>75</v>
      </c>
      <c r="D36" t="s">
        <v>31</v>
      </c>
      <c r="E36" t="s">
        <v>36</v>
      </c>
      <c r="F36" t="s">
        <v>54</v>
      </c>
      <c r="G36" t="s">
        <v>40</v>
      </c>
      <c r="H36">
        <v>10</v>
      </c>
      <c r="I36">
        <v>705</v>
      </c>
      <c r="J36">
        <v>0</v>
      </c>
      <c r="K36" t="s">
        <v>28</v>
      </c>
      <c r="L36" t="s">
        <v>29</v>
      </c>
      <c r="M36" t="s">
        <v>41</v>
      </c>
    </row>
    <row r="37" spans="1:13" x14ac:dyDescent="0.3">
      <c r="A37">
        <v>1037</v>
      </c>
      <c r="B37" s="1">
        <v>46141</v>
      </c>
      <c r="C37" t="s">
        <v>76</v>
      </c>
      <c r="D37" t="s">
        <v>31</v>
      </c>
      <c r="E37" t="s">
        <v>15</v>
      </c>
      <c r="F37" t="s">
        <v>16</v>
      </c>
      <c r="G37" t="s">
        <v>17</v>
      </c>
      <c r="H37">
        <v>4</v>
      </c>
      <c r="I37">
        <v>2514</v>
      </c>
      <c r="J37">
        <v>0</v>
      </c>
      <c r="K37" t="s">
        <v>28</v>
      </c>
      <c r="L37" t="s">
        <v>19</v>
      </c>
      <c r="M37" t="s">
        <v>48</v>
      </c>
    </row>
    <row r="38" spans="1:13" x14ac:dyDescent="0.3">
      <c r="A38">
        <v>1038</v>
      </c>
      <c r="B38" s="1">
        <v>46182</v>
      </c>
      <c r="C38" t="s">
        <v>77</v>
      </c>
      <c r="D38" t="s">
        <v>43</v>
      </c>
      <c r="E38" t="s">
        <v>36</v>
      </c>
      <c r="F38" t="s">
        <v>54</v>
      </c>
      <c r="G38" t="s">
        <v>27</v>
      </c>
      <c r="H38">
        <v>6</v>
      </c>
      <c r="I38">
        <v>1188</v>
      </c>
      <c r="J38">
        <v>0</v>
      </c>
      <c r="K38" t="s">
        <v>28</v>
      </c>
      <c r="L38" t="s">
        <v>33</v>
      </c>
      <c r="M38" t="s">
        <v>41</v>
      </c>
    </row>
    <row r="39" spans="1:13" x14ac:dyDescent="0.3">
      <c r="A39">
        <v>1039</v>
      </c>
      <c r="B39" s="1">
        <v>46087</v>
      </c>
      <c r="C39" t="s">
        <v>78</v>
      </c>
      <c r="D39" t="s">
        <v>43</v>
      </c>
      <c r="E39" t="s">
        <v>15</v>
      </c>
      <c r="F39" t="s">
        <v>45</v>
      </c>
      <c r="G39" t="s">
        <v>40</v>
      </c>
      <c r="H39">
        <v>6</v>
      </c>
      <c r="I39">
        <v>4718</v>
      </c>
      <c r="J39">
        <v>5</v>
      </c>
      <c r="K39" t="s">
        <v>28</v>
      </c>
      <c r="L39" t="s">
        <v>33</v>
      </c>
      <c r="M39" t="s">
        <v>41</v>
      </c>
    </row>
    <row r="40" spans="1:13" x14ac:dyDescent="0.3">
      <c r="A40">
        <v>1040</v>
      </c>
      <c r="B40" s="1">
        <v>46181</v>
      </c>
      <c r="C40" t="s">
        <v>79</v>
      </c>
      <c r="D40" t="s">
        <v>31</v>
      </c>
      <c r="E40" t="s">
        <v>36</v>
      </c>
      <c r="F40" t="s">
        <v>37</v>
      </c>
      <c r="G40" t="s">
        <v>40</v>
      </c>
      <c r="H40">
        <v>8</v>
      </c>
      <c r="I40">
        <v>565</v>
      </c>
      <c r="J40">
        <v>15</v>
      </c>
      <c r="K40" t="s">
        <v>28</v>
      </c>
      <c r="L40" t="s">
        <v>33</v>
      </c>
      <c r="M40" t="s">
        <v>41</v>
      </c>
    </row>
    <row r="41" spans="1:13" x14ac:dyDescent="0.3">
      <c r="A41">
        <v>1041</v>
      </c>
      <c r="B41" s="1">
        <v>46063</v>
      </c>
      <c r="C41" t="s">
        <v>80</v>
      </c>
      <c r="D41" t="s">
        <v>31</v>
      </c>
      <c r="E41" t="s">
        <v>36</v>
      </c>
      <c r="F41" t="s">
        <v>37</v>
      </c>
      <c r="G41" t="s">
        <v>17</v>
      </c>
      <c r="H41">
        <v>3</v>
      </c>
      <c r="I41">
        <v>4102</v>
      </c>
      <c r="J41">
        <v>5</v>
      </c>
      <c r="K41" t="s">
        <v>28</v>
      </c>
      <c r="L41" t="s">
        <v>19</v>
      </c>
      <c r="M41" t="s">
        <v>20</v>
      </c>
    </row>
    <row r="42" spans="1:13" x14ac:dyDescent="0.3">
      <c r="A42">
        <v>1042</v>
      </c>
      <c r="B42" s="1">
        <v>46052</v>
      </c>
      <c r="C42" t="s">
        <v>81</v>
      </c>
      <c r="D42" t="s">
        <v>24</v>
      </c>
      <c r="E42" t="s">
        <v>15</v>
      </c>
      <c r="F42" t="s">
        <v>45</v>
      </c>
      <c r="G42" t="s">
        <v>17</v>
      </c>
      <c r="H42">
        <v>4</v>
      </c>
      <c r="I42">
        <v>713</v>
      </c>
      <c r="J42">
        <v>15</v>
      </c>
      <c r="K42" t="s">
        <v>22</v>
      </c>
      <c r="L42" t="s">
        <v>19</v>
      </c>
      <c r="M42" t="s">
        <v>48</v>
      </c>
    </row>
    <row r="43" spans="1:13" x14ac:dyDescent="0.3">
      <c r="A43">
        <v>1043</v>
      </c>
      <c r="B43" s="1">
        <v>46156</v>
      </c>
      <c r="C43" t="s">
        <v>82</v>
      </c>
      <c r="D43" t="s">
        <v>14</v>
      </c>
      <c r="E43" t="s">
        <v>15</v>
      </c>
      <c r="F43" t="s">
        <v>45</v>
      </c>
      <c r="G43" t="s">
        <v>27</v>
      </c>
      <c r="H43">
        <v>5</v>
      </c>
      <c r="I43">
        <v>2283</v>
      </c>
      <c r="J43">
        <v>15</v>
      </c>
      <c r="K43" t="s">
        <v>28</v>
      </c>
      <c r="L43" t="s">
        <v>29</v>
      </c>
      <c r="M43" t="s">
        <v>41</v>
      </c>
    </row>
    <row r="44" spans="1:13" x14ac:dyDescent="0.3">
      <c r="A44">
        <v>1044</v>
      </c>
      <c r="B44" s="1">
        <v>46078</v>
      </c>
      <c r="C44" t="s">
        <v>83</v>
      </c>
      <c r="D44" t="s">
        <v>14</v>
      </c>
      <c r="E44" t="s">
        <v>36</v>
      </c>
      <c r="F44" t="s">
        <v>39</v>
      </c>
      <c r="G44" t="s">
        <v>46</v>
      </c>
      <c r="H44">
        <v>8</v>
      </c>
      <c r="I44">
        <v>1957</v>
      </c>
      <c r="J44">
        <v>10</v>
      </c>
      <c r="K44" t="s">
        <v>28</v>
      </c>
      <c r="L44" t="s">
        <v>19</v>
      </c>
      <c r="M44" t="s">
        <v>20</v>
      </c>
    </row>
    <row r="45" spans="1:13" x14ac:dyDescent="0.3">
      <c r="A45">
        <v>1045</v>
      </c>
      <c r="B45" s="1">
        <v>46046</v>
      </c>
      <c r="C45" t="s">
        <v>84</v>
      </c>
      <c r="D45" t="s">
        <v>43</v>
      </c>
      <c r="E45" t="s">
        <v>25</v>
      </c>
      <c r="F45" t="s">
        <v>26</v>
      </c>
      <c r="G45" t="s">
        <v>46</v>
      </c>
      <c r="H45">
        <v>10</v>
      </c>
      <c r="I45">
        <v>2544</v>
      </c>
      <c r="J45">
        <v>5</v>
      </c>
      <c r="K45" t="s">
        <v>28</v>
      </c>
      <c r="L45" t="s">
        <v>19</v>
      </c>
    </row>
    <row r="46" spans="1:13" x14ac:dyDescent="0.3">
      <c r="A46">
        <v>1046</v>
      </c>
      <c r="B46" s="1">
        <v>46180</v>
      </c>
      <c r="C46" t="s">
        <v>85</v>
      </c>
      <c r="D46" t="s">
        <v>31</v>
      </c>
      <c r="E46" t="s">
        <v>25</v>
      </c>
      <c r="F46" t="s">
        <v>26</v>
      </c>
      <c r="G46" t="s">
        <v>40</v>
      </c>
      <c r="H46">
        <v>1</v>
      </c>
      <c r="I46">
        <v>353</v>
      </c>
      <c r="J46">
        <v>15</v>
      </c>
      <c r="K46" t="s">
        <v>28</v>
      </c>
      <c r="L46" t="s">
        <v>29</v>
      </c>
      <c r="M46" t="s">
        <v>41</v>
      </c>
    </row>
    <row r="47" spans="1:13" x14ac:dyDescent="0.3">
      <c r="A47">
        <v>1047</v>
      </c>
      <c r="B47" s="1">
        <v>46162</v>
      </c>
      <c r="C47" t="s">
        <v>86</v>
      </c>
      <c r="D47" t="s">
        <v>35</v>
      </c>
      <c r="E47" t="s">
        <v>25</v>
      </c>
      <c r="F47" t="s">
        <v>32</v>
      </c>
      <c r="G47" t="s">
        <v>46</v>
      </c>
      <c r="H47">
        <v>9</v>
      </c>
      <c r="I47">
        <v>4928</v>
      </c>
      <c r="J47">
        <v>0</v>
      </c>
      <c r="K47" t="s">
        <v>18</v>
      </c>
      <c r="L47" t="s">
        <v>19</v>
      </c>
      <c r="M47" t="s">
        <v>41</v>
      </c>
    </row>
    <row r="48" spans="1:13" x14ac:dyDescent="0.3">
      <c r="A48">
        <v>1048</v>
      </c>
      <c r="B48" s="1">
        <v>46078</v>
      </c>
      <c r="C48" t="s">
        <v>87</v>
      </c>
      <c r="D48" t="s">
        <v>31</v>
      </c>
      <c r="E48" t="s">
        <v>15</v>
      </c>
      <c r="F48" t="s">
        <v>16</v>
      </c>
      <c r="G48" t="s">
        <v>46</v>
      </c>
      <c r="H48">
        <v>9</v>
      </c>
      <c r="I48">
        <v>1271</v>
      </c>
      <c r="J48">
        <v>15</v>
      </c>
      <c r="K48" t="s">
        <v>22</v>
      </c>
      <c r="L48" t="s">
        <v>19</v>
      </c>
      <c r="M48" t="s">
        <v>48</v>
      </c>
    </row>
    <row r="49" spans="1:13" x14ac:dyDescent="0.3">
      <c r="A49">
        <v>1049</v>
      </c>
      <c r="B49" s="1">
        <v>46052</v>
      </c>
      <c r="C49" t="s">
        <v>88</v>
      </c>
      <c r="D49" t="s">
        <v>43</v>
      </c>
      <c r="E49" t="s">
        <v>15</v>
      </c>
      <c r="F49" t="s">
        <v>16</v>
      </c>
      <c r="G49" t="s">
        <v>40</v>
      </c>
      <c r="H49">
        <v>6</v>
      </c>
      <c r="I49">
        <v>4683</v>
      </c>
      <c r="J49">
        <v>15</v>
      </c>
      <c r="K49" t="s">
        <v>28</v>
      </c>
      <c r="L49" t="s">
        <v>29</v>
      </c>
    </row>
    <row r="50" spans="1:13" x14ac:dyDescent="0.3">
      <c r="A50">
        <v>1050</v>
      </c>
      <c r="B50" s="1">
        <v>46189</v>
      </c>
      <c r="C50" t="s">
        <v>89</v>
      </c>
      <c r="D50" t="s">
        <v>31</v>
      </c>
      <c r="E50" t="s">
        <v>25</v>
      </c>
      <c r="F50" t="s">
        <v>26</v>
      </c>
      <c r="G50" t="s">
        <v>46</v>
      </c>
      <c r="H50">
        <v>7</v>
      </c>
      <c r="I50">
        <v>2360</v>
      </c>
      <c r="J50">
        <v>10</v>
      </c>
      <c r="K50" t="s">
        <v>22</v>
      </c>
      <c r="L50" t="s">
        <v>29</v>
      </c>
      <c r="M50" t="s">
        <v>48</v>
      </c>
    </row>
    <row r="51" spans="1:13" x14ac:dyDescent="0.3">
      <c r="A51">
        <v>1051</v>
      </c>
      <c r="B51" s="1">
        <v>46054</v>
      </c>
      <c r="C51" t="s">
        <v>90</v>
      </c>
      <c r="D51" t="s">
        <v>43</v>
      </c>
      <c r="E51" t="s">
        <v>25</v>
      </c>
      <c r="F51" t="s">
        <v>26</v>
      </c>
      <c r="G51" t="s">
        <v>46</v>
      </c>
      <c r="H51">
        <v>10</v>
      </c>
      <c r="I51">
        <v>385</v>
      </c>
      <c r="J51">
        <v>0</v>
      </c>
      <c r="K51" t="s">
        <v>28</v>
      </c>
      <c r="L51" t="s">
        <v>29</v>
      </c>
    </row>
    <row r="52" spans="1:13" x14ac:dyDescent="0.3">
      <c r="A52">
        <v>1052</v>
      </c>
      <c r="B52" s="1">
        <v>46110</v>
      </c>
      <c r="C52" t="s">
        <v>91</v>
      </c>
      <c r="D52" t="s">
        <v>43</v>
      </c>
      <c r="E52" t="s">
        <v>25</v>
      </c>
      <c r="F52" t="s">
        <v>26</v>
      </c>
      <c r="G52" t="s">
        <v>17</v>
      </c>
      <c r="H52">
        <v>5</v>
      </c>
      <c r="I52">
        <v>1649</v>
      </c>
      <c r="J52">
        <v>5</v>
      </c>
      <c r="K52" t="s">
        <v>18</v>
      </c>
      <c r="L52" t="s">
        <v>29</v>
      </c>
      <c r="M52" t="s">
        <v>48</v>
      </c>
    </row>
    <row r="53" spans="1:13" x14ac:dyDescent="0.3">
      <c r="A53">
        <v>1053</v>
      </c>
      <c r="B53" s="1">
        <v>46033</v>
      </c>
      <c r="C53" t="s">
        <v>92</v>
      </c>
      <c r="D53" t="s">
        <v>24</v>
      </c>
      <c r="E53" t="s">
        <v>36</v>
      </c>
      <c r="F53" t="s">
        <v>37</v>
      </c>
      <c r="G53" t="s">
        <v>17</v>
      </c>
      <c r="H53">
        <v>7</v>
      </c>
      <c r="I53">
        <v>4810</v>
      </c>
      <c r="J53">
        <v>0</v>
      </c>
      <c r="K53" t="s">
        <v>22</v>
      </c>
      <c r="L53" t="s">
        <v>33</v>
      </c>
      <c r="M53" t="s">
        <v>48</v>
      </c>
    </row>
    <row r="54" spans="1:13" x14ac:dyDescent="0.3">
      <c r="A54">
        <v>1054</v>
      </c>
      <c r="B54" s="1">
        <v>46146</v>
      </c>
      <c r="C54" t="s">
        <v>93</v>
      </c>
      <c r="D54" t="s">
        <v>24</v>
      </c>
      <c r="E54" t="s">
        <v>25</v>
      </c>
      <c r="F54" t="s">
        <v>32</v>
      </c>
      <c r="G54" t="s">
        <v>27</v>
      </c>
      <c r="H54">
        <v>7</v>
      </c>
      <c r="I54">
        <v>1749</v>
      </c>
      <c r="J54">
        <v>15</v>
      </c>
      <c r="K54" t="s">
        <v>18</v>
      </c>
      <c r="L54" t="s">
        <v>19</v>
      </c>
      <c r="M54" t="s">
        <v>48</v>
      </c>
    </row>
    <row r="55" spans="1:13" x14ac:dyDescent="0.3">
      <c r="A55">
        <v>1055</v>
      </c>
      <c r="B55" s="1">
        <v>46203</v>
      </c>
      <c r="C55" t="s">
        <v>94</v>
      </c>
      <c r="D55" t="s">
        <v>43</v>
      </c>
      <c r="E55" t="s">
        <v>15</v>
      </c>
      <c r="F55" t="s">
        <v>16</v>
      </c>
      <c r="G55" t="s">
        <v>46</v>
      </c>
      <c r="H55">
        <v>8</v>
      </c>
      <c r="I55">
        <v>1461</v>
      </c>
      <c r="J55">
        <v>10</v>
      </c>
      <c r="K55" t="s">
        <v>22</v>
      </c>
      <c r="L55" t="s">
        <v>33</v>
      </c>
    </row>
    <row r="56" spans="1:13" x14ac:dyDescent="0.3">
      <c r="A56">
        <v>1056</v>
      </c>
      <c r="B56" s="1">
        <v>46066</v>
      </c>
      <c r="C56" t="s">
        <v>95</v>
      </c>
      <c r="D56" t="s">
        <v>35</v>
      </c>
      <c r="E56" t="s">
        <v>25</v>
      </c>
      <c r="F56" t="s">
        <v>32</v>
      </c>
      <c r="G56" t="s">
        <v>17</v>
      </c>
      <c r="H56">
        <v>1</v>
      </c>
      <c r="I56">
        <v>941</v>
      </c>
      <c r="J56">
        <v>0</v>
      </c>
      <c r="K56" t="s">
        <v>22</v>
      </c>
      <c r="L56" t="s">
        <v>19</v>
      </c>
    </row>
    <row r="57" spans="1:13" x14ac:dyDescent="0.3">
      <c r="A57">
        <v>1057</v>
      </c>
      <c r="B57" s="1">
        <v>46163</v>
      </c>
      <c r="C57" t="s">
        <v>96</v>
      </c>
      <c r="D57" t="s">
        <v>43</v>
      </c>
      <c r="E57" t="s">
        <v>25</v>
      </c>
      <c r="F57" t="s">
        <v>26</v>
      </c>
      <c r="G57" t="s">
        <v>17</v>
      </c>
      <c r="H57">
        <v>3</v>
      </c>
      <c r="I57">
        <v>1245</v>
      </c>
      <c r="J57">
        <v>0</v>
      </c>
      <c r="K57" t="s">
        <v>22</v>
      </c>
      <c r="L57" t="s">
        <v>33</v>
      </c>
    </row>
    <row r="58" spans="1:13" x14ac:dyDescent="0.3">
      <c r="A58">
        <v>1058</v>
      </c>
      <c r="B58" s="1">
        <v>46096</v>
      </c>
      <c r="C58" t="s">
        <v>97</v>
      </c>
      <c r="D58" t="s">
        <v>43</v>
      </c>
      <c r="E58" t="s">
        <v>25</v>
      </c>
      <c r="F58" t="s">
        <v>32</v>
      </c>
      <c r="G58" t="s">
        <v>46</v>
      </c>
      <c r="H58">
        <v>5</v>
      </c>
      <c r="I58">
        <v>3559</v>
      </c>
      <c r="J58">
        <v>5</v>
      </c>
      <c r="K58" t="s">
        <v>28</v>
      </c>
      <c r="L58" t="s">
        <v>33</v>
      </c>
      <c r="M58" t="s">
        <v>20</v>
      </c>
    </row>
    <row r="59" spans="1:13" x14ac:dyDescent="0.3">
      <c r="A59">
        <v>1059</v>
      </c>
      <c r="B59" s="1">
        <v>46081</v>
      </c>
      <c r="C59" t="s">
        <v>98</v>
      </c>
      <c r="D59" t="s">
        <v>24</v>
      </c>
      <c r="E59" t="s">
        <v>15</v>
      </c>
      <c r="F59" t="s">
        <v>16</v>
      </c>
      <c r="G59" t="s">
        <v>46</v>
      </c>
      <c r="H59">
        <v>4</v>
      </c>
      <c r="I59">
        <v>1204</v>
      </c>
      <c r="J59">
        <v>10</v>
      </c>
      <c r="K59" t="s">
        <v>28</v>
      </c>
      <c r="L59" t="s">
        <v>29</v>
      </c>
      <c r="M59" t="s">
        <v>48</v>
      </c>
    </row>
    <row r="60" spans="1:13" x14ac:dyDescent="0.3">
      <c r="A60">
        <v>1060</v>
      </c>
      <c r="B60" s="1">
        <v>46045</v>
      </c>
      <c r="C60" t="s">
        <v>99</v>
      </c>
      <c r="D60" t="s">
        <v>31</v>
      </c>
      <c r="E60" t="s">
        <v>15</v>
      </c>
      <c r="F60" t="s">
        <v>16</v>
      </c>
      <c r="G60" t="s">
        <v>27</v>
      </c>
      <c r="H60">
        <v>10</v>
      </c>
      <c r="I60">
        <v>435</v>
      </c>
      <c r="J60">
        <v>10</v>
      </c>
      <c r="K60" t="s">
        <v>22</v>
      </c>
      <c r="L60" t="s">
        <v>19</v>
      </c>
      <c r="M60" t="s">
        <v>48</v>
      </c>
    </row>
    <row r="61" spans="1:13" x14ac:dyDescent="0.3">
      <c r="A61">
        <v>1061</v>
      </c>
      <c r="B61" s="1">
        <v>46074</v>
      </c>
      <c r="C61" t="s">
        <v>100</v>
      </c>
      <c r="D61" t="s">
        <v>24</v>
      </c>
      <c r="E61" t="s">
        <v>25</v>
      </c>
      <c r="F61" t="s">
        <v>26</v>
      </c>
      <c r="G61" t="s">
        <v>46</v>
      </c>
      <c r="H61">
        <v>4</v>
      </c>
      <c r="I61">
        <v>4428</v>
      </c>
      <c r="J61">
        <v>0</v>
      </c>
      <c r="K61" t="s">
        <v>28</v>
      </c>
      <c r="L61" t="s">
        <v>33</v>
      </c>
    </row>
    <row r="62" spans="1:13" x14ac:dyDescent="0.3">
      <c r="A62">
        <v>1062</v>
      </c>
      <c r="B62" s="1">
        <v>46067</v>
      </c>
      <c r="C62" t="s">
        <v>101</v>
      </c>
      <c r="D62" t="s">
        <v>35</v>
      </c>
      <c r="E62" t="s">
        <v>15</v>
      </c>
      <c r="F62" t="s">
        <v>45</v>
      </c>
      <c r="G62" t="s">
        <v>40</v>
      </c>
      <c r="H62">
        <v>4</v>
      </c>
      <c r="I62">
        <v>2146</v>
      </c>
      <c r="J62">
        <v>5</v>
      </c>
      <c r="K62" t="s">
        <v>28</v>
      </c>
      <c r="L62" t="s">
        <v>33</v>
      </c>
      <c r="M62" t="s">
        <v>48</v>
      </c>
    </row>
    <row r="63" spans="1:13" x14ac:dyDescent="0.3">
      <c r="A63">
        <v>1063</v>
      </c>
      <c r="B63" s="1">
        <v>46092</v>
      </c>
      <c r="C63" t="s">
        <v>102</v>
      </c>
      <c r="D63" t="s">
        <v>24</v>
      </c>
      <c r="E63" t="s">
        <v>36</v>
      </c>
      <c r="F63" t="s">
        <v>37</v>
      </c>
      <c r="G63" t="s">
        <v>27</v>
      </c>
      <c r="H63">
        <v>4</v>
      </c>
      <c r="I63">
        <v>1168</v>
      </c>
      <c r="J63">
        <v>15</v>
      </c>
      <c r="K63" t="s">
        <v>28</v>
      </c>
      <c r="L63" t="s">
        <v>29</v>
      </c>
    </row>
    <row r="64" spans="1:13" x14ac:dyDescent="0.3">
      <c r="A64">
        <v>1064</v>
      </c>
      <c r="B64" s="1">
        <v>46059</v>
      </c>
      <c r="C64" t="s">
        <v>103</v>
      </c>
      <c r="D64" t="s">
        <v>24</v>
      </c>
      <c r="E64" t="s">
        <v>36</v>
      </c>
      <c r="F64" t="s">
        <v>39</v>
      </c>
      <c r="G64" t="s">
        <v>46</v>
      </c>
      <c r="H64">
        <v>6</v>
      </c>
      <c r="I64">
        <v>4798</v>
      </c>
      <c r="J64">
        <v>10</v>
      </c>
      <c r="K64" t="s">
        <v>28</v>
      </c>
      <c r="L64" t="s">
        <v>33</v>
      </c>
      <c r="M64" t="s">
        <v>20</v>
      </c>
    </row>
    <row r="65" spans="1:13" x14ac:dyDescent="0.3">
      <c r="A65">
        <v>1065</v>
      </c>
      <c r="B65" s="1">
        <v>46082</v>
      </c>
      <c r="C65" t="s">
        <v>104</v>
      </c>
      <c r="D65" t="s">
        <v>43</v>
      </c>
      <c r="E65" t="s">
        <v>36</v>
      </c>
      <c r="F65" t="s">
        <v>54</v>
      </c>
      <c r="G65" t="s">
        <v>27</v>
      </c>
      <c r="H65">
        <v>3</v>
      </c>
      <c r="I65">
        <v>2000</v>
      </c>
      <c r="J65">
        <v>10</v>
      </c>
      <c r="K65" t="s">
        <v>28</v>
      </c>
      <c r="L65" t="s">
        <v>33</v>
      </c>
    </row>
    <row r="66" spans="1:13" x14ac:dyDescent="0.3">
      <c r="A66">
        <v>1066</v>
      </c>
      <c r="B66" s="1">
        <v>46115</v>
      </c>
      <c r="C66" t="s">
        <v>105</v>
      </c>
      <c r="D66" t="s">
        <v>24</v>
      </c>
      <c r="E66" t="s">
        <v>15</v>
      </c>
      <c r="F66" t="s">
        <v>45</v>
      </c>
      <c r="G66" t="s">
        <v>40</v>
      </c>
      <c r="H66">
        <v>4</v>
      </c>
      <c r="I66">
        <v>3282</v>
      </c>
      <c r="J66">
        <v>15</v>
      </c>
      <c r="K66" t="s">
        <v>28</v>
      </c>
      <c r="L66" t="s">
        <v>29</v>
      </c>
      <c r="M66" t="s">
        <v>48</v>
      </c>
    </row>
    <row r="67" spans="1:13" x14ac:dyDescent="0.3">
      <c r="A67">
        <v>1067</v>
      </c>
      <c r="B67" s="1">
        <v>46067</v>
      </c>
      <c r="C67" t="s">
        <v>106</v>
      </c>
      <c r="D67" t="s">
        <v>35</v>
      </c>
      <c r="E67" t="s">
        <v>15</v>
      </c>
      <c r="F67" t="s">
        <v>45</v>
      </c>
      <c r="G67" t="s">
        <v>17</v>
      </c>
      <c r="H67">
        <v>6</v>
      </c>
      <c r="I67">
        <v>584</v>
      </c>
      <c r="J67">
        <v>15</v>
      </c>
      <c r="K67" t="s">
        <v>18</v>
      </c>
      <c r="L67" t="s">
        <v>33</v>
      </c>
      <c r="M67" t="s">
        <v>41</v>
      </c>
    </row>
    <row r="68" spans="1:13" x14ac:dyDescent="0.3">
      <c r="A68">
        <v>1068</v>
      </c>
      <c r="B68" s="1">
        <v>46032</v>
      </c>
      <c r="C68" t="s">
        <v>107</v>
      </c>
      <c r="D68" t="s">
        <v>35</v>
      </c>
      <c r="E68" t="s">
        <v>25</v>
      </c>
      <c r="F68" t="s">
        <v>26</v>
      </c>
      <c r="G68" t="s">
        <v>17</v>
      </c>
      <c r="H68">
        <v>2</v>
      </c>
      <c r="I68">
        <v>1798</v>
      </c>
      <c r="J68">
        <v>10</v>
      </c>
      <c r="K68" t="s">
        <v>22</v>
      </c>
      <c r="L68" t="s">
        <v>29</v>
      </c>
    </row>
    <row r="69" spans="1:13" x14ac:dyDescent="0.3">
      <c r="A69">
        <v>1069</v>
      </c>
      <c r="B69" s="1">
        <v>46061</v>
      </c>
      <c r="C69" t="s">
        <v>108</v>
      </c>
      <c r="D69" t="s">
        <v>14</v>
      </c>
      <c r="E69" t="s">
        <v>15</v>
      </c>
      <c r="F69" t="s">
        <v>16</v>
      </c>
      <c r="G69" t="s">
        <v>17</v>
      </c>
      <c r="H69">
        <v>6</v>
      </c>
      <c r="I69">
        <v>3099</v>
      </c>
      <c r="J69">
        <v>5</v>
      </c>
      <c r="K69" t="s">
        <v>28</v>
      </c>
      <c r="L69" t="s">
        <v>33</v>
      </c>
      <c r="M69" t="s">
        <v>20</v>
      </c>
    </row>
    <row r="70" spans="1:13" x14ac:dyDescent="0.3">
      <c r="A70">
        <v>1070</v>
      </c>
      <c r="B70" s="1">
        <v>46161</v>
      </c>
      <c r="C70" t="s">
        <v>109</v>
      </c>
      <c r="D70" t="s">
        <v>24</v>
      </c>
      <c r="E70" t="s">
        <v>15</v>
      </c>
      <c r="F70" t="s">
        <v>45</v>
      </c>
      <c r="G70" t="s">
        <v>46</v>
      </c>
      <c r="H70">
        <v>3</v>
      </c>
      <c r="I70">
        <v>1879</v>
      </c>
      <c r="J70">
        <v>10</v>
      </c>
      <c r="K70" t="s">
        <v>28</v>
      </c>
      <c r="L70" t="s">
        <v>29</v>
      </c>
      <c r="M70" t="s">
        <v>20</v>
      </c>
    </row>
    <row r="71" spans="1:13" x14ac:dyDescent="0.3">
      <c r="A71">
        <v>1071</v>
      </c>
      <c r="B71" s="1">
        <v>46029</v>
      </c>
      <c r="C71" t="s">
        <v>110</v>
      </c>
      <c r="D71" t="s">
        <v>14</v>
      </c>
      <c r="E71" t="s">
        <v>15</v>
      </c>
      <c r="F71" t="s">
        <v>16</v>
      </c>
      <c r="G71" t="s">
        <v>40</v>
      </c>
      <c r="H71">
        <v>9</v>
      </c>
      <c r="I71">
        <v>930</v>
      </c>
      <c r="J71">
        <v>0</v>
      </c>
      <c r="K71" t="s">
        <v>28</v>
      </c>
      <c r="L71" t="s">
        <v>29</v>
      </c>
      <c r="M71" t="s">
        <v>20</v>
      </c>
    </row>
    <row r="72" spans="1:13" x14ac:dyDescent="0.3">
      <c r="A72">
        <v>1072</v>
      </c>
      <c r="B72" s="1">
        <v>46181</v>
      </c>
      <c r="C72" t="s">
        <v>111</v>
      </c>
      <c r="D72" t="s">
        <v>43</v>
      </c>
      <c r="E72" t="s">
        <v>25</v>
      </c>
      <c r="F72" t="s">
        <v>32</v>
      </c>
      <c r="G72" t="s">
        <v>17</v>
      </c>
      <c r="H72">
        <v>6</v>
      </c>
      <c r="I72">
        <v>4713</v>
      </c>
      <c r="J72">
        <v>0</v>
      </c>
      <c r="K72" t="s">
        <v>28</v>
      </c>
      <c r="L72" t="s">
        <v>33</v>
      </c>
      <c r="M72" t="s">
        <v>20</v>
      </c>
    </row>
    <row r="73" spans="1:13" x14ac:dyDescent="0.3">
      <c r="A73">
        <v>1073</v>
      </c>
      <c r="B73" s="1">
        <v>46186</v>
      </c>
      <c r="C73" t="s">
        <v>112</v>
      </c>
      <c r="D73" t="s">
        <v>24</v>
      </c>
      <c r="E73" t="s">
        <v>25</v>
      </c>
      <c r="F73" t="s">
        <v>26</v>
      </c>
      <c r="G73" t="s">
        <v>17</v>
      </c>
      <c r="H73">
        <v>2</v>
      </c>
      <c r="I73">
        <v>3055</v>
      </c>
      <c r="J73">
        <v>5</v>
      </c>
      <c r="K73" t="s">
        <v>22</v>
      </c>
      <c r="L73" t="s">
        <v>29</v>
      </c>
      <c r="M73" t="s">
        <v>41</v>
      </c>
    </row>
    <row r="74" spans="1:13" x14ac:dyDescent="0.3">
      <c r="A74">
        <v>1074</v>
      </c>
      <c r="B74" s="1">
        <v>46180</v>
      </c>
      <c r="C74" t="s">
        <v>113</v>
      </c>
      <c r="D74" t="s">
        <v>35</v>
      </c>
      <c r="E74" t="s">
        <v>15</v>
      </c>
      <c r="F74" t="s">
        <v>16</v>
      </c>
      <c r="G74" t="s">
        <v>46</v>
      </c>
      <c r="H74">
        <v>5</v>
      </c>
      <c r="I74">
        <v>993</v>
      </c>
      <c r="J74">
        <v>5</v>
      </c>
      <c r="K74" t="s">
        <v>18</v>
      </c>
      <c r="L74" t="s">
        <v>33</v>
      </c>
      <c r="M74" t="s">
        <v>48</v>
      </c>
    </row>
    <row r="75" spans="1:13" x14ac:dyDescent="0.3">
      <c r="A75">
        <v>1075</v>
      </c>
      <c r="B75" s="1">
        <v>46110</v>
      </c>
      <c r="C75" t="s">
        <v>114</v>
      </c>
      <c r="D75" t="s">
        <v>14</v>
      </c>
      <c r="E75" t="s">
        <v>25</v>
      </c>
      <c r="F75" t="s">
        <v>26</v>
      </c>
      <c r="G75" t="s">
        <v>17</v>
      </c>
      <c r="H75">
        <v>2</v>
      </c>
      <c r="I75">
        <v>4128</v>
      </c>
      <c r="J75">
        <v>0</v>
      </c>
      <c r="K75" t="s">
        <v>18</v>
      </c>
      <c r="L75" t="s">
        <v>33</v>
      </c>
    </row>
    <row r="76" spans="1:13" x14ac:dyDescent="0.3">
      <c r="A76">
        <v>1076</v>
      </c>
      <c r="B76" s="1">
        <v>46193</v>
      </c>
      <c r="C76" t="s">
        <v>115</v>
      </c>
      <c r="D76" t="s">
        <v>31</v>
      </c>
      <c r="E76" t="s">
        <v>15</v>
      </c>
      <c r="F76" t="s">
        <v>16</v>
      </c>
      <c r="G76" t="s">
        <v>46</v>
      </c>
      <c r="H76">
        <v>4</v>
      </c>
      <c r="I76">
        <v>4162</v>
      </c>
      <c r="J76">
        <v>10</v>
      </c>
      <c r="K76" t="s">
        <v>22</v>
      </c>
      <c r="L76" t="s">
        <v>19</v>
      </c>
      <c r="M76" t="s">
        <v>41</v>
      </c>
    </row>
    <row r="77" spans="1:13" x14ac:dyDescent="0.3">
      <c r="A77">
        <v>1077</v>
      </c>
      <c r="B77" s="1">
        <v>46095</v>
      </c>
      <c r="C77" t="s">
        <v>116</v>
      </c>
      <c r="D77" t="s">
        <v>24</v>
      </c>
      <c r="E77" t="s">
        <v>15</v>
      </c>
      <c r="F77" t="s">
        <v>45</v>
      </c>
      <c r="G77" t="s">
        <v>27</v>
      </c>
      <c r="H77">
        <v>8</v>
      </c>
      <c r="I77">
        <v>3138</v>
      </c>
      <c r="J77">
        <v>0</v>
      </c>
      <c r="K77" t="s">
        <v>22</v>
      </c>
      <c r="L77" t="s">
        <v>29</v>
      </c>
      <c r="M77" t="s">
        <v>48</v>
      </c>
    </row>
    <row r="78" spans="1:13" x14ac:dyDescent="0.3">
      <c r="A78">
        <v>1078</v>
      </c>
      <c r="B78" s="1">
        <v>46194</v>
      </c>
      <c r="C78" t="s">
        <v>117</v>
      </c>
      <c r="D78" t="s">
        <v>24</v>
      </c>
      <c r="E78" t="s">
        <v>25</v>
      </c>
      <c r="F78" t="s">
        <v>26</v>
      </c>
      <c r="G78" t="s">
        <v>27</v>
      </c>
      <c r="H78">
        <v>3</v>
      </c>
      <c r="I78">
        <v>1393</v>
      </c>
      <c r="J78">
        <v>5</v>
      </c>
      <c r="K78" t="s">
        <v>28</v>
      </c>
      <c r="L78" t="s">
        <v>29</v>
      </c>
      <c r="M78" t="s">
        <v>48</v>
      </c>
    </row>
    <row r="79" spans="1:13" x14ac:dyDescent="0.3">
      <c r="A79">
        <v>1079</v>
      </c>
      <c r="B79" s="1">
        <v>46073</v>
      </c>
      <c r="C79" t="s">
        <v>118</v>
      </c>
      <c r="D79" t="s">
        <v>14</v>
      </c>
      <c r="E79" t="s">
        <v>25</v>
      </c>
      <c r="F79" t="s">
        <v>26</v>
      </c>
      <c r="G79" t="s">
        <v>46</v>
      </c>
      <c r="H79">
        <v>9</v>
      </c>
      <c r="I79">
        <v>4425</v>
      </c>
      <c r="J79">
        <v>0</v>
      </c>
      <c r="K79" t="s">
        <v>28</v>
      </c>
      <c r="L79" t="s">
        <v>19</v>
      </c>
      <c r="M79" t="s">
        <v>48</v>
      </c>
    </row>
    <row r="80" spans="1:13" x14ac:dyDescent="0.3">
      <c r="A80">
        <v>1080</v>
      </c>
      <c r="B80" s="1">
        <v>46131</v>
      </c>
      <c r="C80" t="s">
        <v>119</v>
      </c>
      <c r="D80" t="s">
        <v>43</v>
      </c>
      <c r="E80" t="s">
        <v>36</v>
      </c>
      <c r="F80" t="s">
        <v>39</v>
      </c>
      <c r="G80" t="s">
        <v>17</v>
      </c>
      <c r="H80">
        <v>4</v>
      </c>
      <c r="I80">
        <v>4656</v>
      </c>
      <c r="J80">
        <v>0</v>
      </c>
      <c r="K80" t="s">
        <v>22</v>
      </c>
      <c r="L80" t="s">
        <v>19</v>
      </c>
      <c r="M80" t="s">
        <v>48</v>
      </c>
    </row>
    <row r="81" spans="1:13" x14ac:dyDescent="0.3">
      <c r="A81">
        <v>1081</v>
      </c>
      <c r="B81" s="1">
        <v>46035</v>
      </c>
      <c r="C81" t="s">
        <v>120</v>
      </c>
      <c r="D81" t="s">
        <v>35</v>
      </c>
      <c r="E81" t="s">
        <v>36</v>
      </c>
      <c r="F81" t="s">
        <v>39</v>
      </c>
      <c r="G81" t="s">
        <v>17</v>
      </c>
      <c r="H81">
        <v>1</v>
      </c>
      <c r="I81">
        <v>1513</v>
      </c>
      <c r="J81">
        <v>0</v>
      </c>
      <c r="K81" t="s">
        <v>22</v>
      </c>
      <c r="L81" t="s">
        <v>29</v>
      </c>
      <c r="M81" t="s">
        <v>20</v>
      </c>
    </row>
    <row r="82" spans="1:13" x14ac:dyDescent="0.3">
      <c r="A82">
        <v>1082</v>
      </c>
      <c r="B82" s="1">
        <v>46111</v>
      </c>
      <c r="C82" t="s">
        <v>121</v>
      </c>
      <c r="D82" t="s">
        <v>31</v>
      </c>
      <c r="E82" t="s">
        <v>25</v>
      </c>
      <c r="F82" t="s">
        <v>26</v>
      </c>
      <c r="G82" t="s">
        <v>17</v>
      </c>
      <c r="H82">
        <v>10</v>
      </c>
      <c r="I82">
        <v>2508</v>
      </c>
      <c r="J82">
        <v>15</v>
      </c>
      <c r="K82" t="s">
        <v>28</v>
      </c>
      <c r="L82" t="s">
        <v>19</v>
      </c>
      <c r="M82" t="s">
        <v>48</v>
      </c>
    </row>
    <row r="83" spans="1:13" x14ac:dyDescent="0.3">
      <c r="A83">
        <v>1083</v>
      </c>
      <c r="B83" s="1">
        <v>46085</v>
      </c>
      <c r="C83" t="s">
        <v>122</v>
      </c>
      <c r="D83" t="s">
        <v>24</v>
      </c>
      <c r="E83" t="s">
        <v>36</v>
      </c>
      <c r="F83" t="s">
        <v>37</v>
      </c>
      <c r="G83" t="s">
        <v>40</v>
      </c>
      <c r="H83">
        <v>2</v>
      </c>
      <c r="I83">
        <v>2555</v>
      </c>
      <c r="J83">
        <v>0</v>
      </c>
      <c r="K83" t="s">
        <v>22</v>
      </c>
      <c r="L83" t="s">
        <v>19</v>
      </c>
    </row>
    <row r="84" spans="1:13" x14ac:dyDescent="0.3">
      <c r="A84">
        <v>1084</v>
      </c>
      <c r="B84" s="1">
        <v>46078</v>
      </c>
      <c r="C84" t="s">
        <v>123</v>
      </c>
      <c r="D84" t="s">
        <v>43</v>
      </c>
      <c r="E84" t="s">
        <v>36</v>
      </c>
      <c r="F84" t="s">
        <v>37</v>
      </c>
      <c r="G84" t="s">
        <v>27</v>
      </c>
      <c r="H84">
        <v>6</v>
      </c>
      <c r="I84">
        <v>3179</v>
      </c>
      <c r="J84">
        <v>5</v>
      </c>
      <c r="K84" t="s">
        <v>22</v>
      </c>
      <c r="L84" t="s">
        <v>29</v>
      </c>
      <c r="M84" t="s">
        <v>48</v>
      </c>
    </row>
    <row r="85" spans="1:13" x14ac:dyDescent="0.3">
      <c r="A85">
        <v>1085</v>
      </c>
      <c r="B85" s="1">
        <v>46082</v>
      </c>
      <c r="C85" t="s">
        <v>124</v>
      </c>
      <c r="D85" t="s">
        <v>35</v>
      </c>
      <c r="E85" t="s">
        <v>15</v>
      </c>
      <c r="F85" t="s">
        <v>45</v>
      </c>
      <c r="G85" t="s">
        <v>27</v>
      </c>
      <c r="H85">
        <v>3</v>
      </c>
      <c r="I85">
        <v>2462</v>
      </c>
      <c r="J85">
        <v>5</v>
      </c>
      <c r="K85" t="s">
        <v>22</v>
      </c>
      <c r="L85" t="s">
        <v>33</v>
      </c>
      <c r="M85" t="s">
        <v>41</v>
      </c>
    </row>
    <row r="86" spans="1:13" x14ac:dyDescent="0.3">
      <c r="A86">
        <v>1086</v>
      </c>
      <c r="B86" s="1">
        <v>46120</v>
      </c>
      <c r="C86" t="s">
        <v>125</v>
      </c>
      <c r="D86" t="s">
        <v>24</v>
      </c>
      <c r="E86" t="s">
        <v>36</v>
      </c>
      <c r="F86" t="s">
        <v>37</v>
      </c>
      <c r="G86" t="s">
        <v>40</v>
      </c>
      <c r="H86">
        <v>2</v>
      </c>
      <c r="I86">
        <v>4560</v>
      </c>
      <c r="J86">
        <v>0</v>
      </c>
      <c r="K86" t="s">
        <v>28</v>
      </c>
      <c r="L86" t="s">
        <v>29</v>
      </c>
      <c r="M86" t="s">
        <v>48</v>
      </c>
    </row>
    <row r="87" spans="1:13" x14ac:dyDescent="0.3">
      <c r="A87">
        <v>1087</v>
      </c>
      <c r="B87" s="1">
        <v>46028</v>
      </c>
      <c r="C87" t="s">
        <v>126</v>
      </c>
      <c r="D87" t="s">
        <v>14</v>
      </c>
      <c r="E87" t="s">
        <v>36</v>
      </c>
      <c r="F87" t="s">
        <v>54</v>
      </c>
      <c r="G87" t="s">
        <v>46</v>
      </c>
      <c r="H87">
        <v>6</v>
      </c>
      <c r="I87">
        <v>3102</v>
      </c>
      <c r="J87">
        <v>5</v>
      </c>
      <c r="K87" t="s">
        <v>22</v>
      </c>
      <c r="L87" t="s">
        <v>29</v>
      </c>
      <c r="M87" t="s">
        <v>48</v>
      </c>
    </row>
    <row r="88" spans="1:13" x14ac:dyDescent="0.3">
      <c r="A88">
        <v>1088</v>
      </c>
      <c r="B88" s="1">
        <v>46094</v>
      </c>
      <c r="C88" t="s">
        <v>127</v>
      </c>
      <c r="D88" t="s">
        <v>35</v>
      </c>
      <c r="E88" t="s">
        <v>25</v>
      </c>
      <c r="F88" t="s">
        <v>32</v>
      </c>
      <c r="G88" t="s">
        <v>46</v>
      </c>
      <c r="H88">
        <v>2</v>
      </c>
      <c r="I88">
        <v>3298</v>
      </c>
      <c r="J88">
        <v>0</v>
      </c>
      <c r="K88" t="s">
        <v>28</v>
      </c>
      <c r="L88" t="s">
        <v>29</v>
      </c>
    </row>
    <row r="89" spans="1:13" x14ac:dyDescent="0.3">
      <c r="A89">
        <v>1089</v>
      </c>
      <c r="B89" s="1">
        <v>46049</v>
      </c>
      <c r="C89" t="s">
        <v>128</v>
      </c>
      <c r="D89" t="s">
        <v>35</v>
      </c>
      <c r="E89" t="s">
        <v>15</v>
      </c>
      <c r="F89" t="s">
        <v>16</v>
      </c>
      <c r="G89" t="s">
        <v>46</v>
      </c>
      <c r="H89">
        <v>6</v>
      </c>
      <c r="I89">
        <v>2909</v>
      </c>
      <c r="J89">
        <v>15</v>
      </c>
      <c r="K89" t="s">
        <v>28</v>
      </c>
      <c r="L89" t="s">
        <v>19</v>
      </c>
      <c r="M89" t="s">
        <v>20</v>
      </c>
    </row>
    <row r="90" spans="1:13" x14ac:dyDescent="0.3">
      <c r="A90">
        <v>1090</v>
      </c>
      <c r="B90" s="1">
        <v>46088</v>
      </c>
      <c r="C90" t="s">
        <v>129</v>
      </c>
      <c r="D90" t="s">
        <v>31</v>
      </c>
      <c r="E90" t="s">
        <v>36</v>
      </c>
      <c r="F90" t="s">
        <v>54</v>
      </c>
      <c r="G90" t="s">
        <v>27</v>
      </c>
      <c r="H90">
        <v>1</v>
      </c>
      <c r="I90">
        <v>1957</v>
      </c>
      <c r="J90">
        <v>10</v>
      </c>
      <c r="K90" t="s">
        <v>22</v>
      </c>
      <c r="L90" t="s">
        <v>19</v>
      </c>
      <c r="M90" t="s">
        <v>41</v>
      </c>
    </row>
    <row r="91" spans="1:13" x14ac:dyDescent="0.3">
      <c r="A91">
        <v>1091</v>
      </c>
      <c r="B91" s="1">
        <v>46025</v>
      </c>
      <c r="C91" t="s">
        <v>130</v>
      </c>
      <c r="D91" t="s">
        <v>14</v>
      </c>
      <c r="E91" t="s">
        <v>15</v>
      </c>
      <c r="F91" t="s">
        <v>16</v>
      </c>
      <c r="G91" t="s">
        <v>17</v>
      </c>
      <c r="H91">
        <v>2</v>
      </c>
      <c r="I91">
        <v>1703</v>
      </c>
      <c r="J91">
        <v>10</v>
      </c>
      <c r="K91" t="s">
        <v>22</v>
      </c>
      <c r="L91" t="s">
        <v>19</v>
      </c>
    </row>
    <row r="92" spans="1:13" x14ac:dyDescent="0.3">
      <c r="A92">
        <v>1092</v>
      </c>
      <c r="B92" s="1">
        <v>46142</v>
      </c>
      <c r="C92" t="s">
        <v>131</v>
      </c>
      <c r="D92" t="s">
        <v>14</v>
      </c>
      <c r="E92" t="s">
        <v>15</v>
      </c>
      <c r="F92" t="s">
        <v>16</v>
      </c>
      <c r="G92" t="s">
        <v>46</v>
      </c>
      <c r="H92">
        <v>7</v>
      </c>
      <c r="I92">
        <v>1418</v>
      </c>
      <c r="J92">
        <v>5</v>
      </c>
      <c r="K92" t="s">
        <v>22</v>
      </c>
      <c r="L92" t="s">
        <v>33</v>
      </c>
    </row>
    <row r="93" spans="1:13" x14ac:dyDescent="0.3">
      <c r="A93">
        <v>1093</v>
      </c>
      <c r="B93" s="1">
        <v>46122</v>
      </c>
      <c r="C93" t="s">
        <v>132</v>
      </c>
      <c r="D93" t="s">
        <v>35</v>
      </c>
      <c r="E93" t="s">
        <v>15</v>
      </c>
      <c r="F93" t="s">
        <v>45</v>
      </c>
      <c r="G93" t="s">
        <v>17</v>
      </c>
      <c r="H93">
        <v>5</v>
      </c>
      <c r="I93">
        <v>4271</v>
      </c>
      <c r="J93">
        <v>0</v>
      </c>
      <c r="K93" t="s">
        <v>22</v>
      </c>
      <c r="L93" t="s">
        <v>29</v>
      </c>
      <c r="M93" t="s">
        <v>41</v>
      </c>
    </row>
    <row r="94" spans="1:13" x14ac:dyDescent="0.3">
      <c r="A94">
        <v>1094</v>
      </c>
      <c r="B94" s="1">
        <v>46148</v>
      </c>
      <c r="C94" t="s">
        <v>133</v>
      </c>
      <c r="D94" t="s">
        <v>35</v>
      </c>
      <c r="E94" t="s">
        <v>36</v>
      </c>
      <c r="F94" t="s">
        <v>37</v>
      </c>
      <c r="G94" t="s">
        <v>17</v>
      </c>
      <c r="H94">
        <v>1</v>
      </c>
      <c r="I94">
        <v>666</v>
      </c>
      <c r="J94">
        <v>15</v>
      </c>
      <c r="K94" t="s">
        <v>22</v>
      </c>
      <c r="L94" t="s">
        <v>29</v>
      </c>
      <c r="M94" t="s">
        <v>20</v>
      </c>
    </row>
    <row r="95" spans="1:13" x14ac:dyDescent="0.3">
      <c r="A95">
        <v>1095</v>
      </c>
      <c r="B95" s="1">
        <v>46124</v>
      </c>
      <c r="C95" t="s">
        <v>134</v>
      </c>
      <c r="D95" t="s">
        <v>14</v>
      </c>
      <c r="E95" t="s">
        <v>25</v>
      </c>
      <c r="F95" t="s">
        <v>26</v>
      </c>
      <c r="G95" t="s">
        <v>46</v>
      </c>
      <c r="H95">
        <v>6</v>
      </c>
      <c r="I95">
        <v>2059</v>
      </c>
      <c r="J95">
        <v>5</v>
      </c>
      <c r="K95" t="s">
        <v>28</v>
      </c>
      <c r="L95" t="s">
        <v>29</v>
      </c>
      <c r="M95" t="s">
        <v>20</v>
      </c>
    </row>
    <row r="96" spans="1:13" x14ac:dyDescent="0.3">
      <c r="A96">
        <v>1096</v>
      </c>
      <c r="B96" s="1">
        <v>46138</v>
      </c>
      <c r="C96" t="s">
        <v>135</v>
      </c>
      <c r="D96" t="s">
        <v>43</v>
      </c>
      <c r="E96" t="s">
        <v>15</v>
      </c>
      <c r="F96" t="s">
        <v>16</v>
      </c>
      <c r="G96" t="s">
        <v>17</v>
      </c>
      <c r="H96">
        <v>4</v>
      </c>
      <c r="I96">
        <v>1564</v>
      </c>
      <c r="J96">
        <v>0</v>
      </c>
      <c r="K96" t="s">
        <v>28</v>
      </c>
      <c r="L96" t="s">
        <v>33</v>
      </c>
      <c r="M96" t="s">
        <v>41</v>
      </c>
    </row>
    <row r="97" spans="1:13" x14ac:dyDescent="0.3">
      <c r="A97">
        <v>1097</v>
      </c>
      <c r="B97" s="1">
        <v>46166</v>
      </c>
      <c r="C97" t="s">
        <v>136</v>
      </c>
      <c r="D97" t="s">
        <v>14</v>
      </c>
      <c r="E97" t="s">
        <v>15</v>
      </c>
      <c r="F97" t="s">
        <v>16</v>
      </c>
      <c r="G97" t="s">
        <v>40</v>
      </c>
      <c r="H97">
        <v>10</v>
      </c>
      <c r="I97">
        <v>1447</v>
      </c>
      <c r="J97">
        <v>5</v>
      </c>
      <c r="K97" t="s">
        <v>28</v>
      </c>
      <c r="L97" t="s">
        <v>33</v>
      </c>
      <c r="M97" t="s">
        <v>20</v>
      </c>
    </row>
    <row r="98" spans="1:13" x14ac:dyDescent="0.3">
      <c r="A98">
        <v>1098</v>
      </c>
      <c r="B98" s="1">
        <v>46094</v>
      </c>
      <c r="C98" t="s">
        <v>137</v>
      </c>
      <c r="D98" t="s">
        <v>31</v>
      </c>
      <c r="E98" t="s">
        <v>15</v>
      </c>
      <c r="F98" t="s">
        <v>45</v>
      </c>
      <c r="G98" t="s">
        <v>40</v>
      </c>
      <c r="H98">
        <v>7</v>
      </c>
      <c r="I98">
        <v>3739</v>
      </c>
      <c r="J98">
        <v>0</v>
      </c>
      <c r="K98" t="s">
        <v>22</v>
      </c>
      <c r="L98" t="s">
        <v>29</v>
      </c>
      <c r="M98" t="s">
        <v>20</v>
      </c>
    </row>
    <row r="99" spans="1:13" x14ac:dyDescent="0.3">
      <c r="A99">
        <v>1099</v>
      </c>
      <c r="B99" s="1">
        <v>46072</v>
      </c>
      <c r="C99" t="s">
        <v>138</v>
      </c>
      <c r="D99" t="s">
        <v>31</v>
      </c>
      <c r="E99" t="s">
        <v>25</v>
      </c>
      <c r="F99" t="s">
        <v>26</v>
      </c>
      <c r="G99" t="s">
        <v>46</v>
      </c>
      <c r="H99">
        <v>1</v>
      </c>
      <c r="I99">
        <v>4096</v>
      </c>
      <c r="J99">
        <v>10</v>
      </c>
      <c r="K99" t="s">
        <v>18</v>
      </c>
      <c r="L99" t="s">
        <v>29</v>
      </c>
      <c r="M99" t="s">
        <v>48</v>
      </c>
    </row>
    <row r="100" spans="1:13" x14ac:dyDescent="0.3">
      <c r="A100">
        <v>1100</v>
      </c>
      <c r="B100" s="1">
        <v>46059</v>
      </c>
      <c r="C100" t="s">
        <v>139</v>
      </c>
      <c r="D100" t="s">
        <v>14</v>
      </c>
      <c r="E100" t="s">
        <v>25</v>
      </c>
      <c r="F100" t="s">
        <v>26</v>
      </c>
      <c r="G100" t="s">
        <v>40</v>
      </c>
      <c r="H100">
        <v>8</v>
      </c>
      <c r="I100">
        <v>3693</v>
      </c>
      <c r="J100">
        <v>10</v>
      </c>
      <c r="K100" t="s">
        <v>28</v>
      </c>
      <c r="L100" t="s">
        <v>19</v>
      </c>
      <c r="M100" t="s">
        <v>41</v>
      </c>
    </row>
    <row r="101" spans="1:13" x14ac:dyDescent="0.3">
      <c r="A101">
        <v>1101</v>
      </c>
      <c r="B101" s="1">
        <v>46151</v>
      </c>
      <c r="C101" t="s">
        <v>140</v>
      </c>
      <c r="D101" t="s">
        <v>31</v>
      </c>
      <c r="E101" t="s">
        <v>15</v>
      </c>
      <c r="F101" t="s">
        <v>16</v>
      </c>
      <c r="G101" t="s">
        <v>40</v>
      </c>
      <c r="H101">
        <v>1</v>
      </c>
      <c r="I101">
        <v>3604</v>
      </c>
      <c r="J101">
        <v>10</v>
      </c>
      <c r="K101" t="s">
        <v>18</v>
      </c>
      <c r="L101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4D860-99FF-470B-B8DF-8C705F7BA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NANDANA C K</cp:lastModifiedBy>
  <dcterms:created xsi:type="dcterms:W3CDTF">2026-08-04T08:16:15Z</dcterms:created>
  <dcterms:modified xsi:type="dcterms:W3CDTF">2026-08-05T05:14:13Z</dcterms:modified>
</cp:coreProperties>
</file>